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on Items" sheetId="1" r:id="rId5"/>
    <sheet state="visible" name="Executive Summary" sheetId="2" r:id="rId6"/>
    <sheet state="visible" name="Active Campaign Inventory" sheetId="3" r:id="rId7"/>
    <sheet state="visible" name="Learnings &amp; Best Practices" sheetId="4" r:id="rId8"/>
    <sheet state="visible" name="Account Access" sheetId="5" r:id="rId9"/>
    <sheet state="visible" name="Tracking, Analytics, &amp; Reportin" sheetId="6" r:id="rId10"/>
    <sheet state="visible" name="Creative Assets" sheetId="7" r:id="rId11"/>
    <sheet state="visible" name="Budget &amp; Performance" sheetId="8" r:id="rId12"/>
    <sheet state="hidden" name="Historical Trends" sheetId="9" r:id="rId13"/>
    <sheet state="visible" name="Recommendations" sheetId="10" r:id="rId14"/>
    <sheet state="visible" name="Relevant Docs" sheetId="11" r:id="rId15"/>
    <sheet state="visible" name="Ad Reps" sheetId="12" r:id="rId16"/>
    <sheet state="visible" name="Process Invite users to ad acco" sheetId="13" r:id="rId17"/>
    <sheet state="visible" name="Netsuite &amp; Aspire CC" sheetId="14" r:id="rId18"/>
    <sheet state="visible" name="Upcoming Seasonal Campaigns"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Budget is from Sanofi, not from DA</t>
      </text>
    </comment>
    <comment authorId="0" ref="E17">
      <text>
        <t xml:space="preserve">Budget is part of the always-on budget from Medsuites</t>
      </text>
    </comment>
    <comment authorId="0" ref="E12">
      <text>
        <t xml:space="preserve">Budget is part of Corporate branding</t>
      </text>
    </comment>
    <comment authorId="0" ref="E8">
      <text>
        <t xml:space="preserve">Budget decreased from $15k to $5k</t>
      </text>
    </comment>
  </commentList>
</comments>
</file>

<file path=xl/sharedStrings.xml><?xml version="1.0" encoding="utf-8"?>
<sst xmlns="http://schemas.openxmlformats.org/spreadsheetml/2006/main" count="2183" uniqueCount="1422">
  <si>
    <t>Action Items</t>
  </si>
  <si>
    <t>Status</t>
  </si>
  <si>
    <t>Link to relevant tab</t>
  </si>
  <si>
    <t>Where to find media plans, ad copies, and budget for June</t>
  </si>
  <si>
    <t>DONE</t>
  </si>
  <si>
    <t>Link</t>
  </si>
  <si>
    <t>PIC for tiktok, singular, taboola and google ad reps</t>
  </si>
  <si>
    <t xml:space="preserve">Process to invite people to various ad accounts, GA4, and GTM </t>
  </si>
  <si>
    <t>PO and IR process. Pass IR access to someone else in the team (Have to also ask Finance on this)</t>
  </si>
  <si>
    <t>Aspire credit card, saving credit card &amp; marketing platform receipt process, and assigning someone the credit card (Have to also inform finance to cancel my card and give someone else a card)</t>
  </si>
  <si>
    <t>Upcoming campaign launch</t>
  </si>
  <si>
    <t>Executive Summary</t>
  </si>
  <si>
    <t>Overview of our current paid marketing strategy and objectives</t>
  </si>
  <si>
    <t>Key performance metrics and overall observations</t>
  </si>
  <si>
    <t>Top opportunities and challenges moving forward</t>
  </si>
  <si>
    <r>
      <rPr>
        <b/>
        <color rgb="FF1155CC"/>
        <u/>
      </rPr>
      <t xml:space="preserve">Active Campaign Inventory 
</t>
    </r>
    <r>
      <rPr>
        <b/>
      </rPr>
      <t xml:space="preserve">
For all active campaigns across platforms (Meta, Google, TikTok, LinkedIn, etc.), please provide:</t>
    </r>
  </si>
  <si>
    <t>Campaign name and objective</t>
  </si>
  <si>
    <t>Target audience</t>
  </si>
  <si>
    <t>Budget and current spend</t>
  </si>
  <si>
    <t>Key performance metrics (CPA, ROAS, CTR, conversion rate)</t>
  </si>
  <si>
    <t>Campaign status and recommended next steps</t>
  </si>
  <si>
    <t>Historical Learnings and Best Practices</t>
  </si>
  <si>
    <t>Best-performing audiences and segments</t>
  </si>
  <si>
    <t>Top-performing creatives and messaging</t>
  </si>
  <si>
    <t>REVIEW</t>
  </si>
  <si>
    <r>
      <rPr/>
      <t xml:space="preserve">Parked </t>
    </r>
    <r>
      <rPr>
        <color rgb="FF1155CC"/>
        <u/>
      </rPr>
      <t>here</t>
    </r>
  </si>
  <si>
    <t>Key campaign learnings and optimization tactics</t>
  </si>
  <si>
    <t>Initiatives that did not perform well and the lessons learned</t>
  </si>
  <si>
    <t>Any market-specific insights or seasonality considerations</t>
  </si>
  <si>
    <r>
      <rPr>
        <b/>
        <color rgb="FF1155CC"/>
        <u/>
      </rPr>
      <t xml:space="preserve">Account Access and Ownership 
</t>
    </r>
    <r>
      <rPr>
        <b/>
      </rPr>
      <t xml:space="preserve">
Please prepare a complete inventory of all platforms and tools, including:
For each account, please indicate:
Account owner/admin
Billing owner
Existing user access
Any actions required for ownership transfer</t>
    </r>
  </si>
  <si>
    <t>Meta Business Manager / Ads Manager</t>
  </si>
  <si>
    <t>Google Ads</t>
  </si>
  <si>
    <t>TikTok Ads Manager</t>
  </si>
  <si>
    <t>LinkedIn Campaign Manager</t>
  </si>
  <si>
    <t>Google Analytics / GA4</t>
  </si>
  <si>
    <t>Google Tag Manager</t>
  </si>
  <si>
    <t>Attribution and analytics tools</t>
  </si>
  <si>
    <t>Any landing page or campaign management platforms</t>
  </si>
  <si>
    <t>Tracking, Analytics and Reporting</t>
  </si>
  <si>
    <t>Conversion tracking setup</t>
  </si>
  <si>
    <t>Pixel and event configurations</t>
  </si>
  <si>
    <t>Attribution methodology</t>
  </si>
  <si>
    <t>Reporting dashboards</t>
  </si>
  <si>
    <t>Existing reporting cadence</t>
  </si>
  <si>
    <t>Any known issues or limitations</t>
  </si>
  <si>
    <t>Creative Assets</t>
  </si>
  <si>
    <t>Ad creative libraries</t>
  </si>
  <si>
    <t>Best-performing ad examples</t>
  </si>
  <si>
    <t>Creative briefs and templates</t>
  </si>
  <si>
    <t>Historical campaign assets where relevant</t>
  </si>
  <si>
    <t>Budget and Performance Summary</t>
  </si>
  <si>
    <t>Current monthly spend by channel</t>
  </si>
  <si>
    <t>Historical performance trends</t>
  </si>
  <si>
    <t>Budget allocations</t>
  </si>
  <si>
    <t>Recommendations for future investment</t>
  </si>
  <si>
    <t>Recommendations</t>
  </si>
  <si>
    <t>For Next 90 Days</t>
  </si>
  <si>
    <t>if you were to continue managing this function for the next 6 months, what would be the top priorities and initiatives you would focus on to drive growth and improve performance</t>
  </si>
  <si>
    <t>Overview of Current Paid Marketing Strategy and Objectives</t>
  </si>
  <si>
    <t>DA's paid marketing runs across four business units, Virtual Consult (VC), MedSuites, MOBS, and SODA, each with a distinct conversion definition and channel mix reflecting its funnel stage: 
- VC optimizes for Joined VC (Google Search/PMax) and App Install (Google App, Meta, ASA)
- MedSuites and MOBS optimize for Bookings/Purchases (Google Search/PMax, Meta)
- SODA optimizes for Leads (Google Search/PMax, Meta, LinkedIn)</t>
  </si>
  <si>
    <t>Strategy is bottom-funnel-led as the majority of budget and return is concentrated in Google Search and PMax, with Meta providing cross-BU support and ASA/LinkedIn serving VC installs and SODA will focus on B2B respectively</t>
  </si>
  <si>
    <t>Singapore is the primary, most mature market with the full campaign structure described above</t>
  </si>
  <si>
    <t>Malaysia, Thailand, Indonesia, and the Philippines run lighter-touch, multi-channel activations, with the Philippines specifically constrained by Google's healthcare advertising policy.</t>
  </si>
  <si>
    <t>Majority of the learnings, insights, and details in this handover sheet will mainly focus on SG since it requires the most budget and effort from a performance marketing perspective.</t>
  </si>
  <si>
    <t>Key Performance Metrics and Overall Observations
H1 2026 (Jan–Jun)</t>
  </si>
  <si>
    <t>Budget and Estimated Outcome for July</t>
  </si>
  <si>
    <t>BU</t>
  </si>
  <si>
    <t>Spend</t>
  </si>
  <si>
    <t>Conversions</t>
  </si>
  <si>
    <t>CPA</t>
  </si>
  <si>
    <t>ROAS</t>
  </si>
  <si>
    <t>Conv. Rate</t>
  </si>
  <si>
    <t>Recommended Budget for July</t>
  </si>
  <si>
    <t>Forecasted Volume</t>
  </si>
  <si>
    <t>Forecasted Revenue</t>
  </si>
  <si>
    <t>VC</t>
  </si>
  <si>
    <t>2.29x</t>
  </si>
  <si>
    <t>1,963 Joined VCs</t>
  </si>
  <si>
    <t>Medsuites</t>
  </si>
  <si>
    <t>5.95x</t>
  </si>
  <si>
    <t>MedSuites</t>
  </si>
  <si>
    <t>158 Bookings</t>
  </si>
  <si>
    <t>MOBS</t>
  </si>
  <si>
    <t>0.81x</t>
  </si>
  <si>
    <t>50 Bookings</t>
  </si>
  <si>
    <t>SODA</t>
  </si>
  <si>
    <t>234 leads / 25 closed deals</t>
  </si>
  <si>
    <t>N/A</t>
  </si>
  <si>
    <t>21 Leads</t>
  </si>
  <si>
    <t>Total</t>
  </si>
  <si>
    <t>Overall Observation:</t>
  </si>
  <si>
    <t>VC is the volume engine of the portfolio, MedSuites delivers the highest return per dollar spent, and MOBS is currently the one unit spending more than it generates. Resolving MOBS is what moves the entire portfolio's return.
On the SODA side, paid contributed to 25 closed deals in H1, but without CRM-to-channel attribution, those wins can't yet be traced back to what's actually driving them — the single highest-leverage fix for H2.</t>
  </si>
  <si>
    <t>The budget and estimated outcome for July can be used as a foundation for the coming month's budget planning and revenue forecasting.</t>
  </si>
  <si>
    <t xml:space="preserve">Top Opportunities </t>
  </si>
  <si>
    <t>Challenges</t>
  </si>
  <si>
    <r>
      <rPr>
        <rFont val="Arial"/>
        <b/>
        <color theme="1"/>
      </rPr>
      <t>Capital reallocation across the portfolio is underexploited</t>
    </r>
    <r>
      <rPr>
        <rFont val="Arial"/>
        <color theme="1"/>
      </rPr>
      <t>.
VC, MedSuites, MOBS, and SODA each deliver meaningfully different returns (2.29x, 5.95x, 0.81x, and lead-based respectively), yet budget has historically moved incrementally rather than being deliberately reallocated toward the highest-return units. There's a real opportunity to run marketing capital more like a portfolio — actively shifting spend toward proven return, not just optimizing each BU in isolation.</t>
    </r>
  </si>
  <si>
    <r>
      <rPr>
        <rFont val="Arial"/>
        <b/>
        <color theme="1"/>
      </rPr>
      <t xml:space="preserve">Attribution infrastructure limits confident capital allocation.
</t>
    </r>
    <r>
      <rPr>
        <rFont val="Arial"/>
        <color theme="1"/>
      </rPr>
      <t xml:space="preserve">Singular is not fully configured, meaning cross-channel ROAS and CAC are directional, not definitive. This isn't a reporting inconvenience — it means portfolio-level investment decisions are currently biased toward the one channel that happens to be fully measurable, not necessarily the one that's actually performing best.
</t>
    </r>
  </si>
  <si>
    <r>
      <rPr>
        <rFont val="Arial"/>
        <b/>
        <color theme="1"/>
      </rPr>
      <t xml:space="preserve">The business is acquisition-heavy and retention-light.
</t>
    </r>
    <r>
      <rPr>
        <rFont val="Arial"/>
        <color theme="1"/>
      </rPr>
      <t xml:space="preserve">
Nearly every paid dollar spent is chasing a new conversion, while existing customers, app installers, and past purchasers likely represent a largely untapped, lower-cost growth channel. Building retention and cross-sell into the core model, would structurally reduce dependence on paid acquisition over time.</t>
    </r>
  </si>
  <si>
    <r>
      <rPr>
        <rFont val="Arial"/>
        <b/>
        <color theme="1"/>
      </rPr>
      <t xml:space="preserve">Revenue visibility is still manually constructed, not systemized.
</t>
    </r>
    <r>
      <rPr>
        <rFont val="Arial"/>
        <color theme="1"/>
      </rPr>
      <t xml:space="preserve">Every ROAS figure in this business is derived from conversions × average bill size, not a live revenue feed — and for SODA specifically, 25 closed deals exist with no channel attribution at all. Until this is resolved, the organization is making channel investment calls without a reliable, closed-loop view of what revenue those channels actually produce.
</t>
    </r>
  </si>
  <si>
    <r>
      <rPr>
        <rFont val="Arial"/>
        <b/>
        <color theme="1"/>
      </rPr>
      <t xml:space="preserve">Singapore's playbook is exportable.
</t>
    </r>
    <r>
      <rPr>
        <rFont val="Arial"/>
        <color theme="1"/>
      </rPr>
      <t>SG has the most mature measurement, creative testing, and campaign structure of the five markets. The regional markets (MY, TH, ID, PH) are each running independent, locally-improvised approaches. There's an opportunity to turn SG's discipline into a shared regional operating model rather than reinventing it market by market.</t>
    </r>
  </si>
  <si>
    <r>
      <rPr>
        <rFont val="Arial"/>
        <b/>
        <color theme="1"/>
      </rPr>
      <t xml:space="preserve">Growth outside Singapore is constrained by infrastructure maturity, not just budget or demand. 
</t>
    </r>
    <r>
      <rPr>
        <rFont val="Arial"/>
        <color theme="1"/>
      </rPr>
      <t xml:space="preserve">MY, TH, ID, and PH each show real signals worth building on (PH's install volume, ID's lead efficiency, TH's cross-channel activation) — but none have SG's measurement or creative-testing rigor yet, meaning regional growth currently depends heavily on local, ad hoc effort rather than a repeatable system.
</t>
    </r>
  </si>
  <si>
    <r>
      <rPr>
        <rFont val="Arial"/>
        <b/>
        <color theme="1"/>
      </rPr>
      <t>Creative direction, not spend level, is a primary performance lever</t>
    </r>
    <r>
      <rPr>
        <rFont val="Arial"/>
        <color theme="1"/>
      </rPr>
      <t xml:space="preserve">.
Across BUs, the biggest performance swings have come from message/creative angle, not budget size or bidding strategy. This reframes where future investment should go — into a stronger creative testing capability, not simply more media spend.
</t>
    </r>
  </si>
  <si>
    <t>Date Updated: 15th July 2026</t>
  </si>
  <si>
    <t>Data period: 1 - 30 June 2026</t>
  </si>
  <si>
    <t>Platform</t>
  </si>
  <si>
    <t>Campaign Name</t>
  </si>
  <si>
    <t>Objective</t>
  </si>
  <si>
    <t>Target Audience</t>
  </si>
  <si>
    <t>Monthly Budget</t>
  </si>
  <si>
    <t>Current Spend</t>
  </si>
  <si>
    <t>Key Performance Metrics (CPA, ROAS, CTR, CVR)</t>
  </si>
  <si>
    <t>Next Steps</t>
  </si>
  <si>
    <t>Singapore</t>
  </si>
  <si>
    <t>VC &amp; MOBS</t>
  </si>
  <si>
    <t>Google Ads - SG</t>
  </si>
  <si>
    <t>[VC] Leads Gen-Search 14 Apr2026</t>
  </si>
  <si>
    <t>Joined VC</t>
  </si>
  <si>
    <t>Online consultation / teleconsult</t>
  </si>
  <si>
    <t>$190/day</t>
  </si>
  <si>
    <t>CPA: $1.51
ROAS: 2.63
CTR: 7.23%
CVR: 67.68%</t>
  </si>
  <si>
    <t>Scale budget — CPA $1.51 / CVR 67.68% is your top performer, fully spent, has headroom to grow</t>
  </si>
  <si>
    <t>SG - Search - VirtualClinic - Competitors - 11AUG21</t>
  </si>
  <si>
    <t>Competitor keywords (whitecoat, speedoc, mydoc)</t>
  </si>
  <si>
    <t>$145/day</t>
  </si>
  <si>
    <t>CPA: $8.56
ROAS: 2.14
CTR: 4.50%
CVR: 7.79%</t>
  </si>
  <si>
    <t>Hold budget; tighten negative keywords — CVR (7.79%) trails the top Search line by a wide margin</t>
  </si>
  <si>
    <t>SG - MOBS - Search - Child Vaccination - 22Mar23</t>
  </si>
  <si>
    <t>Bookings</t>
  </si>
  <si>
    <t>Child vaccination</t>
  </si>
  <si>
    <t>$29/day</t>
  </si>
  <si>
    <t>CPA: $235.98
ROAS: 0.78
CTR: 6.38%
CVR: 0.23%</t>
  </si>
  <si>
    <t>Pause or reduce budget — ROAS 0.78, CVR 0.23% despite healthy CTR points to booking-flow drop-off, not an ad problem</t>
  </si>
  <si>
    <t>SG - Search - VirtualClinic - Contraceptive New LP - 23Feb23</t>
  </si>
  <si>
    <t>Contraceptive (Yaz, Plan B, Postinor)</t>
  </si>
  <si>
    <t>$70/day</t>
  </si>
  <si>
    <t>CPA: $5.51
ROAS: 3.33
CTR: 7.85%
CVR: 10.68%</t>
  </si>
  <si>
    <t>Scale budget — ROAS 3.33 is one of your best in Search</t>
  </si>
  <si>
    <t>da_ghs_mobs_vaccine_campaign_sg_20260609_bofu_vaccination_prospecting_menshealth_search</t>
  </si>
  <si>
    <t>General vaccination (flu, shingles)</t>
  </si>
  <si>
    <t>$17.86/day</t>
  </si>
  <si>
    <t>CPA: $132.02
ROAS: 1.40
CTR: 3.56%
CVR: 1.60%</t>
  </si>
  <si>
    <t>Underspending at 54% of budget; test a bid increase before touching targeting — ROAS is thin (1.40) so scale cautiously</t>
  </si>
  <si>
    <t>SG - MOBS - Search - Public Health Screening - 05Aug22</t>
  </si>
  <si>
    <t>Public Health Screening</t>
  </si>
  <si>
    <t>CPA: N/A
ROAS: N/A
CTR: 7.31%
CVR: N/A</t>
  </si>
  <si>
    <t>Pause or cut budget — 7.31% CTR with zero bookings means people click but don't convert; that's a landing page/offer mismatch, not a tagging gap. Worth checking what happens post-click before reallocating this budget.</t>
  </si>
  <si>
    <t>da_ghs_mobs_campaign_brandmanifesto_sg_20260624_mofu_DAclinic_prospecting_brandmanifesto_search</t>
  </si>
  <si>
    <t>Traffic</t>
  </si>
  <si>
    <t>Clinic near me</t>
  </si>
  <si>
    <t>$1375 across three months</t>
  </si>
  <si>
    <t>$15.28/day</t>
  </si>
  <si>
    <t>CPA: $7
ROAS: 5.75
CTR: 8.12%
CVR: 8.38%</t>
  </si>
  <si>
    <t>Scale — ROAS 5.75 and only 33% of budget spent, clear room to grow</t>
  </si>
  <si>
    <t>SG - PMAX -VirtualClinic-25Nov25</t>
  </si>
  <si>
    <t>- Doctor in 5 mins
- Flu Surge
- Women's Health
- Kids Clinic (Competitor)
- Kids Clinic (Medication for children)
- Child Vaccination</t>
  </si>
  <si>
    <t>CPA: $4.36
ROAS: 4.21
CTR: 2.72%
CVR: 1.19%</t>
  </si>
  <si>
    <t>Maintain/scale — ROAS 4.21; low CTR is normal for PMax, don't judge it on CTR</t>
  </si>
  <si>
    <t>SG - MOBS - PMAX - Doctor House Call -30June25</t>
  </si>
  <si>
    <t>Doctor House Call</t>
  </si>
  <si>
    <t>$19.35/day</t>
  </si>
  <si>
    <t>CPA: $1,235.06
ROAS: 0.15
CTR: 6.65%
CVR: 0.04%</t>
  </si>
  <si>
    <t>Pause immediately — ROAS 0.15, CPA $1,235; rebuild before relaunching</t>
  </si>
  <si>
    <t>PMAX - DA Gift Vouchers - 22 Nov 2025</t>
  </si>
  <si>
    <t>Women's Health</t>
  </si>
  <si>
    <t>CPA: $542.31
ROAS: 0.34
CTR: 0.52%
CVR: 0.14%</t>
  </si>
  <si>
    <t>Pause — weak across every metric; "gift voucher" framing likely mismatched to Women's Health intent</t>
  </si>
  <si>
    <t>SG - MOBS - PMAX - 6ME Health Screening - 27MAR24</t>
  </si>
  <si>
    <t>6ME Health Screening</t>
  </si>
  <si>
    <t>$33.87/day</t>
  </si>
  <si>
    <t>CPA: $35.59
ROAS: 5.38
CTR: 1.97%
CVR: 0.24%</t>
  </si>
  <si>
    <t>Scale — ROAS 5.38 is strong despite low CVR (typical PMax signal gap)</t>
  </si>
  <si>
    <t>SG_DA_GG_VirtualClinic_App First Open_Android_15Feb23</t>
  </si>
  <si>
    <t>App Installs</t>
  </si>
  <si>
    <t>- Child Health
- Health Screen
- Doctor in 5 mins
- Female Sexual Health
- Child Vaccination
- Everyday Wellness
- Weight Loss
- Doctor House Call
- Flu Surge</t>
  </si>
  <si>
    <t>$129/day</t>
  </si>
  <si>
    <t>CPA: $1.00
ROAS: N/A
CTR: 4.42%
CVR: 29.38%</t>
  </si>
  <si>
    <t>Maintain — CPA $1.00, CVR 29.38% is excellent; check downstream Install→Joined VC rate before adding more budget</t>
  </si>
  <si>
    <t>da_ghs_mobs_RSVvaccine_campaign_sg_20260702_bofu_vaccination_prospecting_rsvsanofi_search</t>
  </si>
  <si>
    <t>RSV vaccine keywords</t>
  </si>
  <si>
    <t>$2,700 across 10 weeks</t>
  </si>
  <si>
    <t>$45.71/day</t>
  </si>
  <si>
    <t>CPA: N/A
ROAS: N/A
CTR: 3.71%
CVR: N/A</t>
  </si>
  <si>
    <t>Relatively new but facing high competition and low engagement.
Recommend to optimise keywords and ad copies</t>
  </si>
  <si>
    <t>da_ghs_mobs_RSVvaccine_campaign_sg_20260702_mofu_vaccination_prospecting_rsvsanofi_demandgen</t>
  </si>
  <si>
    <t>Landing Page Views (Traffic)</t>
  </si>
  <si>
    <t>Kids vaccine</t>
  </si>
  <si>
    <t>$1,400 across 10 weeks</t>
  </si>
  <si>
    <t>$20/day</t>
  </si>
  <si>
    <t>CPA: N/A
ROAS: N/A
CTR: 0.72%
CVR: N/A</t>
  </si>
  <si>
    <t>Relatively new and not much insights to gather</t>
  </si>
  <si>
    <t>Meta Ads - Doctor Anywhere (SG)</t>
  </si>
  <si>
    <t>SG_DA_FB_MOBS_LDPV_Health Screening_Mother's Day</t>
  </si>
  <si>
    <t>- Senior caregiver
- Retargeting
- Male gifter</t>
  </si>
  <si>
    <t>$33/day</t>
  </si>
  <si>
    <t>CPA: $0.44
ROAS: N/A
CTR: 4.17%
CVR: 2.42%</t>
  </si>
  <si>
    <t>Pause/archive — seasonal flight has passed</t>
  </si>
  <si>
    <t>da_all_general_sg_campaign_brandmanifesto_20260618_tofu_awareness_adrecall_prospecting</t>
  </si>
  <si>
    <t>Ad recall lift (Awareness)</t>
  </si>
  <si>
    <t>Broad targeting</t>
  </si>
  <si>
    <t>$8,000 across 3 months</t>
  </si>
  <si>
    <t>$88/day</t>
  </si>
  <si>
    <t>CPA: $0.31
ROAS: N/A
CTR: 0.12%
CVR: 0.52%</t>
  </si>
  <si>
    <t>Let it run to end of 3-month flight; judge on recall/reach, not CTR</t>
  </si>
  <si>
    <t>SG_DA_FB_MOBS_Conversion_Baby Phototherapy_Apr26</t>
  </si>
  <si>
    <t>- New Mom
- Pregnancy</t>
  </si>
  <si>
    <t>CPA: $69
ROAS: 2.68
CTR: 0.66%
CVR: 2.69%</t>
  </si>
  <si>
    <t>Maintain budget, refresh creative — ROAS 2.68 works, but CTR (0.66%) suggests ad fatigue</t>
  </si>
  <si>
    <t>SG_DA_FB_VirtualClinic_Awareness_All Service_Pros</t>
  </si>
  <si>
    <t>Reach (Awareness)</t>
  </si>
  <si>
    <t>- Covid
- Kids Clinic</t>
  </si>
  <si>
    <t>$48/day</t>
  </si>
  <si>
    <t>CPA: $2.15
ROAS: N/A
CTR: 0.09%
CVR: N/A</t>
  </si>
  <si>
    <t>Refresh creative — 0.09% CTR is low even for a reach objective</t>
  </si>
  <si>
    <t>SG_DA_FB_MOBS_Conversion_Child Vacc_Feb26</t>
  </si>
  <si>
    <t>Parents looking for child vaccination</t>
  </si>
  <si>
    <t>CPA: $147
ROAS: 1.23
CTR: 0.70%
CVR: 0.67%</t>
  </si>
  <si>
    <t>Test new creative/audience before scaling — ROAS 1.23 is marginal</t>
  </si>
  <si>
    <t>SG_DA_FB_MOBS_Conversion_Doctor House Call-Branding_Apr26</t>
  </si>
  <si>
    <t>$12/day</t>
  </si>
  <si>
    <t>CPA: $190
ROAS: 0.98
CTR: 0.70%
CVR: 0.29%</t>
  </si>
  <si>
    <t>Pause/cut — ROAS 0.98 (breakeven); combine with Google PMax House Call failure, House Call needs an offer rethink, not a media fix</t>
  </si>
  <si>
    <t>da_ghs_mobs_healthscreening_sg_campaign_menshealth_20260609_mofu_sales_marketplacepageview_prospecting</t>
  </si>
  <si>
    <t>Health Screening</t>
  </si>
  <si>
    <t>$10/day</t>
  </si>
  <si>
    <t>CPA: $369.65
ROAS: 0.50
CTR: 1.35%
CVR: 0.17%</t>
  </si>
  <si>
    <t>Pause — ROAS 0.50 and underspending; reallocate to the Orchard MedSuites PMax winner (ROAS 6.36)</t>
  </si>
  <si>
    <t>SG_DA_FB_VirtualClinic_App-Install_AOS_Always-On_Nov25</t>
  </si>
  <si>
    <t>- Kids &amp; Parents
- Flu Surge
- Covid</t>
  </si>
  <si>
    <t>$117/day</t>
  </si>
  <si>
    <t>CPA: $2.87
ROAS: N/A
CTR: 0.36%
CVR: 0.07%</t>
  </si>
  <si>
    <t>Test new creative to lift CTR (0.36%); Google's Android install line is more efficient (CPA $1.00 vs $2.87) — consider shifting incremental install budget there</t>
  </si>
  <si>
    <t>da_ghs_mobs_vaccine_sg_campaign_rsvsanofi_20260702_bofu_sales_bookingform_prospecting</t>
  </si>
  <si>
    <t>$2,340 across 8 weeks</t>
  </si>
  <si>
    <t>$32.86/day</t>
  </si>
  <si>
    <t>CPA: $20.61
ROAS: N/A
CTR: 17.23%
CVR: 0.29%</t>
  </si>
  <si>
    <t>Healthy CPA and CTR. Potential to scale further if there's any additional budget</t>
  </si>
  <si>
    <t>Apple Search Ads - SG</t>
  </si>
  <si>
    <t>SG - ASA - VirtualClinic - Search Results - Telehealth - 13July22</t>
  </si>
  <si>
    <t>- General Health
- Health &amp; Fitness
- Medical App</t>
  </si>
  <si>
    <t>$80/day</t>
  </si>
  <si>
    <t>CPA: $0.79
ROAS: N/A
CTR: 2.44%
CVR: 88%</t>
  </si>
  <si>
    <t>Scale — CPA $0.79, most efficient install channel in the set</t>
  </si>
  <si>
    <t>SG - ASA - VirtualClinic - Search Results - Competitors - 28APR22</t>
  </si>
  <si>
    <t>Direct Competitors</t>
  </si>
  <si>
    <t>CPA: $1.07
ROAS: N/A
CTR: 2.74%
CVR: 87.82%</t>
  </si>
  <si>
    <t>Maintain — consistent with Telehealth line</t>
  </si>
  <si>
    <t xml:space="preserve">G - ASA - VirtualClinic - Search Results - Brand - May26
</t>
  </si>
  <si>
    <t>Brand keywords</t>
  </si>
  <si>
    <t>CPA: $0.54
ROAS: N/A
CTR: 2.62%
CVR: 137.9%</t>
  </si>
  <si>
    <t>Verify attribution setup before reporting — CVR of 137.9% signals a measurement issue</t>
  </si>
  <si>
    <t xml:space="preserve">da_ghs_vc_sg_campaign_menshealth_20260610_bofu_mentalhealth_prospecting_asa_searchresults
</t>
  </si>
  <si>
    <t>Mental health keywords</t>
  </si>
  <si>
    <t>$17/day</t>
  </si>
  <si>
    <t>CPA: $0.34
ROAS: N/A
CTR: 3.66%
CVR: 166.83%</t>
  </si>
  <si>
    <t>Same attribution check as above; once fixed, scale — heavily underspent (51%) at strong raw efficiency</t>
  </si>
  <si>
    <t>Taboola Ads</t>
  </si>
  <si>
    <t>da_all_general_campaign_brandmanifesto_20260618_tofu_sg_awareness_reach_prospecting_healthcare</t>
  </si>
  <si>
    <t>Awareness</t>
  </si>
  <si>
    <t>Medical &amp; Health</t>
  </si>
  <si>
    <t>$2000 across 3 months</t>
  </si>
  <si>
    <t>CPA: $0
ROAS: N/A
CTR: 0.64%
CVR: 0%</t>
  </si>
  <si>
    <t>Let run to 3-month mark as pure awareness; don't renew without a clearer KPI — 0% CVR</t>
  </si>
  <si>
    <t>TikTok Ads (SG)</t>
  </si>
  <si>
    <t>da_ghs_mobs_vaccine_sg_campaign_rsvsanofi_20260709_tofu_videoviews_6second_prospecting</t>
  </si>
  <si>
    <t>$960 across 8 weeks</t>
  </si>
  <si>
    <t>$17.14/day</t>
  </si>
  <si>
    <t>CPA: $0
ROAS: N/A
CTR: 0.82%
CVR: 0%</t>
  </si>
  <si>
    <t>Relatively new campaign and not much data gathered for insights</t>
  </si>
  <si>
    <t>Google Ads - DA Bideford Pte Ltd - SG</t>
  </si>
  <si>
    <t>SG - PMAX - DA Orchard Medsuites - 01July24</t>
  </si>
  <si>
    <t>- General
- Competitor
- Cardiac / Olive</t>
  </si>
  <si>
    <t>$110/day</t>
  </si>
  <si>
    <t>CPA: $69.95
ROAS: 6.36
CTR: 5.38%
CVR: 2.42%</t>
  </si>
  <si>
    <t>Scale — ROAS 6.36, best performer across all of MedSuites; prioritize incremental budget here first</t>
  </si>
  <si>
    <t>da_medsuites_campaign_sg_20260609_bofu_healthscreening_prospecting_menshealth_search</t>
  </si>
  <si>
    <t>Men Health Screening</t>
  </si>
  <si>
    <t>$25/day</t>
  </si>
  <si>
    <t>CPA: $659.52
ROAS: 0.67
CTR: 3.87%
CVR: 0.93%</t>
  </si>
  <si>
    <t>Pause or reduce budget — ROAS 0.67 and underspent; reallocate to Orchard PMax</t>
  </si>
  <si>
    <t>da_medsuites_campaign_sg_20260610_bofu_healthscreening_prospecting_menshealth_pmax</t>
  </si>
  <si>
    <t>Men's Health</t>
  </si>
  <si>
    <t>CPA: $0
ROAS: N/A
CTR: 2.26%
CVR: 0%</t>
  </si>
  <si>
    <t>Pause — zero conversions, underspent; same Men's Health audience as above also failing, points to an audience/offer issue</t>
  </si>
  <si>
    <t>Meta Ads - DA MedSuites</t>
  </si>
  <si>
    <t>DA_MedSuites_FB_Conversion_Health Screening_Feb26</t>
  </si>
  <si>
    <t>- Health &amp; Luxury
- Owner &amp; Senior</t>
  </si>
  <si>
    <t>$64.52/day</t>
  </si>
  <si>
    <t>CPA: $0
ROAS: N/A
CTR: 2.19%
CVR: 0%</t>
  </si>
  <si>
    <t>Pause immediately — zero bookings on your highest MedSuites Meta spend is a straightforward underperformer. Reallocate to SG-PMAX-DA Orchard Medsuites (ROAS 6.36).</t>
  </si>
  <si>
    <t>DA_MedSuites_FB_Awareness_Health Screening_Feb26</t>
  </si>
  <si>
    <t>Owner &amp; Senior</t>
  </si>
  <si>
    <t>$19/day</t>
  </si>
  <si>
    <t>CPA: $2.72
ROAS: N/A
CTR: 0.07%
CVR: 46.85%</t>
  </si>
  <si>
    <t>Maintain budget to gather reach and awareness among new audiences</t>
  </si>
  <si>
    <t>da_medsuite_healthscreening_sg_bau_menshealth_20260609_mofu_sales_purchase_prospecting</t>
  </si>
  <si>
    <t>CPA: $0
ROAS: N/A
CTR: 0.90%
CVR: 0%</t>
  </si>
  <si>
    <t>Pause — third zero-conversion MedSuites line; consolidate into Orchard PMax</t>
  </si>
  <si>
    <t>Google Ads - Soda by DA</t>
  </si>
  <si>
    <t>SODA - Search - Employee Benefits - 09Sep25</t>
  </si>
  <si>
    <t>Leads</t>
  </si>
  <si>
    <t>Employee Benefits</t>
  </si>
  <si>
    <t>CPA: $426
CTR: 1.92%
CVR: 3.23%</t>
  </si>
  <si>
    <t>Tighten keywords/negatives — CPA $426 is ~2x your $200–250 benchmark</t>
  </si>
  <si>
    <t>SODA - PMAX - 14Oct25</t>
  </si>
  <si>
    <t>Employee Medical Insurance &amp; Benefits</t>
  </si>
  <si>
    <t>$41/day</t>
  </si>
  <si>
    <t>CPA: $225.15
CTR: 2.13%
CVR: 0.55%</t>
  </si>
  <si>
    <t>Maintain — CPA $225 is within benchmark</t>
  </si>
  <si>
    <t>SODA - Search - Brand</t>
  </si>
  <si>
    <t>SODA brand keywords</t>
  </si>
  <si>
    <t>CPA: $81.82
CTR: 7.79%
CVR: 4.88%</t>
  </si>
  <si>
    <t>Scale — CPA $81.82, cheapest SODA lead source by far</t>
  </si>
  <si>
    <t>Meta Ads - Soda by DA</t>
  </si>
  <si>
    <t>SODA_FB_Lead Gen_SodaPacks_May26</t>
  </si>
  <si>
    <t>Lookalike audiences (1% - 3%)</t>
  </si>
  <si>
    <t>$35/day</t>
  </si>
  <si>
    <t>CPA: $253.05
CTR: 0.80%
CVR: 6.94%</t>
  </si>
  <si>
    <t>Refresh creative — CTR 0.80% is the leak; CVR is healthy once clicked</t>
  </si>
  <si>
    <t>SODA_FB_Lead Gen_06Nov25</t>
  </si>
  <si>
    <t>HR &amp; SME Owners</t>
  </si>
  <si>
    <t>$32/day</t>
  </si>
  <si>
    <t>CPA: $533.15
CTR: 0.87%
CVR: 1.18%</t>
  </si>
  <si>
    <t>Pause or reduce budget — CPA $533, worst in SODA set; reallocate to Brand Search or SodaPacks lookalike</t>
  </si>
  <si>
    <t>Thailand</t>
  </si>
  <si>
    <t>Google Ads -TH</t>
  </si>
  <si>
    <t>TH - Corporate Health Screening - 25Jan23</t>
  </si>
  <si>
    <t>Corporate Health Screening</t>
  </si>
  <si>
    <t>$500 (13k Bhat)</t>
  </si>
  <si>
    <t>$16.67 (433 Bhat)</t>
  </si>
  <si>
    <t>CPA: 203.51 Bhat
CTR: 8.02%
CVR: 6.47%</t>
  </si>
  <si>
    <t>Can maintain but check with TH BD team on leads quality</t>
  </si>
  <si>
    <r>
      <rPr/>
      <t xml:space="preserve">Upcoming campaign from TH for July will focus on VC Mental Health Consultation package:
- </t>
    </r>
    <r>
      <rPr>
        <color rgb="FF1155CC"/>
        <u/>
      </rPr>
      <t xml:space="preserve">Campaign brief
</t>
    </r>
    <r>
      <rPr/>
      <t xml:space="preserve">- </t>
    </r>
    <r>
      <rPr>
        <color rgb="FF1155CC"/>
        <u/>
      </rPr>
      <t xml:space="preserve">Budget planning
</t>
    </r>
    <r>
      <rPr/>
      <t xml:space="preserve">- </t>
    </r>
    <r>
      <rPr>
        <color rgb="FF1155CC"/>
        <u/>
      </rPr>
      <t>Ad copies</t>
    </r>
  </si>
  <si>
    <t>Philippines</t>
  </si>
  <si>
    <t>Google Ads PH</t>
  </si>
  <si>
    <t>PH - Search - Cocolife - 27May24</t>
  </si>
  <si>
    <t>App install (VC)</t>
  </si>
  <si>
    <t>Cocolife provider keywords</t>
  </si>
  <si>
    <t>$400 (18,800 Pesos)</t>
  </si>
  <si>
    <t>$13 (626 Pesos)</t>
  </si>
  <si>
    <t>CPA: 36.78 Pesos
CTR: 8.78%
CVR: 33.56%</t>
  </si>
  <si>
    <t>Can maintain budget but check with PH team if there's room to scale up</t>
  </si>
  <si>
    <t>PH - Search - Generali - 27May24</t>
  </si>
  <si>
    <t>Generali provider keywords</t>
  </si>
  <si>
    <t>CPA: 20.65 Pesos
CTR: 12.96%
CVR: 32.88%</t>
  </si>
  <si>
    <t>PH - Search - Etiqa - 13June24</t>
  </si>
  <si>
    <t>Etiqa provider keywords</t>
  </si>
  <si>
    <t>$124 (5,929 Pesos)</t>
  </si>
  <si>
    <t>$4 (200 Pesos)</t>
  </si>
  <si>
    <t>CPA: 48.35 Pesos
CTR: 7.89%
CVR: 37.78%</t>
  </si>
  <si>
    <t>PH - PMAX - Online Doctor B2C - 08July24</t>
  </si>
  <si>
    <t>Online Doctor</t>
  </si>
  <si>
    <t>$350 (16,736 Pesos)</t>
  </si>
  <si>
    <t>$11 (500 Pesos)</t>
  </si>
  <si>
    <t>CPA: 25.35 Pesos
CTR: 14.71%
CVR: 26.80%</t>
  </si>
  <si>
    <t>Android - App Install First Open - 24Apr24</t>
  </si>
  <si>
    <t>- Kid's Health
- Women's Health
- Hair and Skin Health
- Reproductive Health
- Men's Health
- Common Health Conditions</t>
  </si>
  <si>
    <t>$500 (23,500 Pesos)</t>
  </si>
  <si>
    <t>$16 (783 Pesos)</t>
  </si>
  <si>
    <t>CPA: 3 Pesos
CTR: 8.92%
CVR: 43.93%</t>
  </si>
  <si>
    <t>Apple Search Ads - PH</t>
  </si>
  <si>
    <t>Generic Doctor App</t>
  </si>
  <si>
    <t>Doctor Consult</t>
  </si>
  <si>
    <t>$700 (32,900 Pesos)</t>
  </si>
  <si>
    <t>$23 (1,096 Pesos)</t>
  </si>
  <si>
    <t>CPA: 13.87 Pesos
CTR: 3.04%
CVR: 109.03%</t>
  </si>
  <si>
    <t>Can likely reallocate budget from here to other campaigns that cam drive VC</t>
  </si>
  <si>
    <t>ID and MY (No campaigns running at the moment)</t>
  </si>
  <si>
    <t>Date Updated: 2nd July 2026</t>
  </si>
  <si>
    <t>Date from Jan - Jun 2026</t>
  </si>
  <si>
    <t>Account</t>
  </si>
  <si>
    <t>Key Indicator</t>
  </si>
  <si>
    <t>General - App</t>
  </si>
  <si>
    <t>Google Search</t>
  </si>
  <si>
    <t>Doctor Anywhere - SG</t>
  </si>
  <si>
    <t>SG - Search - VirtualClinic - 19Aug24</t>
  </si>
  <si>
    <t>ROAS: 2.67x</t>
  </si>
  <si>
    <t>Telehealth Competitors</t>
  </si>
  <si>
    <t>ROAS: 3.52x</t>
  </si>
  <si>
    <t>Morning-After Pill</t>
  </si>
  <si>
    <t>ROAS: 4.26x</t>
  </si>
  <si>
    <t>Doctor in 5 mins</t>
  </si>
  <si>
    <t>Pmax</t>
  </si>
  <si>
    <t>ROAS: 3.38x</t>
  </si>
  <si>
    <t>[Kids- Clinic] Competitor</t>
  </si>
  <si>
    <t>ROAS: 3.25x</t>
  </si>
  <si>
    <t>Female Sexual Health</t>
  </si>
  <si>
    <t>Cost per Install: $1.01</t>
  </si>
  <si>
    <t>Broad audience (All Creative)</t>
  </si>
  <si>
    <t>Meta</t>
  </si>
  <si>
    <t>Cost per Install: $4.45</t>
  </si>
  <si>
    <t>Travel - Android</t>
  </si>
  <si>
    <t>Cost per Install: $4.18</t>
  </si>
  <si>
    <t>General Search Terms</t>
  </si>
  <si>
    <t>Apple Search Ads</t>
  </si>
  <si>
    <t>Cost per Install: $0.57</t>
  </si>
  <si>
    <t>ROAS: 2.88x</t>
  </si>
  <si>
    <t>ROAS: 7.29x</t>
  </si>
  <si>
    <t>Women's Health Screening (Bright Colour B)</t>
  </si>
  <si>
    <t>SG - MOBS - PMAX - WMH - Health Screening - 05Mar26</t>
  </si>
  <si>
    <t>ROAS: 2.49x</t>
  </si>
  <si>
    <t>Mother'sDay</t>
  </si>
  <si>
    <t>SG - MOBS - PMAX - Flu Vaccinations - Apr26</t>
  </si>
  <si>
    <t>ROAS: 8.04x</t>
  </si>
  <si>
    <t>New Mom</t>
  </si>
  <si>
    <t>ROAS: 2.11x</t>
  </si>
  <si>
    <t>T1 - Prospecting, Remarketing (single images and carousel)</t>
  </si>
  <si>
    <t>SG_DA_FB_Purchase_Gift Vouchers_No25</t>
  </si>
  <si>
    <t>General/Competitor</t>
  </si>
  <si>
    <t>DA Bideford Pte Ltd - SG</t>
  </si>
  <si>
    <t>ROAS: 4.58x</t>
  </si>
  <si>
    <t>SG - PMAX - DA Orchard Medsuites - Women's Health - MAR26</t>
  </si>
  <si>
    <t>ROAS: 2.28x</t>
  </si>
  <si>
    <t>A30-65_Owner &amp; Senior</t>
  </si>
  <si>
    <t>ROAS: 21.66x</t>
  </si>
  <si>
    <t>A30_WMH</t>
  </si>
  <si>
    <t>ROAS: 21.87x</t>
  </si>
  <si>
    <t>A30-65_Healthy &amp; Luxury</t>
  </si>
  <si>
    <t>ROAS: 4.79x</t>
  </si>
  <si>
    <t>Admin-Free Experience (Theme 2)</t>
  </si>
  <si>
    <t>SODA by DA</t>
  </si>
  <si>
    <t>Cost per lead: $87.65</t>
  </si>
  <si>
    <t>Soda by DA</t>
  </si>
  <si>
    <t>Cost per lead: $92.01</t>
  </si>
  <si>
    <t>Pros_Owner &amp; HR_Soda-Flex-Scare</t>
  </si>
  <si>
    <t>Cost per lead: $100.61</t>
  </si>
  <si>
    <t>Pros_T4 Soda Flex - Dynamic Ad 2 (image +vid)</t>
  </si>
  <si>
    <t>Cost per lead: $106.02</t>
  </si>
  <si>
    <t>BU / Platform</t>
  </si>
  <si>
    <t>Campaign Learnings</t>
  </si>
  <si>
    <t>Optimization Tactics</t>
  </si>
  <si>
    <t>VC – Apple Search Ads</t>
  </si>
  <si>
    <t>Branded and generic-keyword traffic drives most ASA volume, meaning scaled results reflect high existing intent rather than incremental demand capture</t>
  </si>
  <si>
    <t>Segment campaigns into branded vs. generic keyword groups to isolate true incrementality before scaling further</t>
  </si>
  <si>
    <t>VC – Google Search/App</t>
  </si>
  <si>
    <t>Reducing bids to control cost directly trades away Join VC volume — the relationship is near-linear, not diminishing</t>
  </si>
  <si>
    <t>Use small, reversible bid tests (e.g. ±20%) rather than large cuts, and revert quickly if volume drops faster than cost savings justify</t>
  </si>
  <si>
    <t>VC – Google PMax</t>
  </si>
  <si>
    <t>Feeding PMax richer audience signals (not just broader budget) is what unlocks better targeting and lower CPA — budget alone doesn't fix PMax underperformance</t>
  </si>
  <si>
    <t>Prioritize audience signal enrichment (customer lists, on-site behavior) before adjusting PMax budget up or down</t>
  </si>
  <si>
    <t>VC – Meta</t>
  </si>
  <si>
    <t>Rising cost-per-conversion despite stable or falling spend is a creative fatigue signal specific to the funnel, not a targeting or budget problem</t>
  </si>
  <si>
    <t>Treat CPA creep with flat spend as a trigger for creative refresh first, before touching audience or bids</t>
  </si>
  <si>
    <t>VC – Full-funnel channel mix</t>
  </si>
  <si>
    <t>Diversifying beyond Google's bottom-funnel focus into upper/mid-funnel channels (TikTok, awareness Meta) produces softer immediate ROAS by design — the metric to judge these channels on is reach/engagement, not CPA</t>
  </si>
  <si>
    <t>Set separate KPI thresholds for awareness-stage channels (reach/engagement-based) vs. conversion-stage channels (CPA/ROAS-based) rather than holding all channels to one standard</t>
  </si>
  <si>
    <t>MOBS vs. MedSuites – Meta</t>
  </si>
  <si>
    <t>The same platform (Meta) performs at opposite ends of the spectrum depending on BU — strong for MedSuites, weakest for MOBS</t>
  </si>
  <si>
    <t>Never evaluate Meta performance in aggregate across BUs; budget decisions must be made at the BU level, not the platform level</t>
  </si>
  <si>
    <t>MOBS/Vaccination – Google (regional)</t>
  </si>
  <si>
    <t>Search campaigns for lower-consideration services (e.g. general health topics) attract informational-intent users rather than booking-ready ones, capping efficiency regardless of bid strategy</t>
  </si>
  <si>
    <t>For low-intent/informational search terms, shift budget to PMax or Meta rather than continuing to optimize Search bids — the ceiling is demand-side, not execution-side</t>
  </si>
  <si>
    <t>MedSuites – Meta</t>
  </si>
  <si>
    <t>Narrow, high-value audiences (e.g. Owner/CEO-only) shrink reach too far and choke volume, but overly broad targeting dilutes intent</t>
  </si>
  <si>
    <t>The effective range sits at "senior-level/luxury lifestyle" — broader than a single job title, narrower than mass reach</t>
  </si>
  <si>
    <t>MedSuites – Meta (creative)</t>
  </si>
  <si>
    <t>Video creative showcasing the physical clinic/environment consistently outperformed static or carousel formats on conversions, ROAS, and CTR</t>
  </si>
  <si>
    <t>Prioritize environment/lifestyle video as the default creative format for MedSuites Meta, reserving static for retargeting only</t>
  </si>
  <si>
    <t>SODA – LinkedIn</t>
  </si>
  <si>
    <t>High CPL with no confirmed downstream conversion held consistently across both SODA and MOBS use cases — this wasn't a one-off, it's a channel-fit issue for this stage of the business</t>
  </si>
  <si>
    <t>Default to pausing LinkedIn prospecting until there's a confirmed lead-quality signal to justify its CPL premium; don't re-test without a new hypothesis</t>
  </si>
  <si>
    <t>SODA – Google Search</t>
  </si>
  <si>
    <t>Irrelevant query traffic (payroll systems, generic HR software) was diluting lead quality even while volume looked healthy</t>
  </si>
  <si>
    <t>Maintain an active negative-keyword list as a standing task, not a one-time setup — query drift recurred multiple cycles</t>
  </si>
  <si>
    <t>SODA – Creative (cross-platform)</t>
  </si>
  <si>
    <t>Loss-aversion/inefficiency-exposure messaging ("outdated plans cost 3x more") consistently and repeatedly outperformed solution-forward messaging ("get better benefits") across test cycles
However, June data show solution-forward creative still performing on efficiency-themed campaigns, worth re-testing before treating as fully settled</t>
  </si>
  <si>
    <t>Anchor all new SODA creative production in loss-aversion framing as the validated default; solution-forward should not be reintroduced without a new test rationale</t>
  </si>
  <si>
    <t>Initiatives that did not perform well</t>
  </si>
  <si>
    <t>Initiative</t>
  </si>
  <si>
    <t>What Happened</t>
  </si>
  <si>
    <t>Lesson Learned</t>
  </si>
  <si>
    <t>VC – Taboola</t>
  </si>
  <si>
    <t>Programmatic native prospecting</t>
  </si>
  <si>
    <t>4 installs on ~SGD 5.5K spend</t>
  </si>
  <si>
    <t>Native/programmatic placements attract low-intent, browsing traffic — a mismatch for healthcare acquisition, which needs higher-intent entry points</t>
  </si>
  <si>
    <t>GHS – Google PMax</t>
  </si>
  <si>
    <t>Gift Voucher campaign (Women's Health tie-in)</t>
  </si>
  <si>
    <t>ROAS 0.34, weak across CTR/CVR</t>
  </si>
  <si>
    <t>Occasion/gifting framing that worked for MedSuites didn't transfer cleanly to a lower-relevance product tie — a creative formula's success is BU-specific, not automatically portable across services</t>
  </si>
  <si>
    <t>MOBS – Google PMax + Meta</t>
  </si>
  <si>
    <t>Failed simultaneously on both platforms (PMax ROAS 0.15, Meta ROAS 0.98)</t>
  </si>
  <si>
    <t>When a single service fails across unrelated platforms at the same time, the problem is the product/offer, not either channel's execution — don't optimize channel-by-channel, rework the offer first</t>
  </si>
  <si>
    <t>MOBS – YouTube (Doctor House Call)</t>
  </si>
  <si>
    <t>YouTube Non-Skip, used as a conversion placement</t>
  </si>
  <si>
    <t>Zero conversions despite meaningful spend, while Google PMax and Meta drove hundreds of conversions in the same campaign group</t>
  </si>
  <si>
    <t>High-reach video formats (Non-Skip) build awareness but shouldn't be budgeted or judged as conversion drivers — the objective mismatch was the failure, not the format itself</t>
  </si>
  <si>
    <t>MOBS – Meta (Mother's Day)</t>
  </si>
  <si>
    <t>Vaccination and Flu Vacc conversion campaigns</t>
  </si>
  <si>
    <t>Zero conversions despite spend and decent reach, while Doctor House Call in the same flight converted efficiently (CPA $11.15)</t>
  </si>
  <si>
    <t>Reach/engagement performing well doesn't guarantee conversion readiness — within the same campaign umbrella, budget should flow to the service actually converting, not be spread evenly across services by default</t>
  </si>
  <si>
    <t>MedSuites – Google (x2) + Meta</t>
  </si>
  <si>
    <t>Men's Health / Health Screening prospecting</t>
  </si>
  <si>
    <t>Three separate campaigns, two platforms, zero conversions, same target audience</t>
  </si>
  <si>
    <t>Repeated zero-conversion results on the same audience across platforms is an audience-offer mismatch, not a tracking gap — consolidate rather than keep testing platform variations</t>
  </si>
  <si>
    <t>Women's Health (narrow targeting)</t>
  </si>
  <si>
    <t>Paused due to high CPA despite decent CTR (~5%)</t>
  </si>
  <si>
    <t>Narrow, single-theme audiences (e.g. "Women's Health" as a standalone segment) can look promising on engagement but fail to convert profitably — broader "luxury lifestyle" targeting outperformed the narrow version</t>
  </si>
  <si>
    <t>SODA + MOBS – LinkedIn</t>
  </si>
  <si>
    <t>B2B/prospecting on LinkedIn</t>
  </si>
  <si>
    <t>High CPL, no confirmed conversions in either BU (SG)</t>
  </si>
  <si>
    <t>Consistent underperformance across two unrelated BUs points to a channel-fit issue at current budget/stage — needs a strategy rework before re-testing, not just a budget bump</t>
  </si>
  <si>
    <t>SODA – Meta</t>
  </si>
  <si>
    <t>Ongoing lead gen creative</t>
  </si>
  <si>
    <t>CPL rose +10.6%, MQLs fell -26% despite using the validated loss-aversion message</t>
  </si>
  <si>
    <t>Even a proven-winning message decays without a refresh cadence — validated creative direction isn't a one-time fix, it needs to be executed on a rotation</t>
  </si>
  <si>
    <t>Seasonality-specific insights</t>
  </si>
  <si>
    <t>Season</t>
  </si>
  <si>
    <t>What we learned</t>
  </si>
  <si>
    <t>CNY</t>
  </si>
  <si>
    <t>VC volume historically increases post-CNY, driven by travel-related illness among returning holiday travelers. Retargeting and prospecting budget (Flu Surge creative) should be increased in the weeks following CNY to capture this demand spike.</t>
  </si>
  <si>
    <t>Back-to-school season</t>
  </si>
  <si>
    <t>Child Vaccination and Kids Clinic campaigns see a natural lift post-back-to-school; in-app pop-up reminders timed to this period have been used to reinforce paid activity.</t>
  </si>
  <si>
    <t>Mother's Day</t>
  </si>
  <si>
    <t>Consistently DA's strongest seasonal moment — occasion-based creative outperformed generic messaging by a wide margin (e.g. +60% CTR uplift on MOBS/House Call ads; MedSuites gift-voucher messaging built around this occasion). Should be treated as an annual, plannable campaign moment, not a one-off — worth building the creative brief 4–6 weeks ahead each year rather than reacting.</t>
  </si>
  <si>
    <t>Year-end / New Year dip</t>
  </si>
  <si>
    <t>Lead and MQL volume for SODA predictably drops in the last week of December through early January. This is expected seasonal softness, not a performance failure — important to flag so a successor doesn't misread the dip as a channel or creative problem during year-end reporting.</t>
  </si>
  <si>
    <t>Open question worth flagging, not an insight yet</t>
  </si>
  <si>
    <t>Prior analysis noted an unusual 3x spike in signups on Jan 2, possibly tied to public holiday leave patterns — this was never fully investigated. Worth handing off as a flagged opportunity for the team to explore, rather than presenting it as a confirmed pattern</t>
  </si>
  <si>
    <t>Date Updated: 1st July 2026</t>
  </si>
  <si>
    <t>Account Name</t>
  </si>
  <si>
    <t>Platform ID</t>
  </si>
  <si>
    <t>Admins</t>
  </si>
  <si>
    <t>Non-Admins</t>
  </si>
  <si>
    <t>Billing Owner</t>
  </si>
  <si>
    <t>Actions required for ownership transfer</t>
  </si>
  <si>
    <t>Remarks</t>
  </si>
  <si>
    <t>731-900-9450</t>
  </si>
  <si>
    <t>waimun@doctoranywhere.com</t>
  </si>
  <si>
    <t>Google Ads payment done by monthly invoicing</t>
  </si>
  <si>
    <t>WM already admin</t>
  </si>
  <si>
    <t>Admin managed through Google Ads Manager</t>
  </si>
  <si>
    <t>928-181-2301</t>
  </si>
  <si>
    <t xml:space="preserve">
dang.tran@doctoranywhere.com</t>
  </si>
  <si>
    <t>494-803-9078</t>
  </si>
  <si>
    <t>louis.carcouet@doctoranywhere.com
helen.hidvegi@doctoranywhere.com</t>
  </si>
  <si>
    <t>Doctor Anywhere - TH</t>
  </si>
  <si>
    <t>649-072-6097</t>
  </si>
  <si>
    <t>da@adk.com.sg
marketingops@doctoranywhere.com
royston.teo@adk.com.sg
xy.ng@doctoranywhere.com</t>
  </si>
  <si>
    <t>kittithat.yongsirasawad@doctoranywhere.com
manannat.sirikanchana@doctoranywhere.com</t>
  </si>
  <si>
    <t>Paid by TH team</t>
  </si>
  <si>
    <t>Invited Wai Mun to the account
However, no other active admins are available in this account so I've escalated it to Google Ads support</t>
  </si>
  <si>
    <t>Doctor Anywhere - PH</t>
  </si>
  <si>
    <t>289-100-7845</t>
  </si>
  <si>
    <t>leorica.sherhe@doctoranywhere.com
marketingops@doctoranywhere.com
princess.santos@doctoranywhere.com</t>
  </si>
  <si>
    <t>Paid by PH Team</t>
  </si>
  <si>
    <t>Doctor Anywhere MY</t>
  </si>
  <si>
    <t>447-397-9131</t>
  </si>
  <si>
    <t>meiyan.lee@doctoranywhere.com</t>
  </si>
  <si>
    <t>Paid by MY Team</t>
  </si>
  <si>
    <t>Kinship by DA</t>
  </si>
  <si>
    <t>166-380-4460</t>
  </si>
  <si>
    <t>jordan.pinto@doctoranywhere.com
richa.wulansari@doctoranywhere.com
kenneth.kwek@doctoranywhere.com</t>
  </si>
  <si>
    <t>Doctor Anywhere - Master Account</t>
  </si>
  <si>
    <t>986-943-2203</t>
  </si>
  <si>
    <t>da@adk.com.sg
marketingops@doctoranywhere.com</t>
  </si>
  <si>
    <t>amreel.rohaizan@doctoranywhere.com
khaleeda.arpandi@doctoranywhere.com</t>
  </si>
  <si>
    <t>Google Ads Manager Account. Can manage all Google Ads account through this manager account</t>
  </si>
  <si>
    <t>Meta Ads</t>
  </si>
  <si>
    <t>DA Medsuites</t>
  </si>
  <si>
    <t>Business Center ID: 922310092835155</t>
  </si>
  <si>
    <t>jean.landicho@doctoranywhere.com
jordan.pinto@doctoranywhere.com
dang.tran@doctoranywhere.com
waimun@doctoranywhere.com</t>
  </si>
  <si>
    <t>faezah.samad@doctoranywhere.com
gloria.tham@doctoranywhere.com</t>
  </si>
  <si>
    <t>jean.landicho@doctoranywhere.com
jordan.pinto@doctoranywhere.com
waimun@doctoranywhere.com</t>
  </si>
  <si>
    <t>To assign another person as a billing admin for payments</t>
  </si>
  <si>
    <t>Doctor Anywhere (SG &amp; DA)</t>
  </si>
  <si>
    <t>Business Center ID: 150815218863834</t>
  </si>
  <si>
    <t>sarah@doctoranywhere.com
jean.landicho@doctoranywhere.com
jordan.pinto@doctoranywhere.com
wayne.lim.wm@gmail.com
shalihin@doctoranywhere.com
louis.carcouet+meta@doctoranywhere.com
louis.carcouet@doctoranywhere.com
jayme.leong@doctoranywhere.com
dang.tran@doctoranywhere.com</t>
  </si>
  <si>
    <t>gloria.tham@doctoranywhere.com</t>
  </si>
  <si>
    <t>To assign another person as a billing admin for payments
SODA by DA is also connected in this business center</t>
  </si>
  <si>
    <t>Doctor Anywhere ประเทศไทย</t>
  </si>
  <si>
    <t>Business Center ID: 1419090856319470</t>
  </si>
  <si>
    <t>DA TH shared the access to DA Meta Business Center via Partner linkage</t>
  </si>
  <si>
    <t>Doctor Anywhere Malaysia</t>
  </si>
  <si>
    <t>Business Center ID:
707292583224468</t>
  </si>
  <si>
    <t>jordan.pinto@doctoranywhere.com
meiyan.lee@doctoranywhere.com
leemeiyan711@gmail.com</t>
  </si>
  <si>
    <t>jordan.pinto@doctoranywhere.com
meiyan.lee@doctoranywhere.com
waimun@doctoranywhere.com</t>
  </si>
  <si>
    <t>Doctor Anywhere Indonesia</t>
  </si>
  <si>
    <t>Business Center ID: 133516692550811</t>
  </si>
  <si>
    <t>thareq.setianegara@doctoranywhere.com
jordan.pinto@doctoranywhere.com
richa.wulansari@doctoranywhere.com
jolinda.johary@doctoranywhere.com</t>
  </si>
  <si>
    <t>jean.landicho@doctoranywhere.com
hasan.mustofa@doctoranywhere.com</t>
  </si>
  <si>
    <t>richa.wulansari@doctoranywhere.com
waimun@doctoranywhere.com</t>
  </si>
  <si>
    <t>Doctor Anywhere PH</t>
  </si>
  <si>
    <t>Business Center ID:
2830319447283269</t>
  </si>
  <si>
    <t>jordan.pinto@doctoranywhere.com
Princess Santos
arjunpatial01@gmail.com
leorica.sherhe@doctoranywhere.com</t>
  </si>
  <si>
    <t>acquelyn.roque@doctoranywhere.com
wendylen.cabeguin@doctoranywhere.com</t>
  </si>
  <si>
    <t>leorica.sherhe@doctoranywhere.com</t>
  </si>
  <si>
    <t>LinkedIn Ads</t>
  </si>
  <si>
    <t>DA (SG)</t>
  </si>
  <si>
    <t>Business Center ID: 7018480595685040128</t>
  </si>
  <si>
    <t>gloria.tham@doctoranywhere.com
jordan.pinto@doctoranywhere.com
waimun@doctoranywhere.com</t>
  </si>
  <si>
    <t>leemeiyan711@gmail.com
louis.carcouet@doctoranywhere.com
leorica.sherhe@doctoranywhere.com
jolinda.johary@doctoranywhere.com
jean.landicho@doctoranywhere.com
jamieodwyer@hotmail.com
dang.tran@doctoranywhere.com
budi.basuki@doctoranywhere.com
mkt.th@doctoranywhere.com</t>
  </si>
  <si>
    <t>jordan.pinto@doctoranywhere.com
waimun@doctoranywhere.com</t>
  </si>
  <si>
    <t>To assign another person as a billing admin for payments
This business center is connected to all LinkedIn accounts. Mainly DA SG and Soda by DA ran ads on LinkedIn</t>
  </si>
  <si>
    <t>TikTok Ads</t>
  </si>
  <si>
    <t>Doctor Anywhere (SG)</t>
  </si>
  <si>
    <t>Business Center ID: 7282599382481158146</t>
  </si>
  <si>
    <t>Gloria Tham
Jordan Pinto</t>
  </si>
  <si>
    <t>Jenelle Landicho</t>
  </si>
  <si>
    <t>Jordan Pinto
Wai Mun</t>
  </si>
  <si>
    <t>To assign another person as a billing admin for payments
This business center is connected to all SG accounts (Medsuites, SG, DA Operations). Mainly Medsuites and SG ran ads on TikTok</t>
  </si>
  <si>
    <t>Doctor Anywhere (Thailand) Co., Ltd</t>
  </si>
  <si>
    <t>Business Center ID: 7502356841104703504</t>
  </si>
  <si>
    <t>Gloria Tham
Jordan Pinto
PPC Consultant
Nurul Insyirah
Roy Chua</t>
  </si>
  <si>
    <t>Jordan Pinto
Roy Chua</t>
  </si>
  <si>
    <t>Doctor Anywhere (PH)</t>
  </si>
  <si>
    <t>Business Center ID:  7473686890965942289</t>
  </si>
  <si>
    <t>Gloria Tham
Jordan Pinto
Princess Santos
Leo San Diego</t>
  </si>
  <si>
    <t>Doctor Anywhere ID</t>
  </si>
  <si>
    <t>Business Center ID:  7605466501773983760</t>
  </si>
  <si>
    <t>Jordan Pinto
Doctor Anywhere
Richa</t>
  </si>
  <si>
    <t>Jenelle Landicho
Gloria Tham</t>
  </si>
  <si>
    <t>Richa</t>
  </si>
  <si>
    <t>Business Center ID:
3707170</t>
  </si>
  <si>
    <t>leorica.sherhe@doctoranywhere.com
jordan.pinto@doctoranywhere.com</t>
  </si>
  <si>
    <t>Dang Tran</t>
  </si>
  <si>
    <t>leorica.sherhe@doctoranywhere.com
jordan.pinto@doctoranywhere.com
waimun@doctoranywhere.com</t>
  </si>
  <si>
    <t>To assign another person as a billing admin for payments
DA PH account is also connected to this Business Center</t>
  </si>
  <si>
    <t>Doctor Anywhere SC</t>
  </si>
  <si>
    <t>Account ID: 2009458</t>
  </si>
  <si>
    <t>jordan.pinto@doctoranywhere.com</t>
  </si>
  <si>
    <t>Taboola Ads payment done by monthly invoicing</t>
  </si>
  <si>
    <t>Mainly Taboola Ad reps only can invite users to the account</t>
  </si>
  <si>
    <t>Account ID: 6006522959</t>
  </si>
  <si>
    <t>jordan.pinto@doctoranywhere.com
kenneth.kwek@doctoranywhere.com
marketingops@doctoranywhere.com</t>
  </si>
  <si>
    <t>budi.basuki@doctoranywhere.com
jolinda.johary@doctoranywhere.com
Arjun.Patial@adk.com.sg</t>
  </si>
  <si>
    <t>Account ID: 6002331682</t>
  </si>
  <si>
    <t>jordan.pinto@doctoranywhere.com
marketingops@doctoranywhere.com
xy.ng@doctoranywhere.com</t>
  </si>
  <si>
    <t>rachel.zheng@doctoranywhere.com
tan.vong@doctoranywhere.com
tung.nguyen@doctoranywhere.com
vu.nguyen@doctoranywhere.com</t>
  </si>
  <si>
    <t>Doctor Anywhere SG</t>
  </si>
  <si>
    <t>Account ID: 4072387226</t>
  </si>
  <si>
    <t>jordan.pinto@doctoranywhere.com
marketingops@doctoranywhere.com
rachel.zheng@doctoranywhere.com
waimun@doctoranywhere.com</t>
  </si>
  <si>
    <t>faith.eng@doctoranywhere.com
kenneth.kwek@doctoranywhere.com
aakif_ext@doctoranywhere.com
nghiadiep.trong@doctoranywhere.com
tan.vong@doctoranywhere.com
thuyet.le@doctoranywhere.com
trang.le@doctoranywhere.com
tung.nguyen@doctoranywhere.com
vu.nguyen@doctoranywhere.com
zihao.ang@doctoranywhere.com</t>
  </si>
  <si>
    <t>Doctor Anywhere TH</t>
  </si>
  <si>
    <t>Account ID: 6003729089</t>
  </si>
  <si>
    <t>Arjun.Patial@adk.com.sg
rachel.zheng@doctoranywhere.com
royston.teo@adk.com.sg
tan.vong@doctoranywhere.com</t>
  </si>
  <si>
    <t>Account ID: 6344392584</t>
  </si>
  <si>
    <t>anna.blukacz@doctoranywhere.com
leorica.sherhe@doctoranywhere.com
princess.santos@doctoranywhere.com
waimun@doctoranywhere.com</t>
  </si>
  <si>
    <t>GA4</t>
  </si>
  <si>
    <t>Account ID: 112950322</t>
  </si>
  <si>
    <t>dejan.dukaric@doctoranywhere.com
jordan.pinto@doctoranywhere.com
louis.carcouet@doctoranywhere.com
marketingops@doctoranywhere.com
rachel.zheng@doctoranywhere.com
waimun@doctoranywhere.com</t>
  </si>
  <si>
    <t>faith.eng@doctoranywhere.com
jamie.odwyer@doctoranywhere.com
phuong.dinhvan@doctoranywhere.com
tin.phan@doctoranywhere.com
tramhong.phan@doctoranywhere.com
trang.le@doctoranywhere.com
yen.nguyenngoc@doctoranywhere.com</t>
  </si>
  <si>
    <t>Doctor Anywhere Philippines</t>
  </si>
  <si>
    <t>Account ID: 205692443</t>
  </si>
  <si>
    <t>jordan.pinto@doctoranywhere.com
leorica.sherhe@doctoranywhere.com
marketingops@doctoranywhere.com
princess.santos@doctoranywhere.com
waimun@doctoranywhere.com
xy.ng@doctoranywhere.com</t>
  </si>
  <si>
    <t>gavin.alexander@doctoranywhere.com
rachel.zheng@doctoranywhere.com</t>
  </si>
  <si>
    <t>Account ID: 180666379</t>
  </si>
  <si>
    <t>gavin.alexander@doctoranywhere.com
waimun@doctoranywhere.com
meiyan.lee@doctoranywhere.com</t>
  </si>
  <si>
    <t>rachel.zheng@doctoranywhere.com</t>
  </si>
  <si>
    <t>Doctor Anywhere Thailand</t>
  </si>
  <si>
    <t>Account ID: 164486522</t>
  </si>
  <si>
    <t xml:space="preserve">kittithat.yongsirasawad@doctoranywhere.com
manannat.sirikanchana@doctoranywhere.com
gavin.alexander@doctoranywhere.com
waimun@doctoranywhere.com
</t>
  </si>
  <si>
    <t>Account ID: 226680142</t>
  </si>
  <si>
    <t>gavin.alexander@doctoranywhere.com
waimun@doctoranywhere.com
richa.wulansari@doctoranywhere.com</t>
  </si>
  <si>
    <t>YouTube Studio</t>
  </si>
  <si>
    <t>Doctor Anywhere</t>
  </si>
  <si>
    <t>@doctoranywhere</t>
  </si>
  <si>
    <t>jordan.pinto@doctoranywhere.com
leorica.sherhe@doctoranywhere.co
razchel.concepcion@doctoranywh
marketingops@doctoranywhere.com</t>
  </si>
  <si>
    <t>Singular</t>
  </si>
  <si>
    <t>khanh.tran@doctoranywhere.com
thu.le@doctoranywhere.com
tin.phan@doctoranywhere.com
itopsadmin@doctoranywhere.com
quang.pham@doctoranywhere.com
louis.carcouet@doctoranywhere.com
phuong.dinhvan@doctoranywhere.com</t>
  </si>
  <si>
    <t>SEMRush</t>
  </si>
  <si>
    <t>Email: marketingsg@doctoranywhere.com
Login: DA@Awesome40!</t>
  </si>
  <si>
    <t>Same as login</t>
  </si>
  <si>
    <t>To use the login provided to gain access to SEMrush</t>
  </si>
  <si>
    <t>Ad Account</t>
  </si>
  <si>
    <t>Conversion tracking</t>
  </si>
  <si>
    <t>GHS</t>
  </si>
  <si>
    <t>[SG] Joined VC (android)</t>
  </si>
  <si>
    <t>LIVE</t>
  </si>
  <si>
    <t>[SG] Joined VC (IOS)</t>
  </si>
  <si>
    <t>Marketplace Purchase (Direct Measurement) (1)</t>
  </si>
  <si>
    <t>Begin Checkout (GA4)</t>
  </si>
  <si>
    <t>Inactive</t>
  </si>
  <si>
    <t>cognitoforms submission</t>
  </si>
  <si>
    <t>Cognitoforms submission (V2)</t>
  </si>
  <si>
    <t>DA Care Calculator Form Submittion</t>
  </si>
  <si>
    <t>Doctor Anywhere - Telehealth (iOS) sign_up</t>
  </si>
  <si>
    <t>Doctor Anywhere SG (GA4) (web) sign_up</t>
  </si>
  <si>
    <t>All Timetap button clicks (GA4)</t>
  </si>
  <si>
    <t>Doctor Anywhere SG (GA4) (web) home_care_services_cognito</t>
  </si>
  <si>
    <t>GA4 - flu vacc - navigated to timetap</t>
  </si>
  <si>
    <t>Doctor Anywhere SG (GA4) (web) hb_child_vaccination_cognito</t>
  </si>
  <si>
    <t>Doctor Anywhere SG (GA4) (web) hb_flu_vaccination_cognito</t>
  </si>
  <si>
    <t>Doctor Anywhere SG (GA4) (web) hb_senior_vaccination_cognito</t>
  </si>
  <si>
    <t>Doctor Anywhere SG (GA4) (web) timetap_booking</t>
  </si>
  <si>
    <t>Doctor Anywhere - Telehealth (Android) first_open</t>
  </si>
  <si>
    <t>Doctor Anywhere - Telehealth (iOS) first_open</t>
  </si>
  <si>
    <t>Doctor Anywhere (Android) First open</t>
  </si>
  <si>
    <t>Doctor Anywhere (IOS) First open</t>
  </si>
  <si>
    <t>Doctor Anywhere - Telehealth (Android) session_start</t>
  </si>
  <si>
    <t>Doctor Anywhere - Telehealth (IOS) session_start</t>
  </si>
  <si>
    <t>Doctor Anywhere SG (GA4) (web) get_the_app_button_click</t>
  </si>
  <si>
    <t>[Android] seeAGPNowTileTapped</t>
  </si>
  <si>
    <t>[iOS] seeAGPNowTileTapped</t>
  </si>
  <si>
    <t>App Download</t>
  </si>
  <si>
    <t>Home_Base_Button_Click</t>
  </si>
  <si>
    <t>Home_based_vacc_timetap_button_click</t>
  </si>
  <si>
    <t>Home_Care_Button_Click</t>
  </si>
  <si>
    <t>timetap link click</t>
  </si>
  <si>
    <t>Purchase</t>
  </si>
  <si>
    <t>mmr_navigate_to_timetap</t>
  </si>
  <si>
    <t>DA Care Calculator Form Confirmation</t>
  </si>
  <si>
    <t>Landing Page View</t>
  </si>
  <si>
    <t>Engaged Sessions</t>
  </si>
  <si>
    <t>Download</t>
  </si>
  <si>
    <t>Add to Cart</t>
  </si>
  <si>
    <t>Taboola</t>
  </si>
  <si>
    <t>See a Doctor Online</t>
  </si>
  <si>
    <t>Book a Vaccination</t>
  </si>
  <si>
    <t>Get the app</t>
  </si>
  <si>
    <t>DA MedSuites - SG (web) Form Submission</t>
  </si>
  <si>
    <t>DA MedSuites - SG (web) mothers_day_2025_cognito_lead</t>
  </si>
  <si>
    <t>DA MedSuites - SG (web) purchase</t>
  </si>
  <si>
    <t>MedSuites Whatsapp Link Click</t>
  </si>
  <si>
    <t>Book Online - COMO x Medsuites</t>
  </si>
  <si>
    <t>MedSuites Location Link Click</t>
  </si>
  <si>
    <t>PageView</t>
  </si>
  <si>
    <t>SodaPacks Lead</t>
  </si>
  <si>
    <t>SODA - Sign up</t>
  </si>
  <si>
    <t>Doctor Anywhere SG (GA4) (web) q_click_get_my_quote</t>
  </si>
  <si>
    <t>SODA - Get My Quote</t>
  </si>
  <si>
    <t>SODA - Viewed Pricing</t>
  </si>
  <si>
    <t>View content</t>
  </si>
  <si>
    <t>Lead</t>
  </si>
  <si>
    <t>Complete registration</t>
  </si>
  <si>
    <t>Request Quote</t>
  </si>
  <si>
    <t>Sign Up</t>
  </si>
  <si>
    <t>Attribution Methodology</t>
  </si>
  <si>
    <t>Current attribution setup</t>
  </si>
  <si>
    <r>
      <rPr>
        <rFont val="Arial"/>
        <color theme="1"/>
      </rPr>
      <t xml:space="preserve">1. </t>
    </r>
    <r>
      <rPr>
        <rFont val="Arial"/>
        <b/>
        <color theme="1"/>
      </rPr>
      <t>Platform-level attribution (what's actually live)</t>
    </r>
    <r>
      <rPr>
        <rFont val="Arial"/>
        <color theme="1"/>
      </rPr>
      <t xml:space="preserve">
Each platform uses its own last-click attribution window by default — Google, Meta, ASA, and TikTok each claim credit independently with no cross-platform deduplication. This means if a user clicked a Meta ad and then a Google ad before converting, both platforms count it. Document the attribution window per platform if you know them (e.g. Google default is 30-day click, Meta is typically 7-day click / 1-day view).</t>
    </r>
  </si>
  <si>
    <r>
      <rPr>
        <rFont val="Arial"/>
        <color theme="1"/>
      </rPr>
      <t xml:space="preserve">2. </t>
    </r>
    <r>
      <rPr>
        <rFont val="Arial"/>
        <b/>
        <color theme="1"/>
      </rPr>
      <t>Cross-channel tracking — Singular</t>
    </r>
    <r>
      <rPr>
        <rFont val="Arial"/>
        <color theme="1"/>
      </rPr>
      <t xml:space="preserve">
Singular is connected via S2S but only partially configured. The only platform where Joined VC fires as a conversion event is Google. All other channels (Meta, ASA, TikTok) are reporting app installs, not downstream business actions. Singular integration to close this gap is in progress — until it's live, channel-level ROAS and CAC beyond Google should be treated as directional, not definitive.</t>
    </r>
  </si>
  <si>
    <r>
      <rPr>
        <rFont val="Arial"/>
        <b/>
        <color theme="1"/>
      </rPr>
      <t>3. Revenue methodology</t>
    </r>
    <r>
      <rPr>
        <rFont val="Arial"/>
        <color theme="1"/>
      </rPr>
      <t xml:space="preserve">
There is no direct revenue feed from the product into ad platforms. Revenue is calculated manually as conversions × average bill size per BU. 
Two known scope limitations to carry forward: 
- MOBS AOV is based on house call bookings only and does not reflect a blended rate across vaccines, health screening, and other mobile services
- MedSuites conversions are marketplace purchases only and exclude form submission conversions.
Both figures understate true revenue and should be updated once a blended AOV is established.</t>
    </r>
  </si>
  <si>
    <t>Default attribution for ad platforms</t>
  </si>
  <si>
    <t>Attribution Model</t>
  </si>
  <si>
    <t>Click window</t>
  </si>
  <si>
    <t>View window</t>
  </si>
  <si>
    <t>Notes</t>
  </si>
  <si>
    <t>Data-driven (DDA)</t>
  </si>
  <si>
    <t>30-days click</t>
  </si>
  <si>
    <t>1 day</t>
  </si>
  <si>
    <t>DDA distributes credit across touchpoints via Machine Learning. Only DDA and Last Click are available — all rule-based models deprecated since 2023</t>
  </si>
  <si>
    <t>Last touch</t>
  </si>
  <si>
    <t>7-day click</t>
  </si>
  <si>
    <t>1-day view + 1-day engage-through</t>
  </si>
  <si>
    <t>As of March 2026 Meta changed how "click" is defined — now requires an actual link click, not social engagements (likes, saves, shares). Engage-through is a new bucket for those non-click interactions with a fixed 1-day window</t>
  </si>
  <si>
    <t>Last click</t>
  </si>
  <si>
    <t>1-day view</t>
  </si>
  <si>
    <t>Options are 1, 7, 14, 28-day click. Attribution window is locked once an ad group is published — cannot be changed after</t>
  </si>
  <si>
    <t>LinkedIn</t>
  </si>
  <si>
    <t>7-day view</t>
  </si>
  <si>
    <t>30-day default makes sense for B2B sales cycles. Some accounts updated to 7-day click in 2025</t>
  </si>
  <si>
    <t>Last tap</t>
  </si>
  <si>
    <t>30-day tap</t>
  </si>
  <si>
    <t>App tap only; no view-through attribution</t>
  </si>
  <si>
    <t>Reporting Dashboards</t>
  </si>
  <si>
    <t>Currently there's no reporting dashboard set in place as we'll likely need a data puller tool that can pull the ads data into a Google Sheet or a Looker Studio dashboard so we have real-time data. Some examples of data puller tool are:
- Supermetrics (https://supermetrics.com/)
- Twominutesreport (https://twominutereports.com/)
- Dataslayer (https://www.dataslayer.ai/)</t>
  </si>
  <si>
    <r>
      <rPr/>
      <t xml:space="preserve">Past Looker Studio dashboard from the previous agency can be seen here:
</t>
    </r>
    <r>
      <rPr>
        <color rgb="FF1155CC"/>
        <u/>
      </rPr>
      <t>Doctor Anywhere (SG) Report
Doctor Anywhere TH Report
Doctor Anywhere PH Report
Doctor Anywhere ID Report
Doctor Anywhere MY Report</t>
    </r>
  </si>
  <si>
    <t>Reporting Cadence</t>
  </si>
  <si>
    <r>
      <rPr/>
      <t xml:space="preserve">Currently, paid media performance is reviewed on a biweekly basis as part of the marketing team's internal meeting. Reports cover channel-level spend, conversions, and key optimisations across all active BUs. This should still continue.
Link to Biweekly report can be found </t>
    </r>
    <r>
      <rPr>
        <color rgb="FF1155CC"/>
        <u/>
      </rPr>
      <t>here</t>
    </r>
    <r>
      <rPr/>
      <t xml:space="preserve">
The next step is to formalise a monthly reporting cadence with BU leaders, covering paid performance specific to their respective BUs — VC, MedSuites, MOBS, and SODA. This will be the primary forum for budget reviews, channel recommendations, and creative performance updates going forward.</t>
    </r>
  </si>
  <si>
    <t>Known Issues or limitations</t>
  </si>
  <si>
    <t>Singular not fully configured — S2S connection is live but cross-channel attribution is incomplete. Joined VC only fires on Google; Meta, ASA, and TikTok report app installs only. Channel-level ROAS and CAC beyond Google cannot be confirmed until Singular is fully set up across all platforms.</t>
  </si>
  <si>
    <t>No automated cross-channel reporting pipeline — paid data across all platforms has to be manually pulled and compiled. A data puller or automated pipeline to populate dashboards is a priority gap to flag to the data team for the incoming successor</t>
  </si>
  <si>
    <t>Revenue figures are manually calculated — there is no live product revenue feed into any ad platform. Revenue is derived as conversions × average bill size per BU, and any ABS change has to be updated manually across all reports.</t>
  </si>
  <si>
    <t>SODA has no UTM-to-CRM lead source mapping — form submissions cannot be attributed back to any paid channel. Closed deal attribution is currently based on manual sales team tagging, not tracked data.</t>
  </si>
  <si>
    <t>Pixel and Event Configuration</t>
  </si>
  <si>
    <t>Pixel Name (where applicable)</t>
  </si>
  <si>
    <t>Main Conversion event</t>
  </si>
  <si>
    <t>Google Tag Manager (GTM)
Tag and Trigger</t>
  </si>
  <si>
    <t>Google Ads (Doctor Anywhere - SG)</t>
  </si>
  <si>
    <t>- [SG] Joined VC (android)</t>
  </si>
  <si>
    <t>Using firebase to track this conversion</t>
  </si>
  <si>
    <t>- [SG] Joined VC (iOS)</t>
  </si>
  <si>
    <t>Meta Ads (Doctor Anywhere SG)</t>
  </si>
  <si>
    <t>[SG] Doctor Anywhere (Web) - Corp + MP</t>
  </si>
  <si>
    <t>- App Download</t>
  </si>
  <si>
    <t>GTM Account: DA SG
GTM Container: GTM-NWRC3VWT
Tag name: App Download
Trigger name: BUTTON Download-App</t>
  </si>
  <si>
    <t>Click to download app</t>
  </si>
  <si>
    <t>Doctor Anywhere (patient app)</t>
  </si>
  <si>
    <t>- Completed VC</t>
  </si>
  <si>
    <t>Using facebook SDK to track this conversion</t>
  </si>
  <si>
    <t>Taboola (Doctor Anywhere SG)</t>
  </si>
  <si>
    <t>- Doctor House Call</t>
  </si>
  <si>
    <t>GTM Account: DA SG
GTM Container: GTM-NWRC3VWT
Tag name: Doctor House Call
Trigger name: See a Doctor Online Trigger</t>
  </si>
  <si>
    <t>Mainly clicks to the specific event rather than conducting the actual event</t>
  </si>
  <si>
    <t>- See a Doctor Online</t>
  </si>
  <si>
    <t>GTM Account: DA SG
GTM Container: GTM-NWRC3VWT
Tag name: See a Doctor Online
Trigger name: See a Doctor Online Trigger</t>
  </si>
  <si>
    <t>- Book a Vaccination</t>
  </si>
  <si>
    <t>GTM Account: DA SG
GTM Container: GTM-NWRC3VWT
Tag name: Book a Vaccination
Trigger name: Book a Vaccination Trigger</t>
  </si>
  <si>
    <t>- Get the app</t>
  </si>
  <si>
    <t>GTM Account: DA SG
GTM Container: GTM-NWRC3VWT
Tag name: Get the app
Trigger name: (CVC) App Download 2</t>
  </si>
  <si>
    <t>Apple Search Ads (Doctor Anywhere SG)</t>
  </si>
  <si>
    <t>- App Install</t>
  </si>
  <si>
    <t>No pixel needed in Apple Search Ads</t>
  </si>
  <si>
    <t>TikTok Ads (Doctor Anywhere SG)</t>
  </si>
  <si>
    <t>Doctor Anywhere Telehealth (Android &amp; IOS)</t>
  </si>
  <si>
    <t>TikTok tracks installs by integrating with the app and with Singular</t>
  </si>
  <si>
    <t>- Marketplace Purchase (Direct Measurement) (1)</t>
  </si>
  <si>
    <t>GTM Account: DA SG
GTM Container: GTM-NWRC3VWT
Tag name: Google Ads Conv - Purchase (Direct Measurement)
Trigger name: Marketplace Purchase</t>
  </si>
  <si>
    <t>Uses GTM for tracking</t>
  </si>
  <si>
    <t>- Purchase</t>
  </si>
  <si>
    <t>GTM Account: DA SG
GTM Container: GTM-NWRC3VWT
Tag name: FB - Event - Purchase
Trigger name: Marketplace Purchase</t>
  </si>
  <si>
    <t>[DA OPS] TikTok Web Pixel</t>
  </si>
  <si>
    <t>- Landing Page View</t>
  </si>
  <si>
    <t>GTM Account: DA SG
GTM Container: GTM-NWRC3VWT
Tag name: TikTok pixel base code - CP9VCTBC77UA3RUQFOQG
Trigger name: All Pages</t>
  </si>
  <si>
    <t>GTM Account: DA SG
GTM Container: GTM-NWRC3VWT
Tag name: TikTok event - MP Purchase
Trigger name: Marketplace Purchase</t>
  </si>
  <si>
    <t>LinkedIn Ads (Doctor Anywhere SG)</t>
  </si>
  <si>
    <t>Insight tag ID: 4438428</t>
  </si>
  <si>
    <t>- DA Care Calculator Form Confirmation</t>
  </si>
  <si>
    <t>Used custom code implemented directly on the form, instead of GTM
Code: window.lintrk('track', { conversion_id: 10933436 });</t>
  </si>
  <si>
    <t>Google Ads (DA Bideford Pte Ltd - SG)</t>
  </si>
  <si>
    <t>- DA MedSuites - SG (web) purchase</t>
  </si>
  <si>
    <t>GTM Account: DA SG
GTM Container: GTM-KKPCWHF6
Tag name: Google Ads Conv. - Purchase
Trigger name: [Book Appointment] Appointment Booked Trigger</t>
  </si>
  <si>
    <t>- DA MedSuites - SG (web) Form Submission</t>
  </si>
  <si>
    <t>GTM Account: DA SG
GTM Container: GTM-KKPCWHF6
Tag name: GA4 - Cognito Form Submission
Trigger name: Cognito Form Submission</t>
  </si>
  <si>
    <t>Using GA4 to capture the conversions and import into Google Ads for the campaigns to optimise towards this conversion action</t>
  </si>
  <si>
    <t>Meta Ads (DA Medsuites)</t>
  </si>
  <si>
    <t>DA MedSuites</t>
  </si>
  <si>
    <t>- Website purchase</t>
  </si>
  <si>
    <t>GTM Account: DA SG
GTM Container: GTM-KKPCWHF6
Tag name: FB - Purchase
Trigger name: [Book Appointment] Appointment Booked Trigger</t>
  </si>
  <si>
    <t>Google Ads (Soda by DA)</t>
  </si>
  <si>
    <t>- SodaPacks Lead</t>
  </si>
  <si>
    <t>GTM Account: DA SG
GTM Container: GTM-PS44ZQ8S
Tag name: GAds - Soda Packs Lead
Trigger name: [SODA] soda_packs_lead</t>
  </si>
  <si>
    <t>- SODA - Sign up</t>
  </si>
  <si>
    <t>GTM Account: DA SG
GTM Container: GTM-PS44ZQ8S
Tag name: GAds - Sign up
Trigger name:
- [SODA] s_click_sign_up
- [SODA] s_click_google_sign_in</t>
  </si>
  <si>
    <t>- SODA - Get My Quote</t>
  </si>
  <si>
    <t>GTM Account: DA SG
GTM Container: GTM-PS44ZQ8S
Tag name: GAds - Get My Quote
Trigger name: [SODA] q_click_get_my_quote</t>
  </si>
  <si>
    <t>Meta Ads (Soda by DA)</t>
  </si>
  <si>
    <t>soda.insure</t>
  </si>
  <si>
    <t>- Lead</t>
  </si>
  <si>
    <t>GTM Account: DA SG
GTM Container: GTM-PS44ZQ8S
Tag name: FB - Soda Packs Leads
Trigger name: [SODA] soda_packs_lead</t>
  </si>
  <si>
    <t>- Click Join Waitlist</t>
  </si>
  <si>
    <t>GTM Account: DA SG
GTM Container: GTM-PS44ZQ8S
Tag name: FB - Click Join Waitlist
Trigger name: [SODA] q_click_join_waitlist</t>
  </si>
  <si>
    <t>LinkedIn Ads (Soda by DA)</t>
  </si>
  <si>
    <t>Insight tag ID: 7605914</t>
  </si>
  <si>
    <t xml:space="preserve">- Request Quote
</t>
  </si>
  <si>
    <t>GTM Account: DA SG
GTM Container: GTM-PS44ZQ8S
Tag name: LI - SODA - Get My Quote
Trigger name: [SODA] q_click_get_my_quote</t>
  </si>
  <si>
    <t>- Sign Up</t>
  </si>
  <si>
    <t>GTM Account: DA SG
GTM Container: GTM-PS44ZQ8S
Tag name: Li - SODA - Sign Up
Trigger name:
- [SODA] s_click_sign_up
- [SODA] s_click_google_sign_in</t>
  </si>
  <si>
    <t>Remark</t>
  </si>
  <si>
    <t>2025 and 2026 Ad Creatives</t>
  </si>
  <si>
    <t>https://drive.google.com/drive/folders/0AJzAFWxdvqlwUk9PVA</t>
  </si>
  <si>
    <t>Each BU and seasonal campaign has their own respective folders in this library</t>
  </si>
  <si>
    <t>Aug 2025 Google App Install Campaign</t>
  </si>
  <si>
    <t>https://drive.google.com/drive/folders/17HRbB50gHrz6w1IRwwz6rwJ4bJbESCBO?usp=drive_link</t>
  </si>
  <si>
    <t>Aug 2025 Google App Install campaign folder</t>
  </si>
  <si>
    <t>Mar 2025 Google App Install Campaign</t>
  </si>
  <si>
    <t>https://drive.google.com/drive/folders/17fNEJiYqoiasw3aSB4kbPHN2hgOz_iUX</t>
  </si>
  <si>
    <t>Mar 2025 Google App Install campaign folder</t>
  </si>
  <si>
    <t>Ad copies for always on campigns in 2025 - 2026</t>
  </si>
  <si>
    <t>https://docs.google.com/spreadsheets/d/1WUgfDRbJiZipMaVaW0Ct9aBneRU07wOJ9d-4lzt5sKg/edit?gid=1581902554#gid=1581902554</t>
  </si>
  <si>
    <t>Always-on Soda Ad Copies</t>
  </si>
  <si>
    <t>https://docs.google.com/spreadsheets/d/15Uxx-YkKWNObfsNlBn7AzgdXxfAOh-YHd6RwmRMdHMk/edit?gid=1995331947#gid=1995331947</t>
  </si>
  <si>
    <t>RSV Sanofi Campaign Ad Copies</t>
  </si>
  <si>
    <t>https://docs.google.com/spreadsheets/d/1uN0zNRCxqlUzio8pZffKsK6-v_Iz-gB1WO_KqEEMPMg/edit?usp=sharing</t>
  </si>
  <si>
    <t>Men's Health Ad Copies</t>
  </si>
  <si>
    <t>https://docs.google.com/spreadsheets/d/1RFJWqmKuJv0cX1kG3PMjwakTreVb_BdBSKVcrbIp66U/edit?usp=sharing</t>
  </si>
  <si>
    <t>Medsuites Bonsai Longevity Ad Copies</t>
  </si>
  <si>
    <t>https://docs.google.com/spreadsheets/d/13E0RaFVuxG5OmuEy0E-iHRCQYw3k9c3sAHZ5g1LSR4E/edit?usp=sharing</t>
  </si>
  <si>
    <t>Brand Manifesto Ad Copies</t>
  </si>
  <si>
    <t>https://docs.google.com/spreadsheets/d/17_ytPp0NycGlOwKbqpeaiSWyOFJrw61T4zn8a2vReJ0/edit?usp=sharing</t>
  </si>
  <si>
    <t>Messaging</t>
  </si>
  <si>
    <t>VC - Search - General - App</t>
  </si>
  <si>
    <t>ROAS: 3x</t>
  </si>
  <si>
    <t>Speed + frictionless access ("skip the queue," GP in minutes/24-7), anchored by a transparent $27.25 flat fee upfront.</t>
  </si>
  <si>
    <t>Doctor in 5 Mins - Pmax - VC</t>
  </si>
  <si>
    <t>Convenience and avoidance-of-hassle framing ("Clinic waits? Go online," avoid crowds), paired with 24/7 anytime access and trust cues (friendly/trusted care) — pushes secondary services (Child Vaccination, House Call) via sitelinks rather than VC alone.</t>
  </si>
  <si>
    <t>Competitor - Kids Clinic</t>
  </si>
  <si>
    <t>Parent-pain-point framing ("Sick child? No need to travel"), kid-specific credibility (kid-friendly GP, ages 0–6), with transparent pricing ($38.15/consult) upfront.</t>
  </si>
  <si>
    <t>ROAS: 2.97x</t>
  </si>
  <si>
    <r>
      <rPr>
        <rFont val="Arial"/>
        <color theme="1"/>
      </rPr>
      <t xml:space="preserve">Convenience + affordability signals (at-home screening, subsidised pricing, no fasting required), paired with local proximity cues (address, distance, directions) to drive nearby footfall.
</t>
    </r>
    <r>
      <rPr>
        <rFont val="Arial"/>
        <b/>
        <color theme="1"/>
      </rPr>
      <t>Remark:</t>
    </r>
    <r>
      <rPr>
        <rFont val="Arial"/>
        <color theme="1"/>
      </rPr>
      <t xml:space="preserve"> conversions dropped to zero in June specifically — see Active Campaign Inventory.</t>
    </r>
  </si>
  <si>
    <t>Compliance-driven, MOM-mandate framing ("As required by MOM," domestic helper screening every 6 months) with upfront nett pricing (SGD 32.70) and multi-clinic convenience (8 locations islandwide).</t>
  </si>
  <si>
    <t>ROAS: 2.39x</t>
  </si>
  <si>
    <t>Comprehensive/scientific credibility framing (hormones, biomarkers, cancer markers) paired with reassurance and control ("feel certain," "get clarity"), positioned specifically for women rather than a generic screening pitch.</t>
  </si>
  <si>
    <t>Emotional/occasion-led framing tied to Mother's Day ("keep Mum well," "gift Mum will actually use"), reframing flu vaccination as an act of care rather than a routine health task, with real-doctor credibility and speed reinforced underneath.</t>
  </si>
  <si>
    <t>Travel Vacc_Single - 1</t>
  </si>
  <si>
    <t>Cost per App Install: $4.15</t>
  </si>
  <si>
    <t>Lifestyle/occasion-tie-in ("pack your bags, check in your health"), reframing a pre-travel consult as part of the travel prep ritual rather than a medical task, with speed reinforced underneath ("in minutes").</t>
  </si>
  <si>
    <t>20260428_Single_Baby Phototherapy</t>
  </si>
  <si>
    <t>ROAS: 2.07x</t>
  </si>
  <si>
    <t>Emotional comfort framing ("heal at home, in your arms") paired with credibility and reassurance (HSA-registered, next-day setup, 24/7 nurse helpline) and transparent pricing ($298) upfront.</t>
  </si>
  <si>
    <t>KV8</t>
  </si>
  <si>
    <t>ROAS: 5.78x</t>
  </si>
  <si>
    <t>Gifting/sentiment framing ("show your love," health screening as a meaningful gift), positioned against traditional gifts via the "flower fades, health lasts" contrast — premium/lifestyle tone fits the Orchard MedSuites positioning.</t>
  </si>
  <si>
    <t>Premium/concierge positioning ("dedicated health concierge," 1-1 doctor review, complimentary parking, non-fasting) targeted at health-conscious locals, expats, and medical tourists — leads with service quality over price, though pricing surfaces further down (from SGD 519, SGD 298–888 range).</t>
  </si>
  <si>
    <t>Clarity/reassurance framing ("stop guessing, get clarity"), paired with the same premium credibility cues as the general MedSuites line (1:1 doctor consultation, non-fasting, complimentary parking) — a female-targeted variant of the concierge positioning rather than a distinct message strategy.</t>
  </si>
  <si>
    <t>260204_Video_Health Screeing-V.1 - 4</t>
  </si>
  <si>
    <t>ROAS: 18.52x</t>
  </si>
  <si>
    <t>Performance/ambition framing ("stay strong, stay sharp," "own your health"), positioning screening as proactive self-investment for a driven professional rather than reactive/clinical care.</t>
  </si>
  <si>
    <t>260204_Carousel_Health Screeing-V.1</t>
  </si>
  <si>
    <t>ROAS: 20.10x</t>
  </si>
  <si>
    <t>Confidence/clarity/ownership framing across panels ("isn't about what's wrong," "it's about clarity," "about confidence," "stay ahead, own your health") — reframes screening from a fear/problem-avoidance message into a positive self-ownership one, consistent across all carousel cards.</t>
  </si>
  <si>
    <t>260204_Video_Health Screeing-V.1 - 2</t>
  </si>
  <si>
    <t>ROAS: 22.50x</t>
  </si>
  <si>
    <t>Counter-positioning against wellness-culture cliché ("you don't need a reset") — reframes screening as proactive maintenance rather than a fix for something broken, staying consistent with the confidence/ownership angle from the carousel, now in video format.</t>
  </si>
  <si>
    <t>260204_Carousel_Health Screeing-V.2</t>
  </si>
  <si>
    <t>ROAS: 33.68x</t>
  </si>
  <si>
    <t>Same "stay strong, stay sharp / own your health" confidence campaign, but this version introduces named package tiers (Aspen, Birch, Cedar, Oak) with "choose the level of clarity that fits your life" — adds a tangible choice/customization layer on top of the emotional positioning.</t>
  </si>
  <si>
    <t>Solution/efficiency framing ("become a HR superhero," "stop chasing claims," "work smarter"), leading with automation and time-saved benefits, with pricing/tier transparency in sitelinks.</t>
  </si>
  <si>
    <t>SODA Brand - Search</t>
  </si>
  <si>
    <t>Cost-control/prevention framing ("prevent abuse," "cap/visit controls," "stay within budget"), paired with flexibility and transparency claims (pay-as-you-use, no wasted premiums) and concrete pricing ($14.17 GP visits) upfront.</t>
  </si>
  <si>
    <t>20260122_Single_Soda-Solution  - 4</t>
  </si>
  <si>
    <t>Cost per lead: $64.32</t>
  </si>
  <si>
    <t>Speed/simplicity contrast framing ("5 seconds, not weeks"), paired with an emotional relief/celebration visual — pure solution-forward efficiency messaging, same lever as the Theme 2 PMax ad rather than the cost-control angle from Brand Search.</t>
  </si>
  <si>
    <t>Creative briefs &amp; templates</t>
  </si>
  <si>
    <t>RSV Marketing Sanofi</t>
  </si>
  <si>
    <t>https://docs.google.com/presentation/d/16a59qL7EzK5AanRrwc2XzpLRxrH2fa5wXD9LcyXd7lk/edit?slide=id.g3cc86069cd3_0_0#slide=id.g3cc86069cd3_0_0</t>
  </si>
  <si>
    <t>Currently there's no proper template for a creative brief</t>
  </si>
  <si>
    <t>Women's Month</t>
  </si>
  <si>
    <t>https://docs.google.com/presentation/d/1ZqPGDu0l3ZxcyqUbHnZzNtgC8xMA2AhwMQJLfV60LYo/edit?usp=sharing</t>
  </si>
  <si>
    <t>Medsuites Always-On Ad refreshes</t>
  </si>
  <si>
    <t>https://docs.google.com/presentation/d/17bl64_jy9dxfAeQXXpgNepaLiwajVk3Vpyds-5g0CG0/edit?slide=id.g3cc86069cd3_0_0#slide=id.g3cc86069cd3_0_0</t>
  </si>
  <si>
    <t>https://docs.google.com/presentation/d/14MjPQPDPyF20RXLf8xzhitVq8DuKdSiLkvYPB3O7BHA/edit?usp=sharing</t>
  </si>
  <si>
    <t>Medsuites Bonsai Longevity Campaign</t>
  </si>
  <si>
    <t>https://docs.google.com/presentation/d/18-k84Z1UhipZIYjGKVaAeP9ovAzXwuhS/edit?usp=sharing&amp;ouid=114278448906923092405&amp;rtpof=true&amp;sd=true</t>
  </si>
  <si>
    <t>Brand Manifesto Deck</t>
  </si>
  <si>
    <t>https://docs.google.com/presentation/d/1_Fr-Z_FDfmQP24a5FC5RQuj6tsK4wxbVxWc794CAVTE/edit?usp=sharing</t>
  </si>
  <si>
    <t>Brand Manifesto Creative Brief</t>
  </si>
  <si>
    <t>https://docs.google.com/presentation/d/17qQ9AA1ALuDO3XKPpWQRby4bnEVoEh6U7-i5Fc2DNmE/edit?usp=sharing</t>
  </si>
  <si>
    <t>Historical campaign assets</t>
  </si>
  <si>
    <t>2026 Women's Health</t>
  </si>
  <si>
    <t>https://drive.google.com/drive/folders/1NIAQ-UDwxcv69tViKJMyKTIhej14jSMn</t>
  </si>
  <si>
    <t>2026 RSV Sanofi</t>
  </si>
  <si>
    <t>https://drive.google.com/drive/folders/1J0uRhqebH60ubp99HAeYvJzgbLzHP_Ou</t>
  </si>
  <si>
    <t>2026 Men's Health</t>
  </si>
  <si>
    <t>https://drive.google.com/drive/folders/1KThMKs59PGeeBaAXCrwUnrqBYFZLQIli</t>
  </si>
  <si>
    <t>2025 Medsuites Movember</t>
  </si>
  <si>
    <t>https://drive.google.com/drive/folders/15VR7DPNh4rK8r4ANzL6SF9FmbgM2Mngg</t>
  </si>
  <si>
    <t>Current monthly budget by channel (not BU specific) for SG</t>
  </si>
  <si>
    <t>Monthly budget</t>
  </si>
  <si>
    <t>Daily budget</t>
  </si>
  <si>
    <t>Budget %</t>
  </si>
  <si>
    <t>Utilised across all BUs</t>
  </si>
  <si>
    <t>Google Pmax</t>
  </si>
  <si>
    <t>Google App</t>
  </si>
  <si>
    <t>Only used for VC</t>
  </si>
  <si>
    <t>Google Demand Gen</t>
  </si>
  <si>
    <t>Not running at the moment but recommend to run it to reach Top &amp; Middle funnel audiences so that we can launch future retargeting campaigns</t>
  </si>
  <si>
    <t>Will be utilised for Medsuites Longevity campaign but recommend to keep it always-on as its effective to drive awareness and traffic at low cost</t>
  </si>
  <si>
    <t>Running for the brand manifesto campaign but good to use it for future always-on awareness campaign due to cost-effective reach</t>
  </si>
  <si>
    <t>Will be utilised for Medsuites Longevity campaign but recommend to rethink the audience targeting before running it since it will be effective for B2B lead generation if done right (i.e, SODA)</t>
  </si>
  <si>
    <r>
      <rPr>
        <b/>
      </rPr>
      <t xml:space="preserve">Total budget reconciles with </t>
    </r>
    <r>
      <rPr>
        <b/>
        <color rgb="FF1155CC"/>
        <u/>
      </rPr>
      <t>H1 2026 Paid Ads Audit</t>
    </r>
  </si>
  <si>
    <t>Current monthly budget allocation by BU for SG</t>
  </si>
  <si>
    <t>Utilised 51% of total ads budget</t>
  </si>
  <si>
    <t>For non-paid media (not included here), it will roughly be $3K/month but good to always clarify with Gloria every month</t>
  </si>
  <si>
    <t>Utilised ~28% of total ads budget</t>
  </si>
  <si>
    <t>Utilised ~13% of total ads budget</t>
  </si>
  <si>
    <t>Utilised ~7% of total ads budget</t>
  </si>
  <si>
    <t>Brand Manifesto</t>
  </si>
  <si>
    <t>Not included as part of GHS/SODA budget, it will be under corporate branding budget and will run for 3 months (until September)
Total budget: $45k across 3 months</t>
  </si>
  <si>
    <t>Non BU/DA Budget</t>
  </si>
  <si>
    <t>RSV Sanofi</t>
  </si>
  <si>
    <t>Not part of DA budget as Sanofi is funding this campaign</t>
  </si>
  <si>
    <t>Total (BU Budget)</t>
  </si>
  <si>
    <r>
      <rPr>
        <b/>
      </rPr>
      <t xml:space="preserve">Total budget reconciles with </t>
    </r>
    <r>
      <rPr>
        <b/>
        <color rgb="FF1155CC"/>
        <u/>
      </rPr>
      <t>H1 2026 Paid Ads Audit</t>
    </r>
  </si>
  <si>
    <t>Total (non-BU Budget)</t>
  </si>
  <si>
    <t>Recommendation for future investment</t>
  </si>
  <si>
    <t>Recommended monthly budget (best scenario)</t>
  </si>
  <si>
    <t>Channels</t>
  </si>
  <si>
    <t>Reasoning</t>
  </si>
  <si>
    <t>Google Search, Google PMax, Meta, TikTok, and Apple Search Ads</t>
  </si>
  <si>
    <t>Highest-revenue BU in the portfolio with the clearest proof of unmet headroom. ASA is underspent at $0.79 CPI, and top Search lines are converting effectively. When capacity is limited, dollars should go where the marginal return is highest first; VC earns the largest share on that basis alone</t>
  </si>
  <si>
    <t>Collaborate with CRM on retaining app installers and nudging them towards first transactions</t>
  </si>
  <si>
    <t>Google Search, Google PMax, Google Demand Gen, and Meta</t>
  </si>
  <si>
    <t>Highest ABS BU, but scaled more conservatively than VC. A single ad set absorbing a large multiple of its current spend (e.g. 4x+) risks hitting diminishing returns before the budget is even fully utilized.</t>
  </si>
  <si>
    <t>Redirect budget away from non-converting campaigns into performing campaigns</t>
  </si>
  <si>
    <t>Google Pmax and Meta</t>
  </si>
  <si>
    <t>Its currently failing on both platforms simultaneously. Adding budget to a broken funnel doesn't fix it; right-sizing to only the two working platforms is the more responsible allocation until strategy is restructured</t>
  </si>
  <si>
    <t>Trimmed from $9,000. Do not reallocate saved budget back into MOBS campaign until strategy has been fixed</t>
  </si>
  <si>
    <t>Google Search (Brand), Google Pmax, and Meta (refreshed creative only)</t>
  </si>
  <si>
    <t>Brand Search and Google Pmax is SODA's cheapest, most reliable lead source, so it earns near-max allocation. But unlike VC/MedSuites, the Meta line carries a known risks due to lack of lead source</t>
  </si>
  <si>
    <t>Allocate $6,000 into Google Ads while the remaining $3,000 is to be used in Meta on refreshed creatives only</t>
  </si>
  <si>
    <t>Total (GHS)</t>
  </si>
  <si>
    <t>Total (SODA)</t>
  </si>
  <si>
    <t>Total Budget across BUs</t>
  </si>
  <si>
    <t>Historical Performance Trends</t>
  </si>
  <si>
    <t>Month</t>
  </si>
  <si>
    <t>Spend (All)</t>
  </si>
  <si>
    <t>Conversions (Google)</t>
  </si>
  <si>
    <t>CPA (Google)</t>
  </si>
  <si>
    <t>CVR (Google)</t>
  </si>
  <si>
    <t>Revenue (Google)</t>
  </si>
  <si>
    <t>ROAS (Google)</t>
  </si>
  <si>
    <t>Conversions (Non-Google)</t>
  </si>
  <si>
    <t>CPA (Non-Google)</t>
  </si>
  <si>
    <t>CVR (Non-Google)</t>
  </si>
  <si>
    <t>Clicks (Google)</t>
  </si>
  <si>
    <t>Clicks (Non-Google)</t>
  </si>
  <si>
    <t>CVR</t>
  </si>
  <si>
    <t>Revenue</t>
  </si>
  <si>
    <t>Clicks</t>
  </si>
  <si>
    <t>clicks</t>
  </si>
  <si>
    <t>Closed Deals</t>
  </si>
  <si>
    <t>90-Day Recommendation</t>
  </si>
  <si>
    <t>Recommendation</t>
  </si>
  <si>
    <t>Why</t>
  </si>
  <si>
    <t>Timeframe</t>
  </si>
  <si>
    <t>Scale budget into the four proven winners: Search-Competitors (ROAS 3.52x), Contraceptive New LP (4.26x), PMax Kids Clinic-Competitor (3.25x), and ASA — while segmenting ASA into branded vs. generic keyword groups first</t>
  </si>
  <si>
    <t>These are your validated top performers with headroom; segmenting ASA before scaling isolates real incremental demand from brand-intent traffic you'd capture anyway</t>
  </si>
  <si>
    <t>Weeks 1-3</t>
  </si>
  <si>
    <t>Launch a CRM-nudge flow (with MoEngage) targeting "Installed but not Joined VC" users along with a $10 off promo as a first-consult incentive or reminder sequence</t>
  </si>
  <si>
    <t>You're already paying to acquire these installs; converting them post-install is cheaper than acquiring new ones, and this closes the install→revenue gap without new ad spend</t>
  </si>
  <si>
    <t>Weeks 2-6</t>
  </si>
  <si>
    <t>Refresh Meta creative using the occasion-tie-in formula proven on Travel Vacc ("pack your bags, check in your health") — build 2–3 new occasion variants (e.g. work travel, festive travel)</t>
  </si>
  <si>
    <t>Meta's showing CPA creep on flat spend — a fatigue signal — and you already have a validated creative lever (occasion framing) to rotate in rather than guessing at new concepts</t>
  </si>
  <si>
    <t>Weeks 3-8</t>
  </si>
  <si>
    <t>Time a retargeting/prospecting budget increase to land in the weeks leading up to major holiday season (i.e., National Day, Deepavali, Christmas, CNY)</t>
  </si>
  <si>
    <t>Documented seasonal demand spike from returning travelers — this is a plannable moment, not a reactive one, so budget should be pre-positioned rather than catching up in acquiring conversions during these holiday seasons</t>
  </si>
  <si>
    <t>Plan now, execute in the weeks leading up to the specific holiday season</t>
  </si>
  <si>
    <t>Redirect all budget from the zero-conversion campaign into Orchard PMax (4.58x) and the Meta "Own Your Health" confidence campaign (18–33x ROAS range)</t>
  </si>
  <si>
    <t>This is by far your highest-return creative concept in the entire portfolio — it's under-scaled relative to how well it's converting</t>
  </si>
  <si>
    <t>Weeks 1-2</t>
  </si>
  <si>
    <t>Produce 3–4 new creative variations within the "Own Your Health" concept (new package tiers, new visual treatments) rather than a new concept from scratch</t>
  </si>
  <si>
    <t>The tiered-package version (Aspen/Birch/Cedar/Oak) already outperformed the original — iterating within a working formula is lower-risk than developing new messaging</t>
  </si>
  <si>
    <t>Build a 12-month re-screening reminder flow with CRM and paid retargeting campaign for past Health Screening purchasers</t>
  </si>
  <si>
    <t>Repeat screening customers are high-value with no incremental paid acquisition cost — this compounds revenue from spend you've already made</t>
  </si>
  <si>
    <t>Weeks 6-10</t>
  </si>
  <si>
    <t>In 2 weeks - 1 month after the Bonsai Longevity campaign is launched, conduct creative refreshes aligning the campaign offerings to the confidence/emotional messaging to improve performance</t>
  </si>
  <si>
    <t>Two distinct proven formulas already exist (premium/concierge, confidence/ownership) — Bonsai should inherit one of these to further improve performance</t>
  </si>
  <si>
    <t>2 weeks to 1 month after campaign launch</t>
  </si>
  <si>
    <t>Hold all new spend on Doctor House Call until the offer itself is restructured; do not reallocate the trimmed $3K back into it</t>
  </si>
  <si>
    <t>It's failing identically on two different platforms — a proven product/offer issue that more media spend won't fix</t>
  </si>
  <si>
    <t>Immediate</t>
  </si>
  <si>
    <t>Consolidate remaining budget into performing campaigns (i.e., 6ME Health Screening PMax and Baby Phototherapy Meta) and pause non-performing campaigns</t>
  </si>
  <si>
    <t>Right-sizing spend to what's working, rather than spreading it evenly across the BU by default</t>
  </si>
  <si>
    <t>Re-scope any future YouTube Non-Skip usage as a pure top-of-funnel/reach placement feeding a retargeting audience, not a standalone conversion driver</t>
  </si>
  <si>
    <t>Prior campaigns judged it on conversions and it understandably failed — the format wasn't wrong, the KPI attached to it was</t>
  </si>
  <si>
    <t>Weeks 4-8 (if reintroduced)</t>
  </si>
  <si>
    <t>Build a cross-service reminder flow with CRM (e.g. flu vaccination bookers nudged toward Child Vaccination or Health Screening) and pre-build the seasonal campaigns' creative briefs 4–6 weeks ahead of each occasion</t>
  </si>
  <si>
    <t>MOBS services are recurring by nature — retention/cross-sell reduces reliance on new paid acquisition per service line, and both seasonal moments are already proven, plannable performance windows</t>
  </si>
  <si>
    <t>Weeks 6–12, then annually</t>
  </si>
  <si>
    <t>Consolidate spend into performing Google campaigns; pause the underperforming campaigns, especially Meta, until creative refresh has been provided</t>
  </si>
  <si>
    <t>Google is SODA's reliable and cost-effective lead source in acquiring Closed Deals. Protect them while fixing what's weaker</t>
  </si>
  <si>
    <t>Run a structured refresh: produce both loss-aversion and solution-forward creative variants in the same test, rather than assuming one direction is settled</t>
  </si>
  <si>
    <t>June data showed solution-forward performing well on efficiency-themed campaigns, contradicting the earlier loss-aversion-only finding — this resolves the open question with evidence instead of assumption</t>
  </si>
  <si>
    <t>Build a CRM-led expansion/renewal flow for the 25 existing closed-deal accounts (seat expansion, renewal nurture)</t>
  </si>
  <si>
    <t>Growing within existing accounts is cheaper than net-new MQL acquisition and directly supports the "scale SODA as the #1 wellbeing platform" objective through retention, not just top-of-funnel volume</t>
  </si>
  <si>
    <t>Weeks 4-10</t>
  </si>
  <si>
    <t>Time a deliberate budget ramp for Sept–Nov to align with SME corporate budget-planning cycles ahead of January renewals</t>
  </si>
  <si>
    <t>B2B buying activity clusters around fiscal planning windows — flat, evenly-spread spend misses this natural demand curve</t>
  </si>
  <si>
    <t>Weeks 4-6, execute September</t>
  </si>
  <si>
    <t>Next 6-months Priority + Initiatives</t>
  </si>
  <si>
    <t>Country</t>
  </si>
  <si>
    <t>Priority/Initiative</t>
  </si>
  <si>
    <t>What It Involves</t>
  </si>
  <si>
    <t>Why It Matters</t>
  </si>
  <si>
    <t>SG</t>
  </si>
  <si>
    <t>Full-funnel infrastructure + retargeting build-out</t>
  </si>
  <si>
    <t>Activate Google Demand Gen (currently unused) to build a top/mid-funnel audience pool, feeding structured retargeting into Search/PMax for conversion. Pilot on VC first, where install-vs-Joined VC funnel data is already visible</t>
  </si>
  <si>
    <t>Right now, funnel-stage channels (TikTok, awareness Meta) are judged in isolation with no clear handoff to conversion — this connects the funnel instead of running each stage as a separate bet</t>
  </si>
  <si>
    <t>New vs. existing customer budget segmentation</t>
  </si>
  <si>
    <t>Build separate campaign structures and KPI benchmarks for new-customer acquisition vs. existing-customer reactivation/cross-sell — stop blending both under one CPA/ROAS target. Pilot: MedSuites (highest AOV, clear repeat-purchase case) and VC (install reactivation)</t>
  </si>
  <si>
    <t>Right now spend is optimized as if every conversion is a new customer — this hides how much of the "acquisition cost" is actually being spent on people already in the ecosystem, and vice versa</t>
  </si>
  <si>
    <t>Systemized retention/engagement touchpoint program (with CRM/MoEngage)</t>
  </si>
  <si>
    <t>Formalizes the lifecycle threads already started in the 90-Day plan (VC install-to-Joined VC nudges, MedSuites re-screening reminders, MOBS cross-service reminders) into ongoing, always-on program</t>
  </si>
  <si>
    <t>Consistent touchpoints keep existing users active in the ecosystem, which directly reduces reliance on paid acquisition to hit the same growth numbers over time</t>
  </si>
  <si>
    <t>Quarterly strategy review &amp; revision cadence</t>
  </si>
  <si>
    <t>A dated, structured quarterly checkpoint to re-evaluate budget allocation, creative direction, and channel mix against results. First one timed to Q3 close (Sept/Oct)</t>
  </si>
  <si>
    <t>Monthly reviews keep execution on track; without a quarterly step back, the org optimizes what's already running instead of re-asking whether the plan itself is still right</t>
  </si>
  <si>
    <t>Creative testing &amp; production infrastructure</t>
  </si>
  <si>
    <t>Move from reactive creative refreshes to a scheduled rotation calendar across all BUs, with a shared brief template and a living reference of what's worked</t>
  </si>
  <si>
    <t>Right now, creative fatigue is caught after CPA has already crept up — a scheduled cadence catches it before performance drops, not after</t>
  </si>
  <si>
    <t>Cross-BU learnings/playbook system</t>
  </si>
  <si>
    <t>Formalize the tactics and patterns currently scattered across audits, biweekly decks, and this handover itself into one living, updated reference document</t>
  </si>
  <si>
    <t>Directly supports DA's objective of building a high-performing, AI-enabled marketing org — prevents the same lessons from being "rediscovered" every time a new person joins the team</t>
  </si>
  <si>
    <t>Regional (MY, TH, PH, and ID)</t>
  </si>
  <si>
    <t>MY</t>
  </si>
  <si>
    <t>Localized creative variations</t>
  </si>
  <si>
    <t>Introduce localized creative variations (Malaysia-specific storytelling, family dynamics, creator-style content) and begin emotional vs. benefit-led message testing</t>
  </si>
  <si>
    <t>In the past, creatives ran with no A/B testing so it was difficult to determine what messaging angle actually works for MY. Having a structured A/B testing and localized content will provide a better understanding on the messaging angle and this can also be replicated to the other countries, if applicable.</t>
  </si>
  <si>
    <t>TH</t>
  </si>
  <si>
    <t>Scaling performing campaigns into repeatable campaigns</t>
  </si>
  <si>
    <t>Scale the current multi-channel activation (LinkedIn employee blitz, TikTok creator partnership, Health Screening/Vaccination paid ads) into a repeatable quarterly playbook, rather than a one-off push</t>
  </si>
  <si>
    <t>TH is already running the most complete cross-channel activation of the four secondary markets — codifying it protects that momentum instead of it being tied to one person's execution</t>
  </si>
  <si>
    <t>ID</t>
  </si>
  <si>
    <t>Lead Gen + WhatsApp message lead quality improvement, via:</t>
  </si>
  <si>
    <t>Filter out irrelevant audiences by aligning ad copy/visuals to a specific target-audience messaging angle, rather than broad generic messaging</t>
  </si>
  <si>
    <t>ID's own data already flagged this exact problem — WhatsApp-sourced and instant lead gen form-sourced leads pulled in a number of irrelevant leads. The gap isn't volume, it's relevance — tighter audience-message match filters out the noise at the source</t>
  </si>
  <si>
    <t>Use Meta lead-quality settings — OTP verification before form submission, higher-intent lead form settings, and WhatsApp message templates that reroute low-quality responses based on answers given</t>
  </si>
  <si>
    <t>The problem was never getting leads, it's that raw volume isn't being pre-qualified before it hits the sales/ops team, who are the ones currently absorbing the cost of manually filtering spam</t>
  </si>
  <si>
    <t>Build a custom exclusion audience on both Meta and Google using previous spam/low-quality lead lists</t>
  </si>
  <si>
    <t>Right now there's no mechanism stopping the same low-quality respondents from being served ads again and converting into "leads" a second time — this directly protects CPL efficiency from being inflated by repeat junk conversions</t>
  </si>
  <si>
    <t xml:space="preserve">PH </t>
  </si>
  <si>
    <t>Scale VC for paid media</t>
  </si>
  <si>
    <t>Scale VC by closing the install-to-signup gap, not just adding install budget
1. Run a dedicated "First Consultation" campaign targeting users who installed but never signed up, alongside continued Meta App Install and Apple Search Ad campaigns.
2. Test TikTok as a second acquisition channel to reduce single-platform dependency while Google remains frequently limited due to Google Ads healthcare policy.</t>
  </si>
  <si>
    <t>PH is DA's highest-volume app signup market region-wide. PH's own Mother's Day data already proves the acquisition engine works (2,274 installs at an efficient 11.8 PHP CPI). The constraint isn't install volume, it's what happens after install — so the highest-leverage move is fixing that drop-off, not spending more to fill a leaky funnel. This also reduces reliance on Google entirely, sidestepping the LegitScript blocker rather than waiting on it</t>
  </si>
  <si>
    <t>Links to Relevant Documents</t>
  </si>
  <si>
    <r>
      <rPr>
        <i/>
      </rPr>
      <t xml:space="preserve">All of my links housed under </t>
    </r>
    <r>
      <rPr>
        <i/>
        <color rgb="FF1155CC"/>
        <u/>
      </rPr>
      <t>HQ Singapore Gdrive</t>
    </r>
    <r>
      <rPr>
        <i/>
      </rPr>
      <t xml:space="preserve"> &gt; SG Team &gt; </t>
    </r>
    <r>
      <rPr>
        <i/>
        <color rgb="FF1155CC"/>
        <u/>
      </rPr>
      <t xml:space="preserve">Jordan Handover
</t>
    </r>
    <r>
      <rPr>
        <i/>
      </rPr>
      <t>Request from Sarah Chew (sarah.chew@doctoranywhere.com) to provide access to the Gdrive</t>
    </r>
  </si>
  <si>
    <t>Documents</t>
  </si>
  <si>
    <t>Function</t>
  </si>
  <si>
    <t>Location</t>
  </si>
  <si>
    <t>Performance Marketing</t>
  </si>
  <si>
    <t>2026 Monthly media plans</t>
  </si>
  <si>
    <t>Breakdown of ongoing and upcoming campaigns media plan on a monthly basis for 2026</t>
  </si>
  <si>
    <t>https://drive.google.com/drive/folders/1jS68ZVO_E4POs_qHViUMYoxXIcbxiMh5?usp=sharing</t>
  </si>
  <si>
    <t>Singapore Gdrive</t>
  </si>
  <si>
    <t>Deep Links Tracker (by Marketing)</t>
  </si>
  <si>
    <t>Tracker for deep links for the app and marketplace</t>
  </si>
  <si>
    <t>https://docs.google.com/spreadsheets/d/1tByf59DXasAmS8wXm7wSKW3UliOmV4WTH1mH9AeqhW0/edit?gid=825093966#gid=825093966</t>
  </si>
  <si>
    <t>Regional Biweekly Marketing Report</t>
  </si>
  <si>
    <t>Deck used in biweekly marketing report
To update every biweekly</t>
  </si>
  <si>
    <t>https://docs.google.com/presentation/d/1EeijQ2F1JhIOMNSzEWdGqNQ5tGxR-UbEMTtcHmquSh4/edit?usp=sharing</t>
  </si>
  <si>
    <t>Created a duplicated version in Jordan Handover folder</t>
  </si>
  <si>
    <t>Brand and Marketing Bi-Weekly Highlights</t>
  </si>
  <si>
    <t>Biweekly highlights update for marketing</t>
  </si>
  <si>
    <t>https://docs.google.com/document/d/1ErhBJH1RXGdUX3ExJqUeI9YUPAHNh498lnSOUIE_mv0/edit?tab=t.0</t>
  </si>
  <si>
    <t>GHS_Paid_Ads_Audit_Jan-June_2026</t>
  </si>
  <si>
    <t>Audit deck for GHS &amp; SODA Ads for H1 2026</t>
  </si>
  <si>
    <t>https://docs.google.com/presentation/d/1dRzDPiKNLPel4E5LUtgVm3mwkLe5rS79gu_Q_TK9RGo/edit?slide=id.p1#slide=id.p1</t>
  </si>
  <si>
    <t>Regional Marketing Team - Bi-Weekly</t>
  </si>
  <si>
    <t xml:space="preserve">Biweekly meeting notes doc </t>
  </si>
  <si>
    <t>https://docs.google.com/document/d/1vkhZq6WoC85iZzyM_Jj0TQaTTsmaWJ5QxLOHGldDUqY/edit?tab=t.0</t>
  </si>
  <si>
    <t>Taboola Benchmark Range (SGD) - Healthcare</t>
  </si>
  <si>
    <t>Benchmark for Taboola Ads for Healthcare industry</t>
  </si>
  <si>
    <t>https://docs.google.com/spreadsheets/d/1JzED9R8hTZw7TQZl2nEKfpLMmpdVtve3VznWxIE_VYI/edit?usp=sharing</t>
  </si>
  <si>
    <t>With Taboola</t>
  </si>
  <si>
    <t>SODA Leads (Lead Form)</t>
  </si>
  <si>
    <t>House the SODA leads from website and Meta</t>
  </si>
  <si>
    <t>https://docs.google.com/spreadsheets/d/13BBn6rlQj4AWzWlj5u3GH_cH1iDI2_OGh8eQsadsxEg/edit?usp=sharing</t>
  </si>
  <si>
    <t>SODA Sales Channel</t>
  </si>
  <si>
    <t>House the closed deals for SODA</t>
  </si>
  <si>
    <t>https://docs.google.com/spreadsheets/d/1n7NKO1r53FrmOoicwTjUvsS-aJH7bt6U_wygyYRyu3k/edit?usp=sharing</t>
  </si>
  <si>
    <t>DA User Journey</t>
  </si>
  <si>
    <t>Deck on the user journey on app and website</t>
  </si>
  <si>
    <t>https://docs.google.com/presentation/d/1w637l0SsEfwjJ2qAh_Ls3pGkyL-ItrJFS3yRAa5Ad-M/edit?usp=sharing</t>
  </si>
  <si>
    <t>RSV Sanofi Overall Report Deck Template</t>
  </si>
  <si>
    <t>To use for reporting purposes for the RSV Sanofi campaign after its over</t>
  </si>
  <si>
    <t>https://docs.google.com/presentation/d/1fKe7aUFE9s32cOlNeQZOIzADDXPWtlAzVx2SjrNHY-8/edit?usp=sharing</t>
  </si>
  <si>
    <t>Budget</t>
  </si>
  <si>
    <t>YTD BUDGET 2026_Plan and Forecast</t>
  </si>
  <si>
    <t>YTD 2026 Budget for marketing</t>
  </si>
  <si>
    <t>https://docs.google.com/spreadsheets/d/1fejz5B6cyuJlnASYgGKdXWr7GjvW3vIRsN0Du1WEpuM/edit?usp=sharing</t>
  </si>
  <si>
    <t>2026 Marketing HQ Budget</t>
  </si>
  <si>
    <t>Actual 2026 Marketing HQ budget breakdown</t>
  </si>
  <si>
    <t>https://docs.google.com/spreadsheets/d/1C4SfxrtmTQpwhGspBe8UuMJMbjPVEVeL7uAZ_PNNMP0/edit?gid=1282276168#gid=1282276168</t>
  </si>
  <si>
    <t>[Rev#1] July to Dec 2026 Budget Plan and Forecast Revision</t>
  </si>
  <si>
    <t>Forecast and updated budget for H2 2026</t>
  </si>
  <si>
    <t>https://docs.google.com/spreadsheets/d/1DJWBdp7JEuKRM2S4HpyNz5nA0Ewd41gzJ4S_m2qvQto/edit?gid=1123319909#gid=1123319909</t>
  </si>
  <si>
    <t>Campaign Decks</t>
  </si>
  <si>
    <t>[PAST] Regional Big bet: Women’s Month 2026 revHH</t>
  </si>
  <si>
    <t>Marketing planning deck for Women's Month 2026</t>
  </si>
  <si>
    <t>[ONGOING] RSV Marketing Sanofi</t>
  </si>
  <si>
    <t>Marketing planning deck for RSV Sanofi</t>
  </si>
  <si>
    <t>https://docs.google.com/presentation/d/16a59qL7EzK5AanRrwc2XzpLRxrH2fa5wXD9LcyXd7lk/edit?usp=sharing</t>
  </si>
  <si>
    <t>[ONGOING] DA_MensHealth_GTM2026</t>
  </si>
  <si>
    <t>Marketing planning deck for Men's Health</t>
  </si>
  <si>
    <t>[ONGOING] DA MedSuites - Bonsai GTM &amp; Launch Plan (WIP)</t>
  </si>
  <si>
    <t>Marketing planning deck for Bonsai Medsuites</t>
  </si>
  <si>
    <t>[ONGOING] Longevity Launch - Marketing Assets</t>
  </si>
  <si>
    <t>Marketing assets deck for Bonsai Medsuites</t>
  </si>
  <si>
    <t>https://docs.google.com/presentation/d/1WImOD43dCFnMyuamoRy8xsmltfWpkS13/edit?usp=sharing&amp;ouid=114278448906923092405&amp;rtpof=true&amp;sd=true</t>
  </si>
  <si>
    <t>[ONGOING] Brand Manifesto</t>
  </si>
  <si>
    <t>Marketing planning deck for Brand Manifesto</t>
  </si>
  <si>
    <t>Marketing HQ</t>
  </si>
  <si>
    <t>Singapore Marketing HQ</t>
  </si>
  <si>
    <t>GDrive that house all relevant marketing docs for Singapore</t>
  </si>
  <si>
    <t>Malaysia Marketing HQ</t>
  </si>
  <si>
    <t>GDrive that house all relevant marketing docs for Malaysia</t>
  </si>
  <si>
    <t>https://drive.google.com/drive/folders/0AKkhJFOs1PENUk9PVA</t>
  </si>
  <si>
    <t>Thailand Marketing HQ</t>
  </si>
  <si>
    <t>GDrive that house all relevant marketing docs for Thailand</t>
  </si>
  <si>
    <t>https://drive.google.com/drive/folders/0AFHKNu622INvUk9PVA</t>
  </si>
  <si>
    <t>Indonesia Marketing HQ</t>
  </si>
  <si>
    <t>GDrive that house all relevant marketing docs for Indonesia</t>
  </si>
  <si>
    <t>https://drive.google.com/drive/folders/0AG3JZxJwY9hBUk9PVA</t>
  </si>
  <si>
    <t>Philippines Marketing HQ</t>
  </si>
  <si>
    <t>GDrive that house all relevant marketing docs for Philippines</t>
  </si>
  <si>
    <t>https://drive.google.com/drive/folders/0APDDoMIxJkyhUk9PVA</t>
  </si>
  <si>
    <t>Marketing HQ Confluence page</t>
  </si>
  <si>
    <t>Main Confluence page for marketing</t>
  </si>
  <si>
    <t>https://doctoranywhere.atlassian.net/wiki/spaces/MH/overview</t>
  </si>
  <si>
    <t>Confluence</t>
  </si>
  <si>
    <t>DA Marketing Resource Center</t>
  </si>
  <si>
    <t>Resources on marketing assets</t>
  </si>
  <si>
    <t>https://sites.google.com/doctoranywhere.com/marketing/home?authuser=0&amp;pli=1</t>
  </si>
  <si>
    <t>Marketing Jira Service Desk</t>
  </si>
  <si>
    <t>Main location to monitor Jira tickets for marketing</t>
  </si>
  <si>
    <t>https://doctoranywhere.atlassian.net/jira/servicedesk/projects/MSD/summary</t>
  </si>
  <si>
    <t>Jira</t>
  </si>
  <si>
    <t>Heyao Handover</t>
  </si>
  <si>
    <t>Info from Heyao regarding creative studio</t>
  </si>
  <si>
    <t>https://docs.google.com/spreadsheets/d/1QHKoolnru1i-KDYp3_87O45A3QGtkZwwKRnezl_HnYU/edit?gid=0#gid=0</t>
  </si>
  <si>
    <t>Helen Handover</t>
  </si>
  <si>
    <t>Info from Helen regarding marketing team</t>
  </si>
  <si>
    <t>https://docs.google.com/document/d/14jH_aI5HVbiItU4LGKk9j11RDy7Ft2ZcutTGC9hFArw/edit?tab=t.0</t>
  </si>
  <si>
    <t>Roy's Handover</t>
  </si>
  <si>
    <t>Info from Roy regarding digital marketing for DA</t>
  </si>
  <si>
    <t>https://docs.google.com/spreadsheets/d/1c4aIDN2cCdwDm8gviLQEP7UTkWSJ3i038Z9zrvy-flI/edit?gid=2001375830#gid=2001375830</t>
  </si>
  <si>
    <t>Corporate Collateral</t>
  </si>
  <si>
    <t>DA company collateral according to brand guidelines</t>
  </si>
  <si>
    <t>https://drive.google.com/drive/folders/1uHnGdDVg78h2kauXjD9ZAMx3zDzPDF5b</t>
  </si>
  <si>
    <t>2026 OKR Marketing Planning</t>
  </si>
  <si>
    <t>Marketing team's 2026 OKR</t>
  </si>
  <si>
    <t>https://docs.google.com/presentation/d/1Fti3qTzSOn7MdfcVKX-T_J0RuKY67-iD_scHk-iHlvU/edit?usp=sharing</t>
  </si>
  <si>
    <t>2026 Prioritisation Framework_v2</t>
  </si>
  <si>
    <t>Campaign calendar in terms of prioritization for 2026</t>
  </si>
  <si>
    <t>https://docs.google.com/presentation/d/1PLft7mPsqp8mjybPbtBIVhYLbij1hVqIFsZtPx3eSUo/edit?usp=sharing</t>
  </si>
  <si>
    <t>Creatives</t>
  </si>
  <si>
    <t>2026 SG Ad Creatives</t>
  </si>
  <si>
    <t>GDrive that house all 2026 ad and social creatives</t>
  </si>
  <si>
    <t>https://drive.google.com/drive/folders/19wSEneAFlR_Ziy5JHTNPVhiqES9ioFsm</t>
  </si>
  <si>
    <t>Design Folder Directory</t>
  </si>
  <si>
    <t>Directory for designing from creative team</t>
  </si>
  <si>
    <t>https://doctoranywhere.atlassian.net/wiki/spaces/Marketing/pages/4926865847/Design+Folder+Directory</t>
  </si>
  <si>
    <t>Medsuites Always-On Refreshes</t>
  </si>
  <si>
    <t>Ad refresh for Medsuites Always-On campaigns</t>
  </si>
  <si>
    <t>https://docs.google.com/presentation/d/17bl64_jy9dxfAeQXXpgNepaLiwajVk3Vpyds-5g0CG0/edit?usp=sharing</t>
  </si>
  <si>
    <t>RSV Sanofi Ads</t>
  </si>
  <si>
    <t>GDrive folder for RSV Sanofi creatives and ad copies</t>
  </si>
  <si>
    <t>Men's Health Ads</t>
  </si>
  <si>
    <t>GDrive folder for Men's Health creatives and ad copies</t>
  </si>
  <si>
    <t>https://drive.google.com/drive/folders/1J-9bOF4HWNgHWwh4XTU_r3Px7iPhaMF1</t>
  </si>
  <si>
    <t>Medsuites Bonsai Ads</t>
  </si>
  <si>
    <t>GDrive folder for Bonsai creatives and ad copies</t>
  </si>
  <si>
    <t>https://drive.google.com/drive/folders/1NtaGUR0-2bcXbO94-1xBG5Qxeero7-OE</t>
  </si>
  <si>
    <t>Brand Manifesto Paid Ads</t>
  </si>
  <si>
    <t>GDrive folder for Brand Manifesto creatives and ad copies</t>
  </si>
  <si>
    <t>https://drive.google.com/drive/folders/1sNNQAfd2WRL6gpCpae5ZnmOR8_tCr76p</t>
  </si>
  <si>
    <t>HSCA Advertising Regulations</t>
  </si>
  <si>
    <t>Regulations for ad creatives and copies</t>
  </si>
  <si>
    <t>https://docs.google.com/spreadsheets/d/1kM9HhbyBtkkdmRtljGY1sDQkcKwEA-wzkl05kKcL6CQ/edit?usp=sharing</t>
  </si>
  <si>
    <t>09_prohibited_phrases (USE THIS — expanded)</t>
  </si>
  <si>
    <t>Prohibited phrases for creatives</t>
  </si>
  <si>
    <t>https://docs.google.com/spreadsheets/d/1D3pYFcOrETgINS68ogr21fqIjrEy9ua2UHqvspOU7LI/edit?usp=sharing</t>
  </si>
  <si>
    <t>DA Guidelines 2026</t>
  </si>
  <si>
    <t>Brand guidelines for 2026</t>
  </si>
  <si>
    <t>https://docs.google.com/presentation/d/1JVXRebWRtmEl_6G4Wl-Xn0MeM4_jKfMNWh9DACYKE5Q/edit?usp=sharing</t>
  </si>
  <si>
    <t>SODA Design and Brand</t>
  </si>
  <si>
    <t>SODA brand guidelines</t>
  </si>
  <si>
    <t>https://doctoranywhere.atlassian.net/wiki/x/DQDQ2g</t>
  </si>
  <si>
    <t>Brand Manifesto Ads Creative Brief</t>
  </si>
  <si>
    <t>Creative brief for ongoing ad creatives for Brand Manifesto</t>
  </si>
  <si>
    <t>Regional Marketing</t>
  </si>
  <si>
    <t>[DA REGIONAL] 2026 MARKETING CALENDAR</t>
  </si>
  <si>
    <t>Marketing calendar for 2026</t>
  </si>
  <si>
    <t>https://docs.google.com/spreadsheets/d/1275tDF5ygjaqkW5tm_6x9XDaid4GAl0PtGu4yvhdcVY/edit?usp=sharing</t>
  </si>
  <si>
    <t>DA_REGIONAL_2026_MARKETING_CALENDAR_v3</t>
  </si>
  <si>
    <t>DA Priority marketing calendar for 2026</t>
  </si>
  <si>
    <t>https://docs.google.com/spreadsheets/d/1rWvJpiHiDEcDXbf_e8Tv0jYgkT0pS46fFqWDImQNt2M/edit?usp=sharing</t>
  </si>
  <si>
    <t>Competitor Analysis - Indonesia - 20062025</t>
  </si>
  <si>
    <t>Indonesia competitor analysis for research</t>
  </si>
  <si>
    <t>https://docs.google.com/spreadsheets/d/1hRUT7ngEA_j7Z5OnZ8Z8D5SaWKT26H21/edit?usp=sharing&amp;ouid=114278448906923092405&amp;rtpof=true&amp;sd=true</t>
  </si>
  <si>
    <t xml:space="preserve">[INDONESIA] Q3 Plan and Strategy - Ads </t>
  </si>
  <si>
    <t>Indonesia ads plan for Q3 2026</t>
  </si>
  <si>
    <t>https://docs.google.com/presentation/d/14F-FfpKkNLrEGbAclbsZyijfAYnbukJEEgwSys-VQMY/edit?usp=sharing</t>
  </si>
  <si>
    <t>[ID] Budget Pipeline 2026</t>
  </si>
  <si>
    <t>Budget planning for Indonesia in 2026</t>
  </si>
  <si>
    <t>https://docs.google.com/spreadsheets/d/12suvg8diCX4ImlyxHujMWU--xiL-LKiUcGjhjTCG-Ko/edit?usp=sharing</t>
  </si>
  <si>
    <t>TH Insights</t>
  </si>
  <si>
    <t>Insights from TH (competitor, challenges, local market)</t>
  </si>
  <si>
    <t>https://docs.google.com/presentation/d/1GFHhpHotHIwHtnQj7GuqQQkHfrbKHdmYyX-W0gi_P4o/edit?usp=sharing</t>
  </si>
  <si>
    <t>TH July Content</t>
  </si>
  <si>
    <t>Content planning (Social and ads) for TH for July 2026</t>
  </si>
  <si>
    <t>https://docs.google.com/presentation/d/1da42JyEV3tS3DzL8D1cZFofS297GTkqRZ1Tc8zsuI6U/edit?usp=sharing</t>
  </si>
  <si>
    <t>Process Workflow</t>
  </si>
  <si>
    <t>Post Mortem: Pretty Healthy for Women's Month</t>
  </si>
  <si>
    <t>Post mortem workflow for Pretty Healthy campaign</t>
  </si>
  <si>
    <t>https://docs.google.com/presentation/d/1M_RXQWD-IyYkWU5hFJc77NX5-2_LZb8IQsFpkBfEqi8/edit?usp=sharing</t>
  </si>
  <si>
    <t>[WOW] Regional–Local Marketing Operating Model</t>
  </si>
  <si>
    <t>Process workflow between regional and local teams for marketing</t>
  </si>
  <si>
    <t>https://docs.google.com/document/d/1NU2fOgynngnfymOsn3bnHIKb8JcL1gU95xrf3R5UTI4/edit?usp=sharing</t>
  </si>
  <si>
    <t>DA PH Process Workflow</t>
  </si>
  <si>
    <t>Process workflow from PH marketing team</t>
  </si>
  <si>
    <t>https://docs.google.com/presentation/d/118NJFKYpRuoAHFuxFRz9rZG9bkshij4zWOefLBVF8WA/edit?usp=sharing</t>
  </si>
  <si>
    <t>Regional Process Workflow</t>
  </si>
  <si>
    <t>Regional marketing team process workflow</t>
  </si>
  <si>
    <t>https://docs.google.com/presentation/d/1fYJeLW96SzNpQfVcfrUa4IEZmylwM8j-5w6-YNMSDPg/edit?usp=sharing</t>
  </si>
  <si>
    <t>DA Marketing HQ WIP Tracker</t>
  </si>
  <si>
    <t>Weekly task tracker for regional marketing team's task</t>
  </si>
  <si>
    <t>https://docs.google.com/spreadsheets/d/1DekRCl-l4NPbAncoNy_J8YAU4mEYDPaE/edit?usp=sharing&amp;ouid=114278448906923092405&amp;rtpof=true&amp;sd=true</t>
  </si>
  <si>
    <t>Convert Cake (Previous Agency Docs)</t>
  </si>
  <si>
    <t>[Doctor Anywhere] Handover docs_May26</t>
  </si>
  <si>
    <t>Handover doc from agency regarding info on their work with DA</t>
  </si>
  <si>
    <t>https://docs.google.com/document/d/1mnlJt6zU1ft_uf_NtnmKrZBZSyBPMk26oZzlVmFzvX4/edit?usp=sharing</t>
  </si>
  <si>
    <t>Doctor Anywhere (SG/Regional) | Client Portal</t>
  </si>
  <si>
    <t>Main sheet which houses all the paid advertising deliverable from the agency (i.e., ad copies, budget planning) for SG and other markets</t>
  </si>
  <si>
    <t>https://docs.google.com/spreadsheets/d/1WUgfDRbJiZipMaVaW0Ct9aBneRU07wOJ9d-4lzt5sKg/edit?usp=sharing</t>
  </si>
  <si>
    <t xml:space="preserve">2026 Media Optimize Comparison </t>
  </si>
  <si>
    <t>SG Weekly report from the agency</t>
  </si>
  <si>
    <t>https://docs.google.com/presentation/d/1GQMZqK8gFUfZK9pyLYLIzs0AKGnZSUuI8SP2Ktkix3U/edit?usp=sharing</t>
  </si>
  <si>
    <t>Raw data</t>
  </si>
  <si>
    <t>Benchmark data from the agency from Nov 2025 - Apr 2026</t>
  </si>
  <si>
    <t>https://docs.google.com/spreadsheets/d/1WUgfDRbJiZipMaVaW0Ct9aBneRU07wOJ9d-4lzt5sKg/edit?gid=1769344180#gid=1769344180</t>
  </si>
  <si>
    <t>2025 DA campaign analysis</t>
  </si>
  <si>
    <t>Analysis from the agency for DA paid campaigns in 2025</t>
  </si>
  <si>
    <t>https://docs.google.com/presentation/d/1da2DtvedPVbFePVsTKQWUJGwo1JGBAYUcjM1JJ4YAVw/edit?usp=sharing</t>
  </si>
  <si>
    <t>[Doctor Anywhere ] Regional Market Performance report</t>
  </si>
  <si>
    <t>Monthly marketing report for each Region (ID, MY, TH, PH only)</t>
  </si>
  <si>
    <t>https://docs.google.com/presentation/d/1bSBVqB3nHBBFYh4TY9mBtyfXSFCx_yG_JvGn6M07z14/edit?usp=sharing</t>
  </si>
  <si>
    <t>Netsuites and Aspire Credit Card Docs</t>
  </si>
  <si>
    <t>Credit Card for various accounts</t>
  </si>
  <si>
    <t>Aspire Credit Cards that are linked to the various marketing platforms and tools
Can be used as a guide when a new card holder has the credit cards</t>
  </si>
  <si>
    <t>https://docs.google.com/spreadsheets/d/1lOS3BGzgWefRUGDG217bBuShFMsUA-2WkLDOzpsrU8s/edit?usp=sharing</t>
  </si>
  <si>
    <t>Marketing Credit Card Invoices</t>
  </si>
  <si>
    <t>Gdrive which houses the various invoices from the marketing platforms and tools that are linked to Marketing team's Aspire CC
To update the invoices in each month's folder every month</t>
  </si>
  <si>
    <t>https://drive.google.com/drive/folders/1aAwLdh1MDVhNldA3c6wezVhTmMosOlzO</t>
  </si>
  <si>
    <t>Finance Gdrive</t>
  </si>
  <si>
    <t>DA_Marketing_PO_Categorisation_Guide</t>
  </si>
  <si>
    <t>Guide on raising PO and conducting IR for marketing invoices in Netsuite</t>
  </si>
  <si>
    <t>https://docs.google.com/spreadsheets/d/1OtoN-PK4UZGQtQpS83eynoEwDu_HFoZI-mfLMgeq8sw/edit?usp=sharing</t>
  </si>
  <si>
    <t>Ad rep name</t>
  </si>
  <si>
    <t>Contact info</t>
  </si>
  <si>
    <t>Support</t>
  </si>
  <si>
    <t>Pao J-Hao</t>
  </si>
  <si>
    <t>paojh@google.com</t>
  </si>
  <si>
    <t>Assist on budget planning, strategy, ad policy support, and optimisation suggestions for Google Ads</t>
  </si>
  <si>
    <t>Main communication platform is via email
Pao is the main Google Ad rep. Esther only comes in when we reach a monthly budget spend of SGD50K/month</t>
  </si>
  <si>
    <t>Esther Brigitta</t>
  </si>
  <si>
    <t>ebrigitta@google.com</t>
  </si>
  <si>
    <t>Hannah</t>
  </si>
  <si>
    <t>hannah.gn@bytedance.com</t>
  </si>
  <si>
    <t xml:space="preserve">Assist on TikTok campaign plannning, TikTok One, policy support and optimisation suggestions </t>
  </si>
  <si>
    <t>Communicate via Slack
Hannah is the main TikTok rep. Dominic supports her</t>
  </si>
  <si>
    <t>Dominic</t>
  </si>
  <si>
    <t>dominic.psh@bytedance.com</t>
  </si>
  <si>
    <t>Dolludee Yonsuwan</t>
  </si>
  <si>
    <t>dolludee.y@taboola.com</t>
  </si>
  <si>
    <t>Assist on setting up Taboola campaigns, campaign suggestions and optimisations, budget planning for Taboola</t>
  </si>
  <si>
    <t>Communicate via Slack</t>
  </si>
  <si>
    <t>Gerald</t>
  </si>
  <si>
    <t>gerald@singular.net</t>
  </si>
  <si>
    <t>Assist on walking through Singular, guiding, and reviewing Singular setup for DA</t>
  </si>
  <si>
    <t>Steps</t>
  </si>
  <si>
    <t>Process</t>
  </si>
  <si>
    <t>Access needed</t>
  </si>
  <si>
    <r>
      <rPr/>
      <t xml:space="preserve">Steps to invite users into meta business manager can be viewed </t>
    </r>
    <r>
      <rPr>
        <color rgb="FF1155CC"/>
        <u/>
      </rPr>
      <t xml:space="preserve">here
</t>
    </r>
    <r>
      <rPr/>
      <t xml:space="preserve">Video on inviting users to meta business manager can be viewed </t>
    </r>
    <r>
      <rPr>
        <color rgb="FF1155CC"/>
        <u/>
      </rPr>
      <t>here</t>
    </r>
  </si>
  <si>
    <t>Provide them Admin, Standard, or Read access to the following assets (where applicable)
- Ad account
- FB Page
- Catalogues
- Apps
- Pixels
- IG account
- Offline event sets
- Domains
- WhatsApp accounts
- Data sets</t>
  </si>
  <si>
    <t>Do note that there are 5 different Meta Business Managers for DA
1. DA SG (House GHS, TH, and SODA)
2. DA Medsuites
3. DA Indonesia
4. DA Malaysia
5. DA Philippines</t>
  </si>
  <si>
    <t>Google</t>
  </si>
  <si>
    <r>
      <rPr/>
      <t xml:space="preserve">Steps to invite users into Google Ads account can be viewed </t>
    </r>
    <r>
      <rPr>
        <color rgb="FF1155CC"/>
        <u/>
      </rPr>
      <t>here</t>
    </r>
    <r>
      <rPr/>
      <t xml:space="preserve">
Video on inviting users to Google Ads account can be viewed </t>
    </r>
    <r>
      <rPr>
        <color rgb="FF1155CC"/>
        <u/>
      </rPr>
      <t>here</t>
    </r>
  </si>
  <si>
    <t>Access that can be provided is View, Standard, Admin, or Billing Manager</t>
  </si>
  <si>
    <t>Do note that there are 8 different Google Ads account for DA
1. DA Master Account (linked to all Google Ads account)
2. DA Singapore
3. Kinship by DA
4. DA Malaysia
5. DA Philippines
6. DA Thailand
7. Soda by DA
8. DA Bideford Pte Ltd - SG</t>
  </si>
  <si>
    <t>TikTok</t>
  </si>
  <si>
    <r>
      <rPr/>
      <t xml:space="preserve">Steps to invite users into TikTok Business Manager can be viewed </t>
    </r>
    <r>
      <rPr>
        <color rgb="FF1155CC"/>
        <u/>
      </rPr>
      <t>here</t>
    </r>
    <r>
      <rPr/>
      <t xml:space="preserve">
Video on inviting users to TikTok Ads account can be viewed </t>
    </r>
    <r>
      <rPr>
        <color rgb="FF1155CC"/>
        <u/>
      </rPr>
      <t>here</t>
    </r>
  </si>
  <si>
    <t>Access that can be provided is Standard, Admin, Finance Manager, or Finance Analyst
Provide them access to (where applicable):
- Ad account
- TikTok account
- Shops
- TikTok One
- TikTok One Creative Partner
- Pixels
- Catalogs
- Leads</t>
  </si>
  <si>
    <t>Do note that there are 4 different TikTok Business Managers for DA
1. DA SG (House GHS, Medsuites, and SODA)
2. DA Thailand
3. DA Indonesia
4. DA Philippines</t>
  </si>
  <si>
    <r>
      <rPr/>
      <t xml:space="preserve">Steps to invite users into LinkedIn Business Manager can be viewed </t>
    </r>
    <r>
      <rPr>
        <color rgb="FF1155CC"/>
        <u/>
      </rPr>
      <t>here</t>
    </r>
    <r>
      <rPr/>
      <t xml:space="preserve">
Steps to invite users into LinkedIn Pages from the Business Manager can be viewed </t>
    </r>
    <r>
      <rPr>
        <color rgb="FF1155CC"/>
        <u/>
      </rPr>
      <t xml:space="preserve">here
</t>
    </r>
    <r>
      <rPr/>
      <t xml:space="preserve">Steps to invite users into LinkedIn Ad Accounts from the Business Manager can be viewed </t>
    </r>
    <r>
      <rPr>
        <color rgb="FF1155CC"/>
        <u/>
      </rPr>
      <t>here</t>
    </r>
  </si>
  <si>
    <t>Access that can be provided is Admin, Employee, Contractor</t>
  </si>
  <si>
    <t>There is only 1 LinkedIn Business Manager (LinkedIn SG) which houses all the Pages and Ad accounts for each market</t>
  </si>
  <si>
    <t>After inviting the user into the Business Manager and they accepted the invite, do add them into the relevant LinkedIn Pages and Ad accounts from the Business Manager (only admins can do it)</t>
  </si>
  <si>
    <t>Currently only the DA SG and DA Soda have a payment method since they ran ads in the past
The other regions' ad account are still pending a payment method if ads will be run in the future for these countries</t>
  </si>
  <si>
    <r>
      <rPr/>
      <t xml:space="preserve">Steps to invite users into Apple Search Ads can be viewed </t>
    </r>
    <r>
      <rPr>
        <color rgb="FF1155CC"/>
        <u/>
      </rPr>
      <t>here</t>
    </r>
  </si>
  <si>
    <t>Access that can be provided are Account Admin, Account Finance, Account Read Only, API Account Manager, and API Account Read Only</t>
  </si>
  <si>
    <t>There is only 1 Apple Search Ad Business account which houses the other regions ad accounts
However, only SG and PH are actively running ads</t>
  </si>
  <si>
    <r>
      <rPr/>
      <t xml:space="preserve">To gain access to Taboola, it has to go through their ad account rep
Taboola currently has no feature to add users from the advertiser's end
Contact details for DA's Taboola ad rep can be found </t>
    </r>
    <r>
      <rPr>
        <color rgb="FF1155CC"/>
        <u/>
      </rPr>
      <t>here</t>
    </r>
  </si>
  <si>
    <t>To be discussed with Taboola ad rep</t>
  </si>
  <si>
    <r>
      <rPr/>
      <t xml:space="preserve">Steps to invite users into GA4 can be viewed </t>
    </r>
    <r>
      <rPr>
        <color rgb="FF1155CC"/>
        <u/>
      </rPr>
      <t>here</t>
    </r>
  </si>
  <si>
    <t>Access that can be provided in GA4 are Admin, Editor, Marketer, Analyst, and Viewer</t>
  </si>
  <si>
    <t>Currently there are only SG and PH GA4 accounts (according to what I have)</t>
  </si>
  <si>
    <t>Google Tag Manager (GTM)</t>
  </si>
  <si>
    <r>
      <rPr/>
      <t xml:space="preserve">Steps to invite users into GTM can be viewed </t>
    </r>
    <r>
      <rPr>
        <color rgb="FF1155CC"/>
        <u/>
      </rPr>
      <t>here</t>
    </r>
  </si>
  <si>
    <t>Access that can be provided for the account are Admin and User
For each container, they have their own list of permissions which are:
- Publish
- Approve
- Edit
- Read</t>
  </si>
  <si>
    <t>Currently there are 5 GTM accounts:
- DA TH
- DA SG
- DA PH
- DA MY
- DA ID</t>
  </si>
  <si>
    <t>Each GTM account has various containers for various DA websites</t>
  </si>
  <si>
    <t>PO and IR Process for Netsuite</t>
  </si>
  <si>
    <t>Vendor for Google Ads is Google Asia Pacific Pte. Ltd.</t>
  </si>
  <si>
    <t>Take note got two Google Asia Pacific
Choose the one with the period (".") at the end of Ltd</t>
  </si>
  <si>
    <t>For PO date can be any date. IR date is more important
IR closes every 3rd working day of the following month
Ex:
- If I have a PO in May and need to pay by last day of May, if its in the IR period of May, I can still put 1/5 or 31/5 for the IR date
- If I have a PO in May and need to pay by last day of May, if I pass the IR period of May (&gt;3rd working day of the new month), I have to put 1/6 for the IR date</t>
  </si>
  <si>
    <t>For costing, put the total amount without tax.
For SG vendors POs, need to include GST. Tax code is GST_SG:TX9-SG
For non-SG vendors, POs, no need include GST. Tax code is GST_SG:OP-SG</t>
  </si>
  <si>
    <t>Google Ads Invoice</t>
  </si>
  <si>
    <t xml:space="preserve">Cost Center Department </t>
  </si>
  <si>
    <t>GHS (Main SG Google Ad Account - Account ID: 731-900-9450)</t>
  </si>
  <si>
    <t>InsurTech - Operations - HQ</t>
  </si>
  <si>
    <t>SODA (Soda by DA - Ad Account ID: 494-803-9078)</t>
  </si>
  <si>
    <t>InsurTech Operations - HQ</t>
  </si>
  <si>
    <t>Indicate its for SODA Google Ads in the memo &amp; description</t>
  </si>
  <si>
    <t>Medsuites (DA Bideford Pte Ltd - SG - Ad Account ID: 928-181-2301)</t>
  </si>
  <si>
    <t>GHS - Medsuites - Corporate</t>
  </si>
  <si>
    <t>Location &amp; Subsidiary is DA Bideford Pte Ltd</t>
  </si>
  <si>
    <t>Other Marketing Tools</t>
  </si>
  <si>
    <t>Marketing (Global)</t>
  </si>
  <si>
    <t>Aspire Credit Card Process</t>
  </si>
  <si>
    <t>Step 1: When receiving the Aspire Credit Card</t>
  </si>
  <si>
    <r>
      <rPr/>
      <t xml:space="preserve">Refer to this </t>
    </r>
    <r>
      <rPr>
        <color rgb="FF1155CC"/>
        <u/>
      </rPr>
      <t>sheet</t>
    </r>
    <r>
      <rPr/>
      <t xml:space="preserve"> to view what Aspire credit card (in terms of currency) should be linked to the various marketing tools &amp; platforms</t>
    </r>
  </si>
  <si>
    <t>Once you have the Aspire credit cards, ensure you have billing access or if its a shared account, ensure that account has billing access</t>
  </si>
  <si>
    <t>Update the payment method into these marketing tools and platforms</t>
  </si>
  <si>
    <t>Step 2: At the end/start of every month</t>
  </si>
  <si>
    <r>
      <rPr/>
      <t xml:space="preserve">The card holder will need to input the marketing tools and platform invoices (that are linked to the credit cards) into the Finance drive </t>
    </r>
    <r>
      <rPr>
        <color rgb="FF1155CC"/>
        <u/>
      </rPr>
      <t>here</t>
    </r>
    <r>
      <rPr/>
      <t xml:space="preserve"> according to the respective month's folder</t>
    </r>
  </si>
  <si>
    <t>For SG, the main card holder will have to file the invoices
For ID, Richa can support on filing the invoices
For MY, Mei Yan can support on filing the invoices
Do create separate folder within the month's folder for ID and MY invoices. Please refer to the previous months' folder for reference</t>
  </si>
  <si>
    <r>
      <rPr>
        <rFont val="Arial"/>
        <color theme="1"/>
      </rPr>
      <t xml:space="preserve">Do note that the file name of the invoice has a naming convention that needs to be followed
</t>
    </r>
    <r>
      <rPr>
        <rFont val="Arial"/>
        <b/>
        <color theme="1"/>
      </rPr>
      <t>DDMMYY [Department of the cost incurred] [Vendor Name] [SGD Amount]</t>
    </r>
  </si>
  <si>
    <t>Campaign</t>
  </si>
  <si>
    <t>Start Date</t>
  </si>
  <si>
    <t>End Date</t>
  </si>
  <si>
    <t>Platforms</t>
  </si>
  <si>
    <t>Total campaign budget</t>
  </si>
  <si>
    <t>Goal</t>
  </si>
  <si>
    <t>Resources (for context)</t>
  </si>
  <si>
    <t>Next steps (if any)</t>
  </si>
  <si>
    <t>Meta
Google Search
Google Demand Gen
TikTok Ads</t>
  </si>
  <si>
    <t>Drive booking appointments for RSV Vaccine</t>
  </si>
  <si>
    <t>RSV Sanofi Marketing Deck</t>
  </si>
  <si>
    <t>To prepare an overall report for Sanofi after the campaign ends</t>
  </si>
  <si>
    <t>RSV Sanofi Media Plan</t>
  </si>
  <si>
    <t>RSV Sanofi Ad Copies</t>
  </si>
  <si>
    <t>RSV Sanofi Landing Page Brief</t>
  </si>
  <si>
    <t>RSV Sanofi Creative Assets</t>
  </si>
  <si>
    <t>RSV Sanofi Overall Report Template</t>
  </si>
  <si>
    <t>To use this deck for the overall report</t>
  </si>
  <si>
    <t>Apple Search Ads
Google Search
Google Pmax
Meta</t>
  </si>
  <si>
    <t>Drive App installs for VC
Drive booking appointments for MOBS and Medsuites</t>
  </si>
  <si>
    <t>Men's Health Marketing Brief</t>
  </si>
  <si>
    <t>To prepare an overall report for GHS after the campaign ends</t>
  </si>
  <si>
    <t>Men's Health Creative Assets</t>
  </si>
  <si>
    <t>Men's Health Media Plan</t>
  </si>
  <si>
    <t>Meta
Google Ads Video (YouTube)
TikTok
Taboola
Google Search
Google App
Apple Search Ads</t>
  </si>
  <si>
    <t>Drive cross-sell service for DA</t>
  </si>
  <si>
    <t>DA Brand Manifesto Strategy Deck</t>
  </si>
  <si>
    <t>To prepare an overall report for branding after the campaign ends</t>
  </si>
  <si>
    <t>Brand Manifesto Ad Creatives</t>
  </si>
  <si>
    <t>Brand Manifesto Media Plan</t>
  </si>
  <si>
    <t>Medsuites Bonsai (Longevity)</t>
  </si>
  <si>
    <t>Meta
TikTok
LinkedIn
Google Search</t>
  </si>
  <si>
    <t>Drive sales for the Bonsai Package for Medsuites</t>
  </si>
  <si>
    <t>Bonsai GTM Plan</t>
  </si>
  <si>
    <t>To prepare an overall report for Medsuites after the campaign ends</t>
  </si>
  <si>
    <r>
      <rPr>
        <color rgb="FF1155CC"/>
        <u/>
      </rPr>
      <t xml:space="preserve">Bonsai Marketing Assets Deck </t>
    </r>
    <r>
      <rPr/>
      <t>- for BU review</t>
    </r>
  </si>
  <si>
    <t>Bonsai External Comms Guidance</t>
  </si>
  <si>
    <t>Bonsai Ad Copies</t>
  </si>
  <si>
    <t>Bonsai Ad Creatives</t>
  </si>
  <si>
    <t>Bonsai Media Plan</t>
  </si>
  <si>
    <t>Kinship brand launch</t>
  </si>
  <si>
    <t>TBC</t>
  </si>
  <si>
    <t>Meta
Google Demand Gen
Google Search</t>
  </si>
  <si>
    <t>Promote launch of Kinship by DA</t>
  </si>
  <si>
    <t>Kinship Media Plan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</si>
</sst>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quot;$&quot;#,##0"/>
    <numFmt numFmtId="166" formatCode="mmmm yyyy"/>
    <numFmt numFmtId="167" formatCode="dd&quot;/&quot;mm&quot;/&quot;yyyy"/>
  </numFmts>
  <fonts count="23">
    <font>
      <sz val="10.0"/>
      <color rgb="FF000000"/>
      <name val="Arial"/>
      <scheme val="minor"/>
    </font>
    <font>
      <b/>
      <color theme="1"/>
      <name val="Arial"/>
      <scheme val="minor"/>
    </font>
    <font>
      <color theme="1"/>
      <name val="Arial"/>
      <scheme val="minor"/>
    </font>
    <font>
      <u/>
      <color rgb="FF0000FF"/>
    </font>
    <font>
      <u/>
      <color rgb="FF0000FF"/>
    </font>
    <font>
      <b/>
      <u/>
      <color rgb="FF0000FF"/>
    </font>
    <font>
      <b/>
      <sz val="14.0"/>
      <color theme="1"/>
      <name val="Arial"/>
      <scheme val="minor"/>
    </font>
    <font>
      <b/>
      <sz val="12.0"/>
      <color theme="1"/>
      <name val="Arial"/>
      <scheme val="minor"/>
    </font>
    <font>
      <b/>
      <sz val="11.0"/>
      <color rgb="FF000000"/>
      <name val="Arial"/>
    </font>
    <font>
      <sz val="10.0"/>
      <color rgb="FF000000"/>
      <name val="Arial"/>
    </font>
    <font>
      <b/>
      <sz val="10.0"/>
      <color rgb="FF000000"/>
      <name val="Arial"/>
    </font>
    <font>
      <b/>
      <sz val="14.0"/>
      <color rgb="FFFFFFFF"/>
      <name val="Arial"/>
      <scheme val="minor"/>
    </font>
    <font>
      <u/>
      <color rgb="FF0000FF"/>
    </font>
    <font>
      <b/>
      <color theme="1"/>
      <name val="Arial"/>
    </font>
    <font>
      <u/>
      <color rgb="FF0000FF"/>
    </font>
    <font>
      <u/>
      <color rgb="FF0000FF"/>
    </font>
    <font>
      <u/>
      <color rgb="FF0000FF"/>
    </font>
    <font>
      <b/>
      <u/>
      <color rgb="FF0000FF"/>
    </font>
    <font>
      <b/>
      <sz val="13.0"/>
      <color theme="1"/>
      <name val="Arial"/>
      <scheme val="minor"/>
    </font>
    <font>
      <i/>
      <u/>
      <color rgb="FF0000FF"/>
    </font>
    <font>
      <u/>
      <color rgb="FF0000FF"/>
    </font>
    <font>
      <b/>
      <sz val="16.0"/>
      <color theme="1"/>
      <name val="Arial"/>
      <scheme val="minor"/>
    </font>
    <font>
      <color theme="1"/>
      <name val="Arial"/>
    </font>
  </fonts>
  <fills count="9">
    <fill>
      <patternFill patternType="none"/>
    </fill>
    <fill>
      <patternFill patternType="lightGray"/>
    </fill>
    <fill>
      <patternFill patternType="solid">
        <fgColor rgb="FFC9DAF8"/>
        <bgColor rgb="FFC9DAF8"/>
      </patternFill>
    </fill>
    <fill>
      <patternFill patternType="solid">
        <fgColor rgb="FFFFFF00"/>
        <bgColor rgb="FFFFFF00"/>
      </patternFill>
    </fill>
    <fill>
      <patternFill patternType="solid">
        <fgColor rgb="FF674EA7"/>
        <bgColor rgb="FF674EA7"/>
      </patternFill>
    </fill>
    <fill>
      <patternFill patternType="solid">
        <fgColor rgb="FFFFF2CC"/>
        <bgColor rgb="FFFFF2CC"/>
      </patternFill>
    </fill>
    <fill>
      <patternFill patternType="solid">
        <fgColor rgb="FFEA9999"/>
        <bgColor rgb="FFEA9999"/>
      </patternFill>
    </fill>
    <fill>
      <patternFill patternType="solid">
        <fgColor rgb="FFD9EAD3"/>
        <bgColor rgb="FFD9EAD3"/>
      </patternFill>
    </fill>
    <fill>
      <patternFill patternType="solid">
        <fgColor rgb="FFD9D2E9"/>
        <bgColor rgb="FFD9D2E9"/>
      </patternFill>
    </fill>
  </fills>
  <borders count="1">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center" readingOrder="0" vertical="center"/>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vertical="center"/>
    </xf>
    <xf borderId="0" fillId="0" fontId="3" numFmtId="0" xfId="0" applyAlignment="1" applyFont="1">
      <alignment readingOrder="0"/>
    </xf>
    <xf borderId="0" fillId="0" fontId="4" numFmtId="0" xfId="0" applyAlignment="1" applyFont="1">
      <alignment readingOrder="0" vertical="center"/>
    </xf>
    <xf borderId="0" fillId="2" fontId="5" numFmtId="0" xfId="0" applyAlignment="1" applyFont="1">
      <alignment horizontal="center" readingOrder="0" shrinkToFit="0" wrapText="1"/>
    </xf>
    <xf borderId="0" fillId="0" fontId="2" numFmtId="0" xfId="0" applyFont="1"/>
    <xf borderId="0" fillId="0" fontId="2" numFmtId="0" xfId="0" applyAlignment="1" applyFont="1">
      <alignment shrinkToFit="0" wrapText="1"/>
    </xf>
    <xf borderId="0" fillId="0" fontId="2" numFmtId="0" xfId="0" applyAlignment="1" applyFont="1">
      <alignment vertical="center"/>
    </xf>
    <xf borderId="0" fillId="2" fontId="6" numFmtId="0" xfId="0" applyAlignment="1" applyFont="1">
      <alignment horizontal="center" readingOrder="0" shrinkToFit="0" wrapText="1"/>
    </xf>
    <xf borderId="0" fillId="2" fontId="7" numFmtId="0" xfId="0" applyAlignment="1" applyFont="1">
      <alignment horizontal="center" readingOrder="0" shrinkToFit="0" wrapText="1"/>
    </xf>
    <xf borderId="0" fillId="2" fontId="8" numFmtId="0" xfId="0" applyAlignment="1" applyFont="1">
      <alignment horizontal="center" readingOrder="0"/>
    </xf>
    <xf borderId="0" fillId="0" fontId="2" numFmtId="164" xfId="0" applyAlignment="1" applyFont="1" applyNumberFormat="1">
      <alignment readingOrder="0" shrinkToFit="0" wrapText="1"/>
    </xf>
    <xf borderId="0" fillId="0" fontId="2" numFmtId="164" xfId="0" applyAlignment="1" applyFont="1" applyNumberFormat="1">
      <alignment shrinkToFit="0" wrapText="1"/>
    </xf>
    <xf borderId="0" fillId="0" fontId="2" numFmtId="10" xfId="0" applyAlignment="1" applyFont="1" applyNumberFormat="1">
      <alignment readingOrder="0" shrinkToFit="0" wrapText="1"/>
    </xf>
    <xf borderId="0" fillId="0" fontId="9" numFmtId="0" xfId="0" applyAlignment="1" applyFont="1">
      <alignment readingOrder="0"/>
    </xf>
    <xf borderId="0" fillId="0" fontId="10" numFmtId="165" xfId="0" applyAlignment="1" applyFont="1" applyNumberFormat="1">
      <alignment horizontal="right" readingOrder="0"/>
    </xf>
    <xf borderId="0" fillId="0" fontId="10" numFmtId="0" xfId="0" applyAlignment="1" applyFont="1">
      <alignment horizontal="right" readingOrder="0"/>
    </xf>
    <xf borderId="0" fillId="3" fontId="1" numFmtId="0" xfId="0" applyAlignment="1" applyFill="1" applyFont="1">
      <alignment readingOrder="0"/>
    </xf>
    <xf borderId="0" fillId="3" fontId="1" numFmtId="165" xfId="0" applyFont="1" applyNumberFormat="1"/>
    <xf borderId="0" fillId="0" fontId="1" numFmtId="0" xfId="0" applyAlignment="1" applyFont="1">
      <alignment readingOrder="0" shrinkToFit="0"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7" numFmtId="0" xfId="0" applyAlignment="1" applyFont="1">
      <alignment horizontal="center" readingOrder="0" shrinkToFit="0" wrapText="1"/>
    </xf>
    <xf borderId="0" fillId="3" fontId="1" numFmtId="0" xfId="0" applyAlignment="1" applyFont="1">
      <alignment readingOrder="0" shrinkToFit="0" vertical="center" wrapText="1"/>
    </xf>
    <xf borderId="0" fillId="0" fontId="2" numFmtId="164" xfId="0" applyAlignment="1" applyFont="1" applyNumberFormat="1">
      <alignment shrinkToFit="0" vertical="center" wrapText="1"/>
    </xf>
    <xf borderId="0" fillId="2" fontId="1" numFmtId="0" xfId="0" applyAlignment="1" applyFont="1">
      <alignment horizontal="center" readingOrder="0" shrinkToFit="0" vertical="center" wrapText="1"/>
    </xf>
    <xf borderId="0" fillId="2" fontId="1" numFmtId="164" xfId="0" applyAlignment="1" applyFont="1" applyNumberFormat="1">
      <alignment horizontal="center" readingOrder="0" shrinkToFit="0" vertical="center" wrapText="1"/>
    </xf>
    <xf borderId="0" fillId="4" fontId="11"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0" fontId="2" numFmtId="164" xfId="0" applyAlignment="1" applyFont="1" applyNumberFormat="1">
      <alignment readingOrder="0" shrinkToFit="0" vertical="center" wrapText="1"/>
    </xf>
    <xf borderId="0" fillId="6" fontId="12" numFmtId="0" xfId="0" applyAlignment="1" applyFill="1" applyFont="1">
      <alignment readingOrder="0" shrinkToFit="0" vertical="center" wrapText="1"/>
    </xf>
    <xf borderId="0" fillId="3" fontId="13" numFmtId="0" xfId="0" applyAlignment="1" applyFont="1">
      <alignment readingOrder="0" shrinkToFit="0" wrapText="1"/>
    </xf>
    <xf borderId="0" fillId="3" fontId="13" numFmtId="0" xfId="0" applyAlignment="1" applyFont="1">
      <alignment shrinkToFit="0" wrapText="1"/>
    </xf>
    <xf borderId="0" fillId="5" fontId="7" numFmtId="0" xfId="0" applyAlignment="1" applyFont="1">
      <alignment horizontal="center" readingOrder="0" shrinkToFit="0" wrapText="1"/>
    </xf>
    <xf borderId="0" fillId="0" fontId="2" numFmtId="0" xfId="0" applyAlignment="1" applyFont="1">
      <alignment readingOrder="0" shrinkToFit="0" wrapText="1"/>
    </xf>
    <xf borderId="0" fillId="5" fontId="7" numFmtId="0" xfId="0" applyAlignment="1" applyFont="1">
      <alignment horizontal="center" readingOrder="0" shrinkToFit="0" wrapText="1"/>
    </xf>
    <xf borderId="0" fillId="0" fontId="1" numFmtId="0" xfId="0" applyAlignment="1" applyFont="1">
      <alignment readingOrder="0" shrinkToFit="0" vertical="center" wrapText="1"/>
    </xf>
    <xf borderId="0" fillId="3" fontId="1" numFmtId="0" xfId="0" applyAlignment="1" applyFont="1">
      <alignment readingOrder="0" shrinkToFit="0" wrapText="1"/>
    </xf>
    <xf borderId="0" fillId="0" fontId="1" numFmtId="0" xfId="0" applyAlignment="1" applyFont="1">
      <alignment horizontal="center" readingOrder="0" shrinkToFit="0" vertical="center" wrapText="1"/>
    </xf>
    <xf borderId="0" fillId="7" fontId="2" numFmtId="0" xfId="0" applyAlignment="1" applyFill="1" applyFont="1">
      <alignment readingOrder="0" shrinkToFit="0" vertical="center" wrapText="1"/>
    </xf>
    <xf borderId="0" fillId="2" fontId="2" numFmtId="0" xfId="0" applyAlignment="1" applyFont="1">
      <alignment readingOrder="0" shrinkToFit="0" vertical="center" wrapText="1"/>
    </xf>
    <xf borderId="0" fillId="2" fontId="6" numFmtId="0" xfId="0" applyAlignment="1" applyFont="1">
      <alignment horizontal="center" readingOrder="0" vertical="center"/>
    </xf>
    <xf borderId="0" fillId="0" fontId="14" numFmtId="0" xfId="0" applyAlignment="1" applyFont="1">
      <alignment readingOrder="0" shrinkToFit="0" vertical="center" wrapText="1"/>
    </xf>
    <xf borderId="0" fillId="2" fontId="6" numFmtId="0" xfId="0" applyAlignment="1" applyFont="1">
      <alignment horizontal="center" readingOrder="0" shrinkToFit="0" vertical="center" wrapText="1"/>
    </xf>
    <xf borderId="0" fillId="0" fontId="2" numFmtId="0" xfId="0" applyAlignment="1" applyFont="1">
      <alignment shrinkToFit="0" wrapText="0"/>
    </xf>
    <xf borderId="0" fillId="2" fontId="1" numFmtId="0" xfId="0" applyAlignment="1" applyFont="1">
      <alignment horizontal="center" readingOrder="0" shrinkToFit="0" wrapText="0"/>
    </xf>
    <xf borderId="0" fillId="0" fontId="15" numFmtId="0" xfId="0" applyAlignment="1" applyFont="1">
      <alignment readingOrder="0" shrinkToFit="0" wrapText="0"/>
    </xf>
    <xf borderId="0" fillId="2" fontId="1" numFmtId="0" xfId="0" applyAlignment="1" applyFont="1">
      <alignment horizontal="center" readingOrder="0"/>
    </xf>
    <xf borderId="0" fillId="0" fontId="16" numFmtId="0" xfId="0" applyAlignment="1" applyFont="1">
      <alignment readingOrder="0" shrinkToFit="0" wrapText="1"/>
    </xf>
    <xf borderId="0" fillId="0" fontId="2" numFmtId="0" xfId="0" applyAlignment="1" applyFont="1">
      <alignment horizontal="left" readingOrder="0" shrinkToFit="0" vertical="center" wrapText="1"/>
    </xf>
    <xf borderId="0" fillId="0" fontId="2" numFmtId="164" xfId="0" applyAlignment="1" applyFont="1" applyNumberFormat="1">
      <alignment readingOrder="0" vertical="center"/>
    </xf>
    <xf borderId="0" fillId="0" fontId="2" numFmtId="164" xfId="0" applyAlignment="1" applyFont="1" applyNumberFormat="1">
      <alignment vertical="center"/>
    </xf>
    <xf borderId="0" fillId="0" fontId="2" numFmtId="10" xfId="0" applyAlignment="1" applyFont="1" applyNumberFormat="1">
      <alignment shrinkToFit="0" vertical="center" wrapText="1"/>
    </xf>
    <xf borderId="0" fillId="5" fontId="1" numFmtId="0" xfId="0" applyAlignment="1" applyFont="1">
      <alignment readingOrder="0" vertical="center"/>
    </xf>
    <xf borderId="0" fillId="5" fontId="1" numFmtId="164" xfId="0" applyAlignment="1" applyFont="1" applyNumberFormat="1">
      <alignment vertical="center"/>
    </xf>
    <xf borderId="0" fillId="5" fontId="2" numFmtId="10" xfId="0" applyAlignment="1" applyFont="1" applyNumberFormat="1">
      <alignment shrinkToFit="0" vertical="center" wrapText="1"/>
    </xf>
    <xf borderId="0" fillId="5" fontId="17" numFmtId="0" xfId="0" applyAlignment="1" applyFont="1">
      <alignment readingOrder="0" shrinkToFit="0" vertical="center" wrapText="1"/>
    </xf>
    <xf borderId="0" fillId="2" fontId="18" numFmtId="0" xfId="0" applyAlignment="1" applyFont="1">
      <alignment horizontal="center" readingOrder="0" shrinkToFit="0" wrapText="1"/>
    </xf>
    <xf borderId="0" fillId="2" fontId="18" numFmtId="0" xfId="0" applyAlignment="1" applyFont="1">
      <alignment horizontal="center" readingOrder="0" shrinkToFit="0" vertical="center" wrapText="1"/>
    </xf>
    <xf borderId="0" fillId="2" fontId="18" numFmtId="164" xfId="0" applyAlignment="1" applyFont="1" applyNumberFormat="1">
      <alignment horizontal="center" readingOrder="0" shrinkToFit="0" vertical="center" wrapText="1"/>
    </xf>
    <xf borderId="0" fillId="0" fontId="1" numFmtId="0" xfId="0" applyAlignment="1" applyFont="1">
      <alignment readingOrder="0"/>
    </xf>
    <xf borderId="0" fillId="0" fontId="2" numFmtId="166" xfId="0" applyAlignment="1" applyFont="1" applyNumberFormat="1">
      <alignment readingOrder="0"/>
    </xf>
    <xf borderId="0" fillId="0" fontId="2" numFmtId="164" xfId="0" applyFont="1" applyNumberFormat="1"/>
    <xf borderId="0" fillId="0" fontId="2" numFmtId="10" xfId="0" applyFont="1" applyNumberFormat="1"/>
    <xf borderId="0" fillId="0" fontId="2" numFmtId="2" xfId="0" applyFont="1" applyNumberFormat="1"/>
    <xf borderId="0" fillId="0" fontId="2" numFmtId="1" xfId="0" applyAlignment="1" applyFont="1" applyNumberFormat="1">
      <alignment readingOrder="0"/>
    </xf>
    <xf borderId="0" fillId="0" fontId="2" numFmtId="1" xfId="0" applyFont="1" applyNumberFormat="1"/>
    <xf borderId="0" fillId="5" fontId="2" numFmtId="0" xfId="0" applyAlignment="1" applyFont="1">
      <alignment readingOrder="0"/>
    </xf>
    <xf borderId="0" fillId="5" fontId="2" numFmtId="164" xfId="0" applyFont="1" applyNumberFormat="1"/>
    <xf borderId="0" fillId="5" fontId="2" numFmtId="3" xfId="0" applyFont="1" applyNumberFormat="1"/>
    <xf borderId="0" fillId="5" fontId="2" numFmtId="10" xfId="0" applyFont="1" applyNumberFormat="1"/>
    <xf borderId="0" fillId="5" fontId="2" numFmtId="2" xfId="0" applyFont="1" applyNumberFormat="1"/>
    <xf borderId="0" fillId="2" fontId="18" numFmtId="0" xfId="0" applyAlignment="1" applyFont="1">
      <alignment horizontal="center" readingOrder="0"/>
    </xf>
    <xf borderId="0" fillId="2" fontId="18" numFmtId="164" xfId="0" applyAlignment="1" applyFont="1" applyNumberFormat="1">
      <alignment horizontal="center" readingOrder="0"/>
    </xf>
    <xf borderId="0" fillId="0" fontId="2" numFmtId="164" xfId="0" applyAlignment="1" applyFont="1" applyNumberFormat="1">
      <alignment readingOrder="0"/>
    </xf>
    <xf borderId="0" fillId="5" fontId="2" numFmtId="0" xfId="0" applyFont="1"/>
    <xf borderId="0" fillId="0" fontId="18" numFmtId="0" xfId="0" applyAlignment="1" applyFont="1">
      <alignment horizontal="center" readingOrder="0"/>
    </xf>
    <xf borderId="0" fillId="5" fontId="2" numFmtId="4" xfId="0" applyFont="1" applyNumberFormat="1"/>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8" fontId="19" numFmtId="0" xfId="0" applyAlignment="1" applyFill="1" applyFont="1">
      <alignment readingOrder="0" shrinkToFit="0" wrapText="1"/>
    </xf>
    <xf borderId="0" fillId="2" fontId="7" numFmtId="0" xfId="0" applyAlignment="1" applyFont="1">
      <alignment horizontal="center" readingOrder="0" shrinkToFit="0" wrapText="0"/>
    </xf>
    <xf borderId="0" fillId="0" fontId="20" numFmtId="0" xfId="0" applyAlignment="1" applyFont="1">
      <alignment readingOrder="0" shrinkToFit="0" wrapText="0"/>
    </xf>
    <xf borderId="0" fillId="0" fontId="2" numFmtId="0" xfId="0" applyAlignment="1" applyFont="1">
      <alignment horizontal="center" readingOrder="0" vertical="center"/>
    </xf>
    <xf borderId="0" fillId="0" fontId="2" numFmtId="0" xfId="0" applyAlignment="1" applyFont="1">
      <alignment horizontal="center" vertical="center"/>
    </xf>
    <xf borderId="0" fillId="2" fontId="21" numFmtId="0" xfId="0" applyAlignment="1" applyFont="1">
      <alignment horizontal="center" readingOrder="0"/>
    </xf>
    <xf borderId="0" fillId="0" fontId="13" numFmtId="0" xfId="0" applyAlignment="1" applyFont="1">
      <alignment shrinkToFit="0" vertical="bottom" wrapText="1"/>
    </xf>
    <xf borderId="0" fillId="0" fontId="22" numFmtId="0" xfId="0" applyAlignment="1" applyFont="1">
      <alignment shrinkToFit="0" vertical="bottom" wrapText="1"/>
    </xf>
    <xf borderId="0" fillId="0" fontId="22" numFmtId="0" xfId="0" applyAlignment="1" applyFont="1">
      <alignment vertical="bottom"/>
    </xf>
    <xf borderId="0" fillId="0" fontId="13" numFmtId="0" xfId="0" applyAlignment="1" applyFont="1">
      <alignment vertical="bottom"/>
    </xf>
    <xf borderId="0" fillId="0" fontId="2" numFmtId="0" xfId="0" applyAlignment="1" applyFont="1">
      <alignment readingOrder="0" shrinkToFit="0" vertical="center" wrapText="1"/>
    </xf>
    <xf borderId="0" fillId="2" fontId="6" numFmtId="0" xfId="0" applyAlignment="1" applyFont="1">
      <alignment readingOrder="0" shrinkToFit="0" vertical="center" wrapText="1"/>
    </xf>
    <xf borderId="0" fillId="2" fontId="6" numFmtId="167" xfId="0" applyAlignment="1" applyFont="1" applyNumberFormat="1">
      <alignment readingOrder="0" shrinkToFit="0" vertical="center" wrapText="1"/>
    </xf>
    <xf borderId="0" fillId="2" fontId="6" numFmtId="164" xfId="0" applyAlignment="1" applyFont="1" applyNumberFormat="1">
      <alignment readingOrder="0" shrinkToFit="0" vertical="center" wrapText="1"/>
    </xf>
    <xf borderId="0" fillId="0" fontId="2" numFmtId="167" xfId="0" applyAlignment="1" applyFont="1" applyNumberFormat="1">
      <alignment readingOrder="0" shrinkToFit="0" vertical="center" wrapText="1"/>
    </xf>
    <xf borderId="0" fillId="0" fontId="2" numFmtId="167" xfId="0" applyAlignment="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VC Performance (Jan - Jun 2026)</a:t>
            </a:r>
          </a:p>
        </c:rich>
      </c:tx>
      <c:overlay val="0"/>
    </c:title>
    <c:plotArea>
      <c:layout/>
      <c:barChart>
        <c:barDir val="col"/>
        <c:ser>
          <c:idx val="0"/>
          <c:order val="0"/>
          <c:tx>
            <c:v>Spend</c:v>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Trends'!$A$3:$A$8</c:f>
            </c:strRef>
          </c:cat>
          <c:val>
            <c:numRef>
              <c:f>'Historical Trends'!$B$3:$B$8</c:f>
              <c:numCache/>
            </c:numRef>
          </c:val>
        </c:ser>
        <c:ser>
          <c:idx val="1"/>
          <c:order val="1"/>
          <c:tx>
            <c:v>Revenue</c:v>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Trends'!$A$3:$A$8</c:f>
            </c:strRef>
          </c:cat>
          <c:val>
            <c:numRef>
              <c:f>'Historical Trends'!$F$3:$F$8</c:f>
              <c:numCache/>
            </c:numRef>
          </c:val>
        </c:ser>
        <c:axId val="1725722558"/>
        <c:axId val="1086152145"/>
      </c:barChart>
      <c:catAx>
        <c:axId val="1725722558"/>
        <c:scaling>
          <c:orientation val="minMax"/>
        </c:scaling>
        <c:delete val="0"/>
        <c:axPos val="b"/>
        <c:title>
          <c:tx>
            <c:rich>
              <a:bodyPr/>
              <a:lstStyle/>
              <a:p>
                <a:pPr lvl="0">
                  <a:defRPr b="1">
                    <a:solidFill>
                      <a:srgbClr val="000000"/>
                    </a:solidFill>
                    <a:latin typeface="+mn-lt"/>
                  </a:defRPr>
                </a:pPr>
                <a:r>
                  <a:rPr b="1">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86152145"/>
      </c:catAx>
      <c:valAx>
        <c:axId val="10861521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Spend and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5722558"/>
      </c:valAx>
      <c:barChart>
        <c:barDir val="col"/>
        <c:ser>
          <c:idx val="2"/>
          <c:order val="2"/>
          <c:tx>
            <c:v>ROAS</c:v>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Trends'!$A$3:$A$8</c:f>
            </c:strRef>
          </c:cat>
          <c:val>
            <c:numRef>
              <c:f>'Historical Trends'!$G$3:$G$8</c:f>
              <c:numCache/>
            </c:numRef>
          </c:val>
        </c:ser>
        <c:axId val="111078274"/>
        <c:axId val="1929455751"/>
      </c:barChart>
      <c:catAx>
        <c:axId val="111078274"/>
        <c:scaling>
          <c:orientation val="minMax"/>
        </c:scaling>
        <c:delete val="0"/>
        <c:axPos val="b"/>
        <c:numFmt formatCode="General" sourceLinked="1"/>
        <c:majorTickMark val="none"/>
        <c:minorTickMark val="none"/>
        <c:spPr>
          <a:ln>
            <a:noFill/>
          </a:ln>
        </c:spPr>
        <c:txPr>
          <a:bodyPr/>
          <a:lstStyle/>
          <a:p>
            <a:pPr lvl="0">
              <a:defRPr b="0">
                <a:solidFill>
                  <a:srgbClr val="000000"/>
                </a:solidFill>
                <a:latin typeface="+mn-lt"/>
              </a:defRPr>
            </a:pPr>
          </a:p>
        </c:txPr>
        <c:crossAx val="1929455751"/>
      </c:catAx>
      <c:valAx>
        <c:axId val="192945575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ROAS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1078274"/>
        <c:crosses val="max"/>
      </c:valAx>
    </c:plotArea>
    <c:legend>
      <c:legendPos val="b"/>
      <c:overlay val="0"/>
      <c:txPr>
        <a:bodyPr/>
        <a:lstStyle/>
        <a:p>
          <a:pPr lvl="0">
            <a:defRPr b="1">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Medsuites Performance (Jan - Jun 2026)</a:t>
            </a:r>
          </a:p>
        </c:rich>
      </c:tx>
      <c:overlay val="0"/>
    </c:title>
    <c:plotArea>
      <c:layout/>
      <c:barChart>
        <c:barDir val="col"/>
        <c:ser>
          <c:idx val="0"/>
          <c:order val="0"/>
          <c:tx>
            <c:strRef>
              <c:f>'Historical Trends'!$B$12:$B$13</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Trends'!$A$14:$A$19</c:f>
            </c:strRef>
          </c:cat>
          <c:val>
            <c:numRef>
              <c:f>'Historical Trends'!$B$14:$B$19</c:f>
              <c:numCache/>
            </c:numRef>
          </c:val>
        </c:ser>
        <c:ser>
          <c:idx val="1"/>
          <c:order val="1"/>
          <c:tx>
            <c:strRef>
              <c:f>'Historical Trends'!$F$12:$F$13</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Trends'!$A$14:$A$19</c:f>
            </c:strRef>
          </c:cat>
          <c:val>
            <c:numRef>
              <c:f>'Historical Trends'!$F$14:$F$19</c:f>
              <c:numCache/>
            </c:numRef>
          </c:val>
        </c:ser>
        <c:axId val="83753195"/>
        <c:axId val="1208142685"/>
      </c:barChart>
      <c:catAx>
        <c:axId val="83753195"/>
        <c:scaling>
          <c:orientation val="minMax"/>
        </c:scaling>
        <c:delete val="0"/>
        <c:axPos val="b"/>
        <c:title>
          <c:tx>
            <c:rich>
              <a:bodyPr/>
              <a:lstStyle/>
              <a:p>
                <a:pPr lvl="0">
                  <a:defRPr b="1">
                    <a:solidFill>
                      <a:srgbClr val="000000"/>
                    </a:solidFill>
                    <a:latin typeface="+mn-lt"/>
                  </a:defRPr>
                </a:pPr>
                <a:r>
                  <a:rPr b="1">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08142685"/>
      </c:catAx>
      <c:valAx>
        <c:axId val="12081426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Spend and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3753195"/>
      </c:valAx>
      <c:barChart>
        <c:barDir val="col"/>
        <c:ser>
          <c:idx val="2"/>
          <c:order val="2"/>
          <c:tx>
            <c:strRef>
              <c:f>'Historical Trends'!$G$12:$G$13</c:f>
            </c:strRef>
          </c:tx>
          <c:spPr>
            <a:solidFill>
              <a:schemeClr val="accent3"/>
            </a:solidFill>
            <a:ln cmpd="sng">
              <a:noFill/>
            </a:ln>
          </c:spPr>
          <c:cat>
            <c:strRef>
              <c:f>'Historical Trends'!$A$14:$A$19</c:f>
            </c:strRef>
          </c:cat>
          <c:val>
            <c:numRef>
              <c:f>'Historical Trends'!$G$14:$G$19</c:f>
              <c:numCache/>
            </c:numRef>
          </c:val>
        </c:ser>
        <c:axId val="1707754817"/>
        <c:axId val="1739231055"/>
      </c:barChart>
      <c:catAx>
        <c:axId val="1707754817"/>
        <c:scaling>
          <c:orientation val="minMax"/>
        </c:scaling>
        <c:delete val="0"/>
        <c:axPos val="b"/>
        <c:numFmt formatCode="General" sourceLinked="1"/>
        <c:majorTickMark val="none"/>
        <c:minorTickMark val="none"/>
        <c:spPr>
          <a:ln>
            <a:noFill/>
          </a:ln>
        </c:spPr>
        <c:txPr>
          <a:bodyPr/>
          <a:lstStyle/>
          <a:p>
            <a:pPr lvl="0">
              <a:defRPr b="0">
                <a:solidFill>
                  <a:srgbClr val="000000"/>
                </a:solidFill>
                <a:latin typeface="+mn-lt"/>
              </a:defRPr>
            </a:pPr>
          </a:p>
        </c:txPr>
        <c:crossAx val="1739231055"/>
      </c:catAx>
      <c:valAx>
        <c:axId val="173923105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ROAS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07754817"/>
        <c:crosses val="max"/>
      </c:valAx>
    </c:plotArea>
    <c:legend>
      <c:legendPos val="b"/>
      <c:overlay val="0"/>
      <c:txPr>
        <a:bodyPr/>
        <a:lstStyle/>
        <a:p>
          <a:pPr lvl="0">
            <a:defRPr b="1">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MOBS Performance (Jan - Jun 2026)</a:t>
            </a:r>
          </a:p>
        </c:rich>
      </c:tx>
      <c:overlay val="0"/>
    </c:title>
    <c:plotArea>
      <c:layout/>
      <c:barChart>
        <c:barDir val="col"/>
        <c:ser>
          <c:idx val="0"/>
          <c:order val="0"/>
          <c:tx>
            <c:strRef>
              <c:f>'Historical Trends'!$B$24</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Trends'!$A$25:$A$30</c:f>
            </c:strRef>
          </c:cat>
          <c:val>
            <c:numRef>
              <c:f>'Historical Trends'!$B$25:$B$30</c:f>
              <c:numCache/>
            </c:numRef>
          </c:val>
        </c:ser>
        <c:ser>
          <c:idx val="1"/>
          <c:order val="1"/>
          <c:tx>
            <c:strRef>
              <c:f>'Historical Trends'!$F$24</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Trends'!$A$25:$A$30</c:f>
            </c:strRef>
          </c:cat>
          <c:val>
            <c:numRef>
              <c:f>'Historical Trends'!$F$25:$F$30</c:f>
              <c:numCache/>
            </c:numRef>
          </c:val>
        </c:ser>
        <c:axId val="259164394"/>
        <c:axId val="1031521786"/>
      </c:barChart>
      <c:catAx>
        <c:axId val="259164394"/>
        <c:scaling>
          <c:orientation val="minMax"/>
        </c:scaling>
        <c:delete val="0"/>
        <c:axPos val="b"/>
        <c:title>
          <c:tx>
            <c:rich>
              <a:bodyPr/>
              <a:lstStyle/>
              <a:p>
                <a:pPr lvl="0">
                  <a:defRPr b="1">
                    <a:solidFill>
                      <a:srgbClr val="000000"/>
                    </a:solidFill>
                    <a:latin typeface="+mn-lt"/>
                  </a:defRPr>
                </a:pPr>
                <a:r>
                  <a:rPr b="1">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31521786"/>
      </c:catAx>
      <c:valAx>
        <c:axId val="10315217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Spend and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9164394"/>
      </c:valAx>
      <c:barChart>
        <c:barDir val="col"/>
        <c:ser>
          <c:idx val="2"/>
          <c:order val="2"/>
          <c:tx>
            <c:strRef>
              <c:f>'Historical Trends'!$G$24</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Trends'!$A$25:$A$30</c:f>
            </c:strRef>
          </c:cat>
          <c:val>
            <c:numRef>
              <c:f>'Historical Trends'!$G$25:$G$30</c:f>
              <c:numCache/>
            </c:numRef>
          </c:val>
        </c:ser>
        <c:axId val="352087555"/>
        <c:axId val="1204970535"/>
      </c:barChart>
      <c:catAx>
        <c:axId val="352087555"/>
        <c:scaling>
          <c:orientation val="minMax"/>
        </c:scaling>
        <c:delete val="0"/>
        <c:axPos val="b"/>
        <c:numFmt formatCode="General" sourceLinked="1"/>
        <c:majorTickMark val="none"/>
        <c:minorTickMark val="none"/>
        <c:spPr>
          <a:ln>
            <a:noFill/>
          </a:ln>
        </c:spPr>
        <c:txPr>
          <a:bodyPr/>
          <a:lstStyle/>
          <a:p>
            <a:pPr lvl="0">
              <a:defRPr b="0">
                <a:solidFill>
                  <a:srgbClr val="000000"/>
                </a:solidFill>
                <a:latin typeface="+mn-lt"/>
              </a:defRPr>
            </a:pPr>
          </a:p>
        </c:txPr>
        <c:crossAx val="1204970535"/>
      </c:catAx>
      <c:valAx>
        <c:axId val="120497053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ROAS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52087555"/>
        <c:crosses val="max"/>
      </c:valAx>
    </c:plotArea>
    <c:legend>
      <c:legendPos val="b"/>
      <c:overlay val="0"/>
      <c:txPr>
        <a:bodyPr/>
        <a:lstStyle/>
        <a:p>
          <a:pPr lvl="0">
            <a:defRPr b="1">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SODA Performance (Jan - Jun 2026)</a:t>
            </a:r>
          </a:p>
        </c:rich>
      </c:tx>
      <c:overlay val="0"/>
    </c:title>
    <c:plotArea>
      <c:layout/>
      <c:barChart>
        <c:barDir val="col"/>
        <c:ser>
          <c:idx val="0"/>
          <c:order val="0"/>
          <c:tx>
            <c:strRef>
              <c:f>'Historical Trends'!$B$35</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Trends'!$A$36:$A$41</c:f>
            </c:strRef>
          </c:cat>
          <c:val>
            <c:numRef>
              <c:f>'Historical Trends'!$B$36:$B$41</c:f>
              <c:numCache/>
            </c:numRef>
          </c:val>
        </c:ser>
        <c:axId val="1452453872"/>
        <c:axId val="1088073154"/>
      </c:barChart>
      <c:catAx>
        <c:axId val="1452453872"/>
        <c:scaling>
          <c:orientation val="minMax"/>
        </c:scaling>
        <c:delete val="0"/>
        <c:axPos val="b"/>
        <c:title>
          <c:tx>
            <c:rich>
              <a:bodyPr/>
              <a:lstStyle/>
              <a:p>
                <a:pPr lvl="0">
                  <a:defRPr b="1">
                    <a:solidFill>
                      <a:srgbClr val="000000"/>
                    </a:solidFill>
                    <a:latin typeface="+mn-lt"/>
                  </a:defRPr>
                </a:pPr>
                <a:r>
                  <a:rPr b="1">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88073154"/>
      </c:catAx>
      <c:valAx>
        <c:axId val="1088073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Spend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2453872"/>
      </c:valAx>
      <c:barChart>
        <c:barDir val="col"/>
        <c:ser>
          <c:idx val="1"/>
          <c:order val="1"/>
          <c:tx>
            <c:strRef>
              <c:f>'Historical Trends'!$C$35</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Trends'!$A$36:$A$41</c:f>
            </c:strRef>
          </c:cat>
          <c:val>
            <c:numRef>
              <c:f>'Historical Trends'!$C$36:$C$41</c:f>
              <c:numCache/>
            </c:numRef>
          </c:val>
        </c:ser>
        <c:ser>
          <c:idx val="2"/>
          <c:order val="2"/>
          <c:tx>
            <c:strRef>
              <c:f>'Historical Trends'!$F$35</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Trends'!$A$36:$A$41</c:f>
            </c:strRef>
          </c:cat>
          <c:val>
            <c:numRef>
              <c:f>'Historical Trends'!$F$36:$F$41</c:f>
              <c:numCache/>
            </c:numRef>
          </c:val>
        </c:ser>
        <c:axId val="1756154058"/>
        <c:axId val="1986567438"/>
      </c:barChart>
      <c:catAx>
        <c:axId val="1756154058"/>
        <c:scaling>
          <c:orientation val="minMax"/>
        </c:scaling>
        <c:delete val="0"/>
        <c:axPos val="b"/>
        <c:numFmt formatCode="General" sourceLinked="1"/>
        <c:majorTickMark val="none"/>
        <c:minorTickMark val="none"/>
        <c:spPr>
          <a:ln>
            <a:noFill/>
          </a:ln>
        </c:spPr>
        <c:txPr>
          <a:bodyPr/>
          <a:lstStyle/>
          <a:p>
            <a:pPr lvl="0">
              <a:defRPr b="0">
                <a:solidFill>
                  <a:srgbClr val="000000"/>
                </a:solidFill>
                <a:latin typeface="+mn-lt"/>
              </a:defRPr>
            </a:pPr>
          </a:p>
        </c:txPr>
        <c:crossAx val="1986567438"/>
      </c:catAx>
      <c:valAx>
        <c:axId val="198656743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Leads and Closed Deals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56154058"/>
        <c:crosses val="max"/>
      </c:valAx>
    </c:plotArea>
    <c:legend>
      <c:legendPos val="b"/>
      <c:overlay val="0"/>
      <c:txPr>
        <a:bodyPr/>
        <a:lstStyle/>
        <a:p>
          <a:pPr lvl="0">
            <a:defRPr b="1">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VC Performance (Jan - Jun 2026)</a:t>
            </a:r>
          </a:p>
        </c:rich>
      </c:tx>
      <c:overlay val="0"/>
    </c:title>
    <c:plotArea>
      <c:layout/>
      <c:barChart>
        <c:barDir val="col"/>
        <c:ser>
          <c:idx val="0"/>
          <c:order val="0"/>
          <c:tx>
            <c:v>Spend</c:v>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Trends'!$A$3:$A$8</c:f>
            </c:strRef>
          </c:cat>
          <c:val>
            <c:numRef>
              <c:f>'Historical Trends'!$B$3:$B$8</c:f>
              <c:numCache/>
            </c:numRef>
          </c:val>
        </c:ser>
        <c:ser>
          <c:idx val="1"/>
          <c:order val="1"/>
          <c:tx>
            <c:v>Revenue</c:v>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Trends'!$A$3:$A$8</c:f>
            </c:strRef>
          </c:cat>
          <c:val>
            <c:numRef>
              <c:f>'Historical Trends'!$F$3:$F$8</c:f>
              <c:numCache/>
            </c:numRef>
          </c:val>
        </c:ser>
        <c:axId val="32931951"/>
        <c:axId val="852402233"/>
      </c:barChart>
      <c:catAx>
        <c:axId val="329319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52402233"/>
      </c:catAx>
      <c:valAx>
        <c:axId val="8524022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2931951"/>
      </c:valAx>
      <c:barChart>
        <c:barDir val="col"/>
        <c:ser>
          <c:idx val="2"/>
          <c:order val="2"/>
          <c:tx>
            <c:v>ROAS</c:v>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Trends'!$A$3:$A$8</c:f>
            </c:strRef>
          </c:cat>
          <c:val>
            <c:numRef>
              <c:f>'Historical Trends'!$G$3:$G$8</c:f>
              <c:numCache/>
            </c:numRef>
          </c:val>
        </c:ser>
        <c:axId val="1947465032"/>
        <c:axId val="346147072"/>
      </c:barChart>
      <c:catAx>
        <c:axId val="1947465032"/>
        <c:scaling>
          <c:orientation val="minMax"/>
        </c:scaling>
        <c:delete val="0"/>
        <c:axPos val="b"/>
        <c:numFmt formatCode="General" sourceLinked="1"/>
        <c:majorTickMark val="none"/>
        <c:minorTickMark val="none"/>
        <c:spPr>
          <a:ln>
            <a:noFill/>
          </a:ln>
        </c:spPr>
        <c:txPr>
          <a:bodyPr/>
          <a:lstStyle/>
          <a:p>
            <a:pPr lvl="0">
              <a:defRPr b="0">
                <a:solidFill>
                  <a:srgbClr val="000000"/>
                </a:solidFill>
                <a:latin typeface="+mn-lt"/>
              </a:defRPr>
            </a:pPr>
          </a:p>
        </c:txPr>
        <c:crossAx val="346147072"/>
      </c:catAx>
      <c:valAx>
        <c:axId val="34614707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47465032"/>
        <c:crosses val="max"/>
      </c:valAx>
    </c:plotArea>
    <c:legend>
      <c:legendPos val="b"/>
      <c:overlay val="0"/>
      <c:txPr>
        <a:bodyPr/>
        <a:lstStyle/>
        <a:p>
          <a:pPr lvl="0">
            <a:defRPr b="1">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Medsuites Performance (Jan - Jun 2026)</a:t>
            </a:r>
          </a:p>
        </c:rich>
      </c:tx>
      <c:overlay val="0"/>
    </c:title>
    <c:plotArea>
      <c:layout/>
      <c:barChart>
        <c:barDir val="col"/>
        <c:ser>
          <c:idx val="0"/>
          <c:order val="0"/>
          <c:tx>
            <c:strRef>
              <c:f>'Historical Trends'!$B$12:$B$13</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Trends'!$A$14:$A$19</c:f>
            </c:strRef>
          </c:cat>
          <c:val>
            <c:numRef>
              <c:f>'Historical Trends'!$B$14:$B$19</c:f>
              <c:numCache/>
            </c:numRef>
          </c:val>
        </c:ser>
        <c:ser>
          <c:idx val="1"/>
          <c:order val="1"/>
          <c:tx>
            <c:strRef>
              <c:f>'Historical Trends'!$F$12:$F$13</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Trends'!$A$14:$A$19</c:f>
            </c:strRef>
          </c:cat>
          <c:val>
            <c:numRef>
              <c:f>'Historical Trends'!$F$14:$F$19</c:f>
              <c:numCache/>
            </c:numRef>
          </c:val>
        </c:ser>
        <c:axId val="1115974146"/>
        <c:axId val="374111984"/>
      </c:barChart>
      <c:catAx>
        <c:axId val="1115974146"/>
        <c:scaling>
          <c:orientation val="minMax"/>
        </c:scaling>
        <c:delete val="0"/>
        <c:axPos val="b"/>
        <c:title>
          <c:tx>
            <c:rich>
              <a:bodyPr/>
              <a:lstStyle/>
              <a:p>
                <a:pPr lvl="0">
                  <a:defRPr b="1">
                    <a:solidFill>
                      <a:srgbClr val="000000"/>
                    </a:solidFill>
                    <a:latin typeface="+mn-lt"/>
                  </a:defRPr>
                </a:pPr>
                <a:r>
                  <a:rPr b="1">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74111984"/>
      </c:catAx>
      <c:valAx>
        <c:axId val="3741119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Spend and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15974146"/>
      </c:valAx>
      <c:barChart>
        <c:barDir val="col"/>
        <c:ser>
          <c:idx val="2"/>
          <c:order val="2"/>
          <c:tx>
            <c:strRef>
              <c:f>'Historical Trends'!$G$12:$G$13</c:f>
            </c:strRef>
          </c:tx>
          <c:spPr>
            <a:solidFill>
              <a:schemeClr val="accent3"/>
            </a:solidFill>
            <a:ln cmpd="sng">
              <a:noFill/>
            </a:ln>
          </c:spPr>
          <c:cat>
            <c:strRef>
              <c:f>'Historical Trends'!$A$14:$A$19</c:f>
            </c:strRef>
          </c:cat>
          <c:val>
            <c:numRef>
              <c:f>'Historical Trends'!$G$14:$G$19</c:f>
              <c:numCache/>
            </c:numRef>
          </c:val>
        </c:ser>
        <c:axId val="1220991903"/>
        <c:axId val="1429313396"/>
      </c:barChart>
      <c:catAx>
        <c:axId val="1220991903"/>
        <c:scaling>
          <c:orientation val="minMax"/>
        </c:scaling>
        <c:delete val="0"/>
        <c:axPos val="b"/>
        <c:numFmt formatCode="General" sourceLinked="1"/>
        <c:majorTickMark val="none"/>
        <c:minorTickMark val="none"/>
        <c:spPr>
          <a:ln>
            <a:noFill/>
          </a:ln>
        </c:spPr>
        <c:txPr>
          <a:bodyPr/>
          <a:lstStyle/>
          <a:p>
            <a:pPr lvl="0">
              <a:defRPr b="0">
                <a:solidFill>
                  <a:srgbClr val="000000"/>
                </a:solidFill>
                <a:latin typeface="+mn-lt"/>
              </a:defRPr>
            </a:pPr>
          </a:p>
        </c:txPr>
        <c:crossAx val="1429313396"/>
      </c:catAx>
      <c:valAx>
        <c:axId val="1429313396"/>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ROAS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20991903"/>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MOBS Performance (Jan - Jun 2026)</a:t>
            </a:r>
          </a:p>
        </c:rich>
      </c:tx>
      <c:overlay val="0"/>
    </c:title>
    <c:plotArea>
      <c:layout/>
      <c:barChart>
        <c:barDir val="col"/>
        <c:ser>
          <c:idx val="0"/>
          <c:order val="0"/>
          <c:tx>
            <c:strRef>
              <c:f>'Historical Trends'!$B$24</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Trends'!$A$25:$A$30</c:f>
            </c:strRef>
          </c:cat>
          <c:val>
            <c:numRef>
              <c:f>'Historical Trends'!$B$25:$B$30</c:f>
              <c:numCache/>
            </c:numRef>
          </c:val>
        </c:ser>
        <c:ser>
          <c:idx val="1"/>
          <c:order val="1"/>
          <c:tx>
            <c:strRef>
              <c:f>'Historical Trends'!$F$24</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Trends'!$A$25:$A$30</c:f>
            </c:strRef>
          </c:cat>
          <c:val>
            <c:numRef>
              <c:f>'Historical Trends'!$F$25:$F$30</c:f>
              <c:numCache/>
            </c:numRef>
          </c:val>
        </c:ser>
        <c:axId val="774203666"/>
        <c:axId val="2086125547"/>
      </c:barChart>
      <c:catAx>
        <c:axId val="774203666"/>
        <c:scaling>
          <c:orientation val="minMax"/>
        </c:scaling>
        <c:delete val="0"/>
        <c:axPos val="b"/>
        <c:title>
          <c:tx>
            <c:rich>
              <a:bodyPr/>
              <a:lstStyle/>
              <a:p>
                <a:pPr lvl="0">
                  <a:defRPr b="1">
                    <a:solidFill>
                      <a:srgbClr val="000000"/>
                    </a:solidFill>
                    <a:latin typeface="+mn-lt"/>
                  </a:defRPr>
                </a:pPr>
                <a:r>
                  <a:rPr b="1">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86125547"/>
      </c:catAx>
      <c:valAx>
        <c:axId val="20861255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Spend and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4203666"/>
      </c:valAx>
      <c:barChart>
        <c:barDir val="col"/>
        <c:ser>
          <c:idx val="2"/>
          <c:order val="2"/>
          <c:tx>
            <c:strRef>
              <c:f>'Historical Trends'!$G$24</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Trends'!$A$25:$A$30</c:f>
            </c:strRef>
          </c:cat>
          <c:val>
            <c:numRef>
              <c:f>'Historical Trends'!$G$25:$G$30</c:f>
              <c:numCache/>
            </c:numRef>
          </c:val>
        </c:ser>
        <c:axId val="785643933"/>
        <c:axId val="1648620234"/>
      </c:barChart>
      <c:catAx>
        <c:axId val="785643933"/>
        <c:scaling>
          <c:orientation val="minMax"/>
        </c:scaling>
        <c:delete val="0"/>
        <c:axPos val="b"/>
        <c:numFmt formatCode="General" sourceLinked="1"/>
        <c:majorTickMark val="none"/>
        <c:minorTickMark val="none"/>
        <c:spPr>
          <a:ln>
            <a:noFill/>
          </a:ln>
        </c:spPr>
        <c:txPr>
          <a:bodyPr/>
          <a:lstStyle/>
          <a:p>
            <a:pPr lvl="0">
              <a:defRPr b="0">
                <a:solidFill>
                  <a:srgbClr val="000000"/>
                </a:solidFill>
                <a:latin typeface="+mn-lt"/>
              </a:defRPr>
            </a:pPr>
          </a:p>
        </c:txPr>
        <c:crossAx val="1648620234"/>
      </c:catAx>
      <c:valAx>
        <c:axId val="1648620234"/>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ROAS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85643933"/>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SODA Performance (Jan - Jun 2026)</a:t>
            </a:r>
          </a:p>
        </c:rich>
      </c:tx>
      <c:overlay val="0"/>
    </c:title>
    <c:plotArea>
      <c:layout/>
      <c:barChart>
        <c:barDir val="col"/>
        <c:ser>
          <c:idx val="0"/>
          <c:order val="0"/>
          <c:tx>
            <c:strRef>
              <c:f>'Historical Trends'!$B$35</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Trends'!$A$36:$A$41</c:f>
            </c:strRef>
          </c:cat>
          <c:val>
            <c:numRef>
              <c:f>'Historical Trends'!$B$36:$B$41</c:f>
              <c:numCache/>
            </c:numRef>
          </c:val>
        </c:ser>
        <c:axId val="1626678547"/>
        <c:axId val="1501263187"/>
      </c:barChart>
      <c:catAx>
        <c:axId val="1626678547"/>
        <c:scaling>
          <c:orientation val="minMax"/>
        </c:scaling>
        <c:delete val="0"/>
        <c:axPos val="b"/>
        <c:title>
          <c:tx>
            <c:rich>
              <a:bodyPr/>
              <a:lstStyle/>
              <a:p>
                <a:pPr lvl="0">
                  <a:defRPr b="1">
                    <a:solidFill>
                      <a:srgbClr val="000000"/>
                    </a:solidFill>
                    <a:latin typeface="+mn-lt"/>
                  </a:defRPr>
                </a:pPr>
                <a:r>
                  <a:rPr b="1">
                    <a:solidFill>
                      <a:srgbClr val="000000"/>
                    </a:solidFill>
                    <a:latin typeface="+mn-lt"/>
                  </a:rPr>
                  <a:t>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01263187"/>
      </c:catAx>
      <c:valAx>
        <c:axId val="15012631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Spend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6678547"/>
      </c:valAx>
      <c:barChart>
        <c:barDir val="col"/>
        <c:ser>
          <c:idx val="1"/>
          <c:order val="1"/>
          <c:tx>
            <c:strRef>
              <c:f>'Historical Trends'!$C$35</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Trends'!$A$36:$A$41</c:f>
            </c:strRef>
          </c:cat>
          <c:val>
            <c:numRef>
              <c:f>'Historical Trends'!$C$36:$C$41</c:f>
              <c:numCache/>
            </c:numRef>
          </c:val>
        </c:ser>
        <c:ser>
          <c:idx val="2"/>
          <c:order val="2"/>
          <c:tx>
            <c:strRef>
              <c:f>'Historical Trends'!$F$35</c:f>
            </c:strRef>
          </c:tx>
          <c:spPr>
            <a:solidFill>
              <a:schemeClr val="accent3"/>
            </a:solidFill>
            <a:ln cmpd="sng">
              <a:noFill/>
            </a:ln>
          </c:spPr>
          <c:dLbls>
            <c:numFmt formatCode="General" sourceLinked="1"/>
            <c:txPr>
              <a:bodyPr/>
              <a:lstStyle/>
              <a:p>
                <a:pPr lvl="0">
                  <a:defRPr/>
                </a:pPr>
              </a:p>
            </c:txPr>
            <c:showLegendKey val="0"/>
            <c:showVal val="1"/>
            <c:showCatName val="0"/>
            <c:showSerName val="0"/>
            <c:showPercent val="0"/>
            <c:showBubbleSize val="0"/>
          </c:dLbls>
          <c:cat>
            <c:strRef>
              <c:f>'Historical Trends'!$A$36:$A$41</c:f>
            </c:strRef>
          </c:cat>
          <c:val>
            <c:numRef>
              <c:f>'Historical Trends'!$F$36:$F$41</c:f>
              <c:numCache/>
            </c:numRef>
          </c:val>
        </c:ser>
        <c:axId val="523778466"/>
        <c:axId val="786360187"/>
      </c:barChart>
      <c:catAx>
        <c:axId val="523778466"/>
        <c:scaling>
          <c:orientation val="minMax"/>
        </c:scaling>
        <c:delete val="0"/>
        <c:axPos val="b"/>
        <c:numFmt formatCode="General" sourceLinked="1"/>
        <c:majorTickMark val="none"/>
        <c:minorTickMark val="none"/>
        <c:spPr>
          <a:ln>
            <a:noFill/>
          </a:ln>
        </c:spPr>
        <c:txPr>
          <a:bodyPr/>
          <a:lstStyle/>
          <a:p>
            <a:pPr lvl="0">
              <a:defRPr b="0">
                <a:solidFill>
                  <a:srgbClr val="000000"/>
                </a:solidFill>
                <a:latin typeface="+mn-lt"/>
              </a:defRPr>
            </a:pPr>
          </a:p>
        </c:txPr>
        <c:crossAx val="786360187"/>
      </c:catAx>
      <c:valAx>
        <c:axId val="78636018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Leads and Closed Deals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23778466"/>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39</xdr:row>
      <xdr:rowOff>114300</xdr:rowOff>
    </xdr:from>
    <xdr:ext cx="8077200" cy="4991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1219200</xdr:colOff>
      <xdr:row>39</xdr:row>
      <xdr:rowOff>114300</xdr:rowOff>
    </xdr:from>
    <xdr:ext cx="8077200" cy="49911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66</xdr:row>
      <xdr:rowOff>9525</xdr:rowOff>
    </xdr:from>
    <xdr:ext cx="8077200" cy="49911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1219200</xdr:colOff>
      <xdr:row>66</xdr:row>
      <xdr:rowOff>9525</xdr:rowOff>
    </xdr:from>
    <xdr:ext cx="8124825" cy="49911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323850</xdr:colOff>
      <xdr:row>0</xdr:row>
      <xdr:rowOff>190500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1485900</xdr:colOff>
      <xdr:row>5</xdr:row>
      <xdr:rowOff>104775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628650</xdr:colOff>
      <xdr:row>15</xdr:row>
      <xdr:rowOff>85725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1895475</xdr:colOff>
      <xdr:row>29</xdr:row>
      <xdr:rowOff>57150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presentation/d/1da42JyEV3tS3DzL8D1cZFofS297GTkqRZ1Tc8zsuI6U/edit?slide=id.g3f346b4ef47_0_71"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atastudio.google.com/reporting/159c00cd-8397-43f2-8e8d-f32beaa778e0" TargetMode="External"/><Relationship Id="rId2" Type="http://schemas.openxmlformats.org/officeDocument/2006/relationships/hyperlink" Target="https://docs.google.com/presentation/d/1EeijQ2F1JhIOMNSzEWdGqNQ5tGxR-UbEMTtcHmquSh4/edit?usp=sharing"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drawing" Target="../drawings/drawing7.xml"/><Relationship Id="rId20" Type="http://schemas.openxmlformats.org/officeDocument/2006/relationships/hyperlink" Target="https://ads.google.com/aw_cm/ExternalPreview?ocid=6448350167&amp;euid=6504451576&amp;pt=CohACNeH6IIYEPibyJ0YGgVlbl9VU2LyPwr7LwgBEvYvEksqSWh0dHBzOi8vbWVkc3VpdGVzLmRvY3RvcmFueXdoZXJlLmNvbS9leGVjdXRpdmUtaGVhbHRoLXNjcmVlbmluZy1wYWNrYWdlcy-iBicKJQohCh8aHQobRXhlY3V0aXZlIEhlYWx0aCBTY3JlZW5pbmdzWAGiBiUKIwofCh0aGwoZU3BlY2lhbGlzZWQgSGVhbHRoIENoZWNrc1gBogYjCiEKHQobGhkKF1NjaGVkdWxlIGFuIEFwcG9pbnRtZW50WAGiBiUKIwofCh0aGwoZSW50ZWdyYXRlZCBNZWRpY2FsIENlbnRlclgBogYmCiQKIAoeGhwKGkRlZGljYXRlZCBIZWFsdGggQ29uY2llcmdlWAGiBioKKAokCiIaIAoeQ29tcHJlaGVuc2l2ZSBIZWFsdGggU2NyZWVuaW5nWAGiBigKJgoiCiAaHgocRXhlY3V0aXZlIFNjcmVlbmluZyBQYWNrYWdlc1gBogYmCiQKIAoeGhwKGlRha2UgQ2hhcmdlIG9mIFlvdXIgSGVhbHRoWAGiBmIKYApcCloaWApWRXhlY3V0aXZlIEhlYWx0aCBTY3JlZW5pbmcgJiBJbWFnaW5nIENlbnRyZSBpbiBPcmNoYXJkLiBCb29rIHlvdXIgSGVhbHRoIENoZWNrIEZyICQ1MTlYAqIGUwpRCk0KSxpJCkdDb21wcmVoZW5zaXZlIEhlYWx0aCBDaGVja3MgJiBTY3JlZW5pbmdzIEFsbCBpbiBPbmUgQ29udmVuaWVudCBMb2NhdGlvblgCogZGCkQKQAo-GjwKOk9uZS1TdG9wIFNob3AgZm9yIENvbXByZWhlbnNpdmUgSGVhbHRoIENoZWNrcyAmIFNjcmVlbmluZ3NYAqIGWApWClIKUBpOCkxQcmlvcml0aXNlIHlvdXIgSGVhbHRoICYgR2V0IFBlYWNlIG9mIE1pbmQgd2l0aCBBIENvbXByZWhlbnNpdmUgSGVhbHRoIENoZWNrWAKiBlwKWgpWClQaUgpQRGV0ZWN0IEVhcmx5IFNpZ25zIG9mIFBvdGVudGlhbCBIZWFsdGggSXNzdWVzIHdpdGggYW4gRXhlY3V0aXZlIEhlYWx0aCBTY3JlZW5pbmdYAqIGQwpBCj0KOxo5CjdHZXQgcGVhY2Ugb2YgbWluZCB3aXRoIGEgY29tcHJlaGVuc2l2ZSBoZWFsdGggc2NyZWVuaW5nWAOiBmEKXwpbClkaVwpVU3VpdGVkIGZvciBoZWFsdGgtY29uc2Npb3VzIGxvY2FscywgZXhwYXRzLCBhbmQgbWVkaWNhbCB0b3VyaXN0cyB3aXRoIGJ1c3kgbGlmZXN0eWxlc1gDogZbClkKVQpTGlEKT0Vzc2VudGlhbCBoZWFsdGggY2hlY2tzLCBjdXN0b21pc2FibGUgd2l0aCBhZGQtb24gdGVzdHMvc3BlY2lhbGlzZWQgc2NyZWVuaW5ncy5YA6IGYApeCloKWBpWClRQcmlvcml0aXNlIHByZXZlbnRpb24gYW5kIGVhcmx5IGRldGVjdGlvbiB3aXRoIGFuIGV4ZWN1dGl2ZSBoZWFsdGggc2NyZWVuaW5nIGZyICQ1MTlYA6IGZgpkCmAKXhpcClpQZXJzb25hbGlzZWQgaGVhbHRoIHJlcG9ydCwgMS0xIGRvY3RvciByZXZpZXcgZm9yIGxpZmVzdHlsZSByZWNvbW1lbmRhdGlvbnMuIFNjaGVkdWxlIGFwcHRYA6IGwwEKwAEKIQofCPnw772CBBIWSGVhZGxpbmUyLTEyMDB4NjI4LmpwZyKYAQiAgIDgs8SAjLMBINuXBjqEAQj0BBCwCRo9aHR0cHM6Ly90cGMuZ29vZ2xlc3luZGljYXRpb24uY29tL3NpbWdhZC8xNjg2MTA1NjMwNDk3NTQ0MjIyNiI9aHR0cHM6Ly90cGMuZ29vZ2xlc3luZGljYXRpb24uY29tL3BpbWdhZC8xNjg2MTA1NjMwNDk3NTQ0MjIyNlABWASiBsMBCsABCiEKHwiJt72mggQSFkhlYWRsaW5lMy0xMjAweDYyOC5qcGcimAEIgICA4LPEgNSLASCijwU6hAEI9AQQsAkaPWh0dHBzOi8vdHBjLmdvb2dsZXN5bmRpY2F0aW9uLmNvbS9zaW1nYWQvMTAwMTM5MDI1OTYzOTcyNjQxODIiPWh0dHBzOi8vdHBjLmdvb2dsZXN5bmRpY2F0aW9uLmNvbS9waW1nYWQvMTAwMTM5MDI1OTYzOTcyNjQxODJQAVgEogbCAQq_AQohCh8InquwqYIEEhZIZWFkbGluZTEtMTIwMHg2MjguanBnIpcBCICAgOCzhM_vBiCx2gY6hAEI9AQQsAkaPWh0dHBzOi8vdHBjLmdvb2dsZXN5bmRpY2F0aW9uLmNvbS9zaW1nYWQvMTQ5NTIxMzIyNjI4OTc3NzQ4OTUiPWh0dHBzOi8vdHBjLmdvb2dsZXN5bmRpY2F0aW9uLmNvbS9waW1nYWQvMTQ5NTIxMzIyNjI4OTc3NzQ4OTVQAVgEogbDAQrAAQohCh8IxNa_poIEEhZIZWFkbGluZTUtMTIwMHg2MjguanBnIpgBCICAgOCzxMC1lQEgqcEFOoQBCPQEELAJGj1odHRwczovL3RwYy5nb29nbGVzeW5kaWNhdGlvbi5jb20vc2ltZ2FkLzEzODYwMzE3MDA5MDQ2Njg0NDIxIj1odHRwczovL3RwYy5nb29nbGVzeW5kaWNhdGlvbi5jb20vcGltZ2FkLzEzODYwMzE3MDA5MDQ2Njg0NDIxUAFYBKIGwgEKvwEKIgogCO2Si6qCBBIXSGVhZGxpbmUyLTEyMDB4MTIwMC5qcGcilgEIgICA4LPEwKSrASDIvAo6ggEIsAkQsAkaPGh0dHBzOi8vdHBjLmdvb2dsZXN5bmRpY2F0aW9uLmNvbS9zaW1nYWQvOTI2NDQyMTQwNjA4NTg0OTg2MiI8aHR0cHM6Ly90cGMuZ29vZ2xlc3luZGljYXRpb24uY29tL3BpbWdhZC85MjY0NDIxNDA2MDg1ODQ5ODYyUAFYBaIGwgEKvwEKIgogCO68vaaCBBIXSGVhZGxpbmUzLTEyMDB4MTIwMC5qcGcilgEIgICA4LPEoKiYASDI7wg6ggEIsAkQsAkaPGh0dHBzOi8vdHBjLmdvb2dsZXN5bmRpY2F0aW9uLmNvbS9zaW1nYWQvNDkyOTE0MjU5OTY4MjEzODc1MSI8aHR0cHM6Ly90cGMuZ29vZ2xlc3luZGljYXRpb24uY29tL3BpbWdhZC80OTI5MTQyNTk5NjgyMTM4NzUxUAFYBaIGwgEKvwEKIgogCIjNj6qCBBIXSGVhZGxpbmU1LTEyMDB4MTIwMC5qcGcilgEIgICA4LPEwNbCASDTxgg6ggEIsAkQsAkaPGh0dHBzOi8vdHBjLmdvb2dsZXN5bmRpY2F0aW9uLmNvbS9zaW1nYWQvOTQ0ODUxMjExNTQ3MDUzNTc3MiI8aHR0cHM6Ly90cGMuZ29vZ2xlc3luZGljYXRpb24uY29tL3BpbWdhZC85NDQ4NTEyMTE1NDcwNTM1NzcyUAFYBaIGxgEKwwEKJQojCLfJ2rqlBBIaSGVhZGxpbmU1LTkwMHgxNjAwXzQ6NS5qcGcilwEIgICA4JvOu95rIKeYBTqEAQjgCBCEBxo9aHR0cHM6Ly90cGMuZ29vZ2xlc3luZGljYXRpb24uY29tL3NpbWdhZC8xMDAxODkwODkxNjg1MTc1NjcxOSI9aHR0cHM6Ly90cGMuZ29vZ2xlc3luZGljYXRpb24uY29tL3BpbWdhZC8xMDAxODkwODkxNjg1MTc1NjcxOVABWCGiBsYBCsMBCiUKIwi9r9bSpQQSGkhlYWRsaW5lNC05MDB4MTYwMF80OjUuanBnIpcBCICAgOCbzruKOSD68gU6hAEI4AgQhAcaPWh0dHBzOi8vdHBjLmdvb2dsZXN5bmRpY2F0aW9uLmNvbS9zaW1nYWQvMTY5MzgyNjMxNjIyODk3MTQyNTgiPWh0dHBzOi8vdHBjLmdvb2dsZXN5bmRpY2F0aW9uLmNvbS9waW1nYWQvMTY5MzgyNjMxNjIyODk3MTQyNThQAVghogbEAQrBAQolCiMIi5_fuqUEEhpIZWFkbGluZTMtOTAweDE2MDBfNDo1LmpwZyKVAQiAgIDgm877rzwgsOUGOoIBCOAIEIQHGjxodHRwczovL3RwYy5nb29nbGVzeW5kaWNhdGlvbi5jb20vc2ltZ2FkLzYzMTc5NzgwMDI1NDEwNDIzMDgiPGh0dHBzOi8vdHBjLmdvb2dsZXN5bmRpY2F0aW9uLmNvbS9waW1nYWQvNjMxNzk3ODAwMjU0MTA0MjMwOFABWCGiBsUBCsIBCiUKIwjLsNvSpQQSGkhlYWRsaW5lMi05MDB4MTYwMF80OjUuanBnIpYBCICAgOCbzseAjAEgkYgHOoIBCOAIEIQHGjxodHRwczovL3RwYy5nb29nbGVzeW5kaWNhdGlvbi5jb20vc2ltZ2FkLzc1NDk2MDQ2NzM3MTUyNzEzNTAiPGh0dHBzOi8vdHBjLmdvb2dsZXN5bmRpY2F0aW9uLmNvbS9waW1nYWQvNzU0OTYwNDY3MzcxNTI3MTM1MFABWCGiBsYBCsMBCiUKIwjKoOO6pQQSGkhlYWRsaW5lMS05MDB4MTYwMF80OjUuanBnIpcBCICAgOCbzvu_HyD21Qk6hAEI4AgQhAcaPWh0dHBzOi8vdHBjLmdvb2dsZXN5bmRpY2F0aW9uLmNvbS9zaW1nYWQvMTI3ODkxMzkyNTA4NTA1MTE5NTYiPWh0dHBzOi8vdHBjLmdvb2dsZXN5bmRpY2F0aW9uLmNvbS9waW1nYWQvMTI3ODkxMzkyNTA4NTA1MTE5NTZQAVghogbLAQrIAQoYChYI2JTrp4IEKg0KC3JJdGFmbGU3ei1nOqkBChJHb29nbGUgQWRzIDEwcy5tcDQQ6k4aMGh0dHBzOi8vaS55dGltZy5jb20vdmkvckl0YWZsZTd6LWcvaHFkZWZhdWx0LmpwZyEcx3Ecx3H8PzooVmlkZW8gYWQgdXBsb2FkIGNoYW5uZWwgZm9yIDkyOC0xODEtMjMwMUIraHR0cHM6Ly93d3cueW91dHViZS5jb20vd2F0Y2g_dj1ySXRhZmxlN3otZ1gMogbMAQrJAQoYChYIqrXLq4IEKg0KC29JeFVZdVpqYzhJOqoBChJHb29nbGUgQWRzIDIwcy5tcDQQ6pwBGjBodHRwczovL2kueXRpbWcuY29tL3ZpL29JeFVZdVpqYzhJL2hxZGVmYXVsdC5qcGchHMdxHMdx_D86KFZpZGVvIGFkIHVwbG9hZCBjaGFubmVsIGZvciA5MjgtMTgxLTIzMDFCK2h0dHBzOi8vd3d3LnlvdXR1YmUuY29tL3dhdGNoP3Y9b0l4VVl1WmpjOElYDKIGwQEKvgEKGAoWCJWr1KCuBCoNCgtBWXJqREdWVV82VTqfAQogQ2F0Y2ggU2lsZW50IEhlYWx0aCBJc3N1ZXMgRWFybHkQgJ0BGjBodHRwczovL2kueXRpbWcuY29tL3ZpL0FZcmpER1ZVXzZVL2hxZGVmYXVsdC5qcGchAAAAAAAA8D86D0RvY3RvciBBbnl3aGVyZUIraHR0cHM6Ly93d3cueW91dHViZS5jb20vd2F0Y2g_dj1BWXJqREdWVV82VVgMogbBAQq-AQoYChYImKvUoK4EKg0KC2RQZ0xNeFNxaDA4Op8BCiBDYXRjaCBTaWxlbnQgSGVhbHRoIElzc3VlcyBFYXJseRCAnQEaMGh0dHBzOi8vaS55dGltZy5jb20vdmkvZFBnTE14U3FoMDgvaHFkZWZhdWx0LmpwZyEAAAAAAADiPzoPRG9jdG9yIEFueXdoZXJlQitodHRwczovL3d3dy55b3V0dWJlLmNvbS93YXRjaD92PWRQZ0xNeFNxaDA4WAyiBscBCsQBChgKFgibq9SgrgQqDQoLV2ZEMlhpVmNKUVk6pQEKJlN0YXJ0IFlvdXIgUGF0aCB0byBCZXR0ZXIgSGVhbHRoIFRvZGF5EICdARowaHR0cHM6Ly9pLnl0aW1nLmNvbS92aS9XZkQyWGlWY0pRWS9ocWRlZmF1bHQuanBnIQAAAAAAAPA_Og9Eb2N0b3IgQW55d2hlcmVCK2h0dHBzOi8vd3d3LnlvdXR1YmUuY29tL3dhdGNoP3Y9V2ZEMlhpVmNKUVlYDKIGDQoLCgcKBYICAggIWCiiBsMBCsABCiEKHwj58O-9ggQSFkhlYWRsaW5lMi0xMjAweDYyOC5qcGcimAEIgICA4LPEgIyzASDblwY6hAEI9AQQsAkaPWh0dHBzOi8vdHBjLmdvb2dsZXN5bmRpY2F0aW9uLmNvbS9zaW1nYWQvMTY4NjEwNTYzMDQ5NzU0NDIyMjYiPWh0dHBzOi8vdHBjLmdvb2dsZXN5bmRpY2F0aW9uLmNvbS9waW1nYWQvMTY4NjEwNTYzMDQ5NzU0NDIyMjZQAVg7ogbDAQrAAQohCh8Iibe9poIEEhZIZWFkbGluZTMtMTIwMHg2MjguanBnIpgBCICAgOCzxIDUiwEgoo8FOoQBCPQEELAJGj1odHRwczovL3RwYy5nb29nbGVzeW5kaWNhdGlvbi5jb20vc2ltZ2FkLzEwMDEzOTAyNTk2Mzk3MjY0MTgyIj1odHRwczovL3RwYy5nb29nbGVzeW5kaWNhdGlvbi5jb20vcGltZ2FkLzEwMDEzOTAyNTk2Mzk3MjY0MTgyUAFYO6IGwgEKvwEKIQofCJ6rsKmCBBIWSGVhZGxpbmUxLTEyMDB4NjI4LmpwZyKXAQiAgIDgs4TP7wYgsdoGOoQBCPQEELAJGj1odHRwczovL3RwYy5nb29nbGVzeW5kaWNhdGlvbi5jb20vc2ltZ2FkLzE0OTUyMTMyMjYyODk3Nzc0ODk1Ij1odHRwczovL3RwYy5nb29nbGVzeW5kaWNhdGlvbi5jb20vcGltZ2FkLzE0OTUyMTMyMjYyODk3Nzc0ODk1UAFYO6IGwwEKwAEKIQofCMTWv6aCBBIWSGVhZGxpbmU1LTEyMDB4NjI4LmpwZyKYAQiAgIDgs8TAtZUBIKnBBTqEAQj0BBCwCRo9aHR0cHM6Ly90cGMuZ29vZ2xlc3luZGljYXRpb24uY29tL3NpbWdhZC8xMzg2MDMxNzAwOTA0NjY4NDQyMSI9aHR0cHM6Ly90cGMuZ29vZ2xlc3luZGljYXRpb24uY29tL3BpbWdhZC8xMzg2MDMxNzAwOTA0NjY4NDQyMVABWDuiBsIBCr8BCiIKIAjtkouqggQSF0hlYWRsaW5lMi0xMjAweDEyMDAuanBnIpYBCICAgOCzxMCkqwEgyLwKOoIBCLAJELAJGjxodHRwczovL3RwYy5nb29nbGVzeW5kaWNhdGlvbi5jb20vc2ltZ2FkLzkyNjQ0MjE0MDYwODU4NDk4NjIiPGh0dHBzOi8vdHBjLmdvb2dsZXN5bmRpY2F0aW9uLmNvbS9waW1nYWQvOTI2NDQyMTQwNjA4NTg0OTg2MlABWDuiBsIBCr8BCiIKIAjuvL2mggQSF0hlYWRsaW5lMy0xMjAweDEyMDAuanBnIpYBCICAgOCzxKComAEgyO8IOoIBCLAJELAJGjxodHRwczovL3RwYy5nb29nbGVzeW5kaWNhdGlvbi5jb20vc2ltZ2FkLzQ5MjkxNDI1OTk2ODIxMzg3NTEiPGh0dHBzOi8vdHBjLmdvb2dsZXN5bmRpY2F0aW9uLmNvbS9waW1nYWQvNDkyOTE0MjU5OTY4MjEzODc1MVABWDuiBsIBCr8BCiIKIAiIzY-qggQSF0hlYWRsaW5lNS0xMjAweDEyMDAuanBnIpYBCICAgOCzxMDWwgEg08YIOoIBCLAJELAJGjxodHRwczovL3RwYy5nb29nbGVzeW5kaWNhdGlvbi5jb20vc2ltZ2FkLzk0NDg1MTIxMTU0NzA1MzU3NzIiPGh0dHBzOi8vdHBjLmdvb2dsZXN5bmRpY2F0aW9uLmNvbS9waW1nYWQvOTQ0ODUxMjExNTQ3MDUzNTc3MlABWDsKBggBEgIyAArmDwgBEuEPChQI983-40_yCAgKABIAGgAiAPgIAaIGeQp3CnMKcQjnr43ArwTKAmcKAlNHEgg2MzIwMzUzMxgBILMBKgoIEBAAGB4gBygBKgoIEBAAGB4gBygCKgoIEBAAGB4gBygDKgoIEBAAGB4gBygEKgoIEBAAGB4gBygFKgoIDBAAGB4gCCgGKgoIDBAAGB4gCCgHWCqiBioKKAokCiII0KOW68oDygEYChZOb24tRmFzdGluZyBTY3JlZW5pbmdzWCCiBikKJwojCiEI1qOW68oDygEXChVDb21wbGltZW50YXJ5IFBhcmtpbmdYIKIGJwolCiEKHwjm_a_ArwTKARUKE0NvbnZlbmllbnQgTG9jYXRpb25YIKIGJgokCiAKHgjX8YGp5wbKARQKEkJ5IERvY3RvciBBbnl3aGVyZVggogYtCisKJwolCJCTgqnnBsoBGwoZSW50ZWdyYXRlZCBNZWRpY2FsIENlbnRlclggogaLAwqIAwqDAwqAAwjJ1P28xgiiA_UCCAkaAmVuIpABChhXb21lbidzIEJyZWFzdCBTY3JlZW5pbmcSFk1hbW1vZ3JhbSAmIFVsdHJhc291bmQaCwoDU0dEEIC9jI4BKk9odHRwczovL21lZHN1aXRlcy5kb2N0b3Jhbnl3aGVyZS5jb20vZWhzL2NvbXByZWhlbnNpdmUtaGVhbHRoLWJyZWFzdC1zY3JlZW5pbmcvIm4KE1dpbGxvdyAod29tZW4gPCA0MCkSGFdvbWVuJ3MgSGVhbHRoIFNjcmVlbmluZxoLCgNTR0QQgJy3pwMqMGh0dHBzOi8vbWVkc3VpdGVzLmRvY3RvcmFueXdoZXJlLmNvbS9laHMvd2lsbG93LyJqChFJcmlzICh3b21lbiA-IDQwKRIYV29tZW4ncyBIZWFsdGggU2NyZWVuaW5nGgsKA1NHRBCApJXmBCouaHR0cHM6Ly9tZWRzdWl0ZXMuZG9jdG9yYW55d2hlcmUuY29tL2Vocy9pcmlzL1gyoga_AQq8AQq3AQq0AQiHweXnygNqSWh0dHBzOi8vbWVkc3VpdGVzLmRvY3RvcmFueXdoZXJlLmNvbS9leGVjdXRpdmUtaGVhbHRoLXNjcmVlbmluZy1wYWNrYWdlcy-qAV8KGUhlYWx0aCBTY3JlZW5pbmcgUGFja2FnZXMSIENvbXByZWhlbnNpdmUgcGFja2FnZXMsIGluY2x1ZGVzGiBwcml2YXRlIHBvZCwgbGlnaHQgYml0ZXMsIGRyaW5rc1gfogacAQqZAQqUAQqRAQiNweXnygNqOmh0dHBzOi8vd3d3LmNvZ25pdG9mb3Jtcy5jb20vRG9jdG9yQW55d2hlcmUvREFNZWRTdWl0ZXNFSFOqAUsKEEJvb2sgQXBwb2ludG1lbnQSFkdldCBzdGFydGVkICYgc2NoZWR1bGUaH3lvdXIgZXhlY3V0aXZlIGhlYWx0aCBzY3JlZW5pbmdYH6IGtwEKtAEKrwEKrAEI3dvj8MYIak9odHRwczovL21lZHN1aXRlcy5kb2N0b3Jhbnl3aGVyZS5jb20vZWhzL2NvbXByZWhlbnNpdmUtaGVhbHRoLWJyZWFzdC1zY3JlZW5pbmcvqgFRChhXb21lbidzIEhlYWx0aCBTY3JlZW5pbmcSF0luY2x1ZGVzIGJvdGggTWFtbW9ncmFtGhwmIFVsdHJhc291bmQgYnJlYXN0IGZvciAkMjk4WB-iBh8KHQoZChcIrt6iquAEGg4KDERBIE1lZFN1aXRlc1gpogbdAQraAQonCiUIk4iTvYIEEhxNZWRTdWl0ZXMtTG9nby0xMjAweDEyMDAucG5nIqwBCICAgOCzhM-S5gEggv8CKAM6iwEIsAkQsAkaPGh0dHBzOi8vdHBjLmdvb2dsZXN5bmRpY2F0aW9uLmNvbS9zaW1nYWQvMTY4NDkyNzU3MzA0ODcxMzQ2NiI8aHR0cHM6Ly90cGMuZ29vZ2xlc3luZGljYXRpb24uY29tL3BpbWdhZC8xNjg0OTI3NTczMDQ4NzEzNDY2KQAAAAAAAPA_QI611bj1zufX2QFQAVgGogbeAQrbAQomCiQIqqKTvYIEEhtNZWRTdWl0ZXMtTG9nby0xMjAweDMwMC5wbmcirgEIgICA4LOE976mASDDzwEoAzqNAQisAhCwCRo9aHR0cHM6Ly90cGMuZ29vZ2xlc3luZGljYXRpb24uY29tL3NpbWdhZC8xODA2ODA4OTQwMDI1MDYwMTI0OSI9aHR0cHM6Ly90cGMuZ29vZ2xlc3luZGljYXRpb24uY29tL3BpbWdhZC8xODA2ODA4OTQwMDI1MDYwMTI0OSkAAAAAAAAQQECx1uzlnemcjdUBUAFYB6IG3QEK2gEKJwolCJOIk72CBBIcTWVkU3VpdGVzLUxvZ28tMTIwMHgxMjAwLnBuZyKsAQiAgIDgs4TPkuYBIIL_AigDOosBCLAJELAJGjxodHRwczovL3RwYy5nb29nbGVzeW5kaWNhdGlvbi5jb20vc2ltZ2FkLzE2ODQ5Mjc1NzMwNDg3MTM0NjYiPGh0dHBzOi8vdHBjLmdvb2dsZXN5bmRpY2F0aW9uLmNvbS9waW1nYWQvMTY4NDkyNzU3MzA0ODcxMzQ2NikAAAAAAADwP0COtdW49c7n19kBUAFYOKgBDRJOQUJDMnp1WlFOSHl6VEUzampKN2tURFdIYXNnWHc2UHRGU1ItLVlWcDA1dmtEazY2QXVfRjBTcVNDQkZ5S1Y0elhTYTVHYUtvUTQ4X21RIhYSDEgBUAF4AJABAKABASgBOgEBQgECKMm6wevxMzCAkPvTCToIEAEoHjAEOABCDkFXTl9DTV9FRElUSU5H" TargetMode="External"/><Relationship Id="rId22" Type="http://schemas.openxmlformats.org/officeDocument/2006/relationships/hyperlink" Target="https://www.facebook.com/61556882610880/posts/122302123712229420/" TargetMode="External"/><Relationship Id="rId21" Type="http://schemas.openxmlformats.org/officeDocument/2006/relationships/hyperlink" Target="https://ads.google.com/aw_cm/ExternalPreview?ocid=6448350167&amp;euid=6504451576&amp;pt=Cus5CNeH6IIYEPibyJ0YGgVlbl9VU2LVOQreKQgBEtkpElkqV2h0dHBzOi8vbWVkc3VpdGVzLmRvY3RvcmFueXdoZXJlLmNvbS9leGVjdXRpdmUtaGVhbHRoLXNjcmVlbmluZy1wYWNrYWdlcy8jd29tZW5zLWhlYWx0aKIGJAoiCh4KHBoaChhIZWFsdGggY2xhcml0eSBmb3Igd29tZW5YAaIGIAoeChoKGBoWChRVbmRlcnN0YW5kIHlvdXIgYm9keVgBogYmCiQKIAoeGhwKGllvdXIgd2VsbC1iZWluZyBzdGFydHMgbm93WAGiBh4KHAoYChYaFAoSR2V0IGhlYWx0aCBjbGFyaXR5WAGiBiQKIgoeChwaGgoYRmVlbCBjb25maWRlbnRseSBoZWFsdGh5WAGiBhwKGgoWChQaEgoQS25vdyB5b3VyIGhlYWx0aFgBogYmCiQKIAoeGhwKGkhlYWx0aCBzY3JlZW5pbmcgZm9yIHdvbWVuWAGiBiYKJAogCh4aHAoaU3RvcCBndWVzc2luZyBhYm91dCBoZWFsdGhYAaIGJwolCiEKHxodChtTdGF5IEFoZWFkLCBPd24geW91ciBoZWFsdGhYAaIGHwodChkKFxoVChNDb25maWRlbnRseSBoZWFsdGh5WAGiBiYKJAogCh4aHAoaSGVhbHRoIGNsYXJpdHkgc3RhcnRzIGhlcmVYAaIGKQonCiMKIRofCh1Gcm9tIGhvcm1vbmVzIHRvIGhlYXJ0IGhlYWx0aFgBogYlCiMKHwodGhsKGVN0YXkgYWhlYWQgb2YgeW91ciBoZWFsdGhYAaIGHwodChkKFxoVChNZb3VyIGhlYWx0aCBtYXR0ZXJzWAGiBiEKHwobChkaFwoVSW52ZXN0IGluIHlvdXIgaGVhbHRoWAGiBl8KXQpZClcaVQpTR28gZnJvbSDigJxwcmV0dHkgaGVhbHRoeeKAnSBpbnRvIGNvbmZpZGVudGx5IGhlYWx0aHkgd2l0aCBjb21wcmVoZW5zaXZlIHNjcmVlbmluZy5YAqIGUwpRCk0KSxpJCkdVbmRlcnN0YW5kIHlvdXIgaGVhbHRoIHdpdGggY29tcHJlaGVuc2l2ZSBzY3JlZW5pbmcgZGVzaWduZWQgZm9yIHdvbWVuLlgCogZTClEKTQpLGkkKR0hlYWx0aCBzY3JlZW5pbmcgZGVzaWduZWQgZm9yIHdvbWVuIHdobyB3YW50IGNvbmZpZGVuY2UsIG5vdCBndWVzc3dvcmsuWAKiBlQKUgpOCkwaSgpIRnJvbSBwcmV0dHkgaGVhbHRoeSB0byBjb25maWRlbnRseSBoZWFsdGh5IHdpdGggY29tcHJlaGVuc2l2ZSBzY3JlZW5pbmcuWAKiBlIKUApMCkoaSApGUHJldmVudGl2ZSBoZWFsdGggc2NyZWVuaW5nIHRoYXQgaGVscHMgd29tZW4gc3RheSBjb25maWRlbnRseSBoZWFsdGh5LlgCogZbClkKVQpTGlEKT0Zyb20gaG9ybW9uZXMgdG8gaGVhcnQgaGVhbHRoLCBvdXIgc2NyZWVuaW5nIGhlbHBzIHdvbWVuIHNlZSB0aGUgYmlnZ2VyIHBpY3R1cmVYA6IGWQpXClMKURpPCk1IZWFsdGggc2NyZWVuaW5nIGRlc2lnbmVkIGZvciB3b21lbiB3aG8gd2FudCByZWFsIGNsYXJpdHkgYWJvdXQgdGhlaXIgaGVhbHRoLlgDogZSClAKTApKGkgKRk1vdmUgZnJvbSBndWVzc2luZyB0byBjb25maWRlbnRseSBoZWFsdGh5IHdpdGggZGVlcGVyIGhlYWx0aCBpbnNpZ2h0cy5YA6IGWApWClIKUBpOCkxDb21wcmVoZW5zaXZlIHNjcmVlbmluZyB3aXRoIDE6MSBkb2N0b3IgY29uc3VsdGF0aW9uIGZvciByZWFsIHBlYWNlIG9mIG1pbmQuWAOiBlAKTgpKCkgaRgpEUHJldmVudGl2ZSBoZWFsdGggc2NyZWVuaW5nIGRlc2lnbmVkIGFyb3VuZCB5b3UgYW5kIHlvdXIgd2VsbC1iZWluZy5YA6IGzQEKygEKLAoqCJ_w9N3sCRIhUHJldHR5SGVhbHRoeV9QTUFYLTEyMDB4NjI4LTIuanBnIpcBCICAgJC6i7PGJiCd5hc6hAEI9AQQsAkaPWh0dHBzOi8vdHBjLmdvb2dsZXN5bmRpY2F0aW9uLmNvbS9zaW1nYWQvMTcwMDA1MDM1OTI2Nzc4NDg4NjQiPWh0dHBzOi8vdHBjLmdvb2dsZXN5bmRpY2F0aW9uLmNvbS9waW1nYWQvMTcwMDA1MDM1OTI2Nzc4NDg4NjRQAVgEogbOAQrLAQosCioI6Mbw3ewJEiFQcmV0dHlIZWFsdGh5X1BNQVgtMTIwMHg2MjgtMy5qcGcimAEIgICAkLqL08OZASCU1xM6hAEI9AQQsAkaPWh0dHBzOi8vdHBjLmdvb2dsZXN5bmRpY2F0aW9uLmNvbS9zaW1nYWQvMTQ2MjU1MDk1NzY1OTg5NjYzMDgiPWh0dHBzOi8vdHBjLmdvb2dsZXN5bmRpY2F0aW9uLmNvbS9waW1nYWQvMTQ2MjU1MDk1NzY1OTg5NjYzMDhQAVgEogbMAQrJAQosCioI88jw3ewJEiFQcmV0dHlIZWFsdGh5X1BNQVgtMTIwMHg2MjgtMS5qcGcilgEIgICAkLqLzTAgnogXOoQBCPQEELAJGj1odHRwczovL3RwYy5nb29nbGVzeW5kaWNhdGlvbi5jb20vc2ltZ2FkLzEyMzkwMDAzOTcwNjE5Njc2MDEwIj1odHRwczovL3RwYy5nb29nbGVzeW5kaWNhdGlvbi5jb20vcGltZ2FkLzEyMzkwMDAzOTcwNjE5Njc2MDEwUAFYBKIGzAEKyQEKLQorCJWb9N3sCRIiUHJldHR5SGVhbHRoeV9QTUFYLTEyMDB4MTIwMC0yLmpwZyKVAQiAgICQuovTrRUg3oEsOoIBCLAJELAJGjxodHRwczovL3RwYy5nb29nbGVzeW5kaWNhdGlvbi5jb20vc2ltZ2FkLzQxNzQ4MTc1NTYxNjk4NjI2NDMiPGh0dHBzOi8vdHBjLmdvb2dsZXN5bmRpY2F0aW9uLmNvbS9waW1nYWQvNDE3NDgxNzU1NjE2OTg2MjY0M1ABWAWiBs4BCssBCi0KKwjky_Dd7AkSIlByZXR0eUhlYWx0aHlfUE1BWC0xMjAweDEyMDAtMy5qcGcilwEIgICAkLqL45wiIITZHjqEAQiwCRCwCRo9aHR0cHM6Ly90cGMuZ29vZ2xlc3luZGljYXRpb24uY29tL3NpbWdhZC8xNTU3OTYyNTE4MzM4Nzk4NDA4OCI9aHR0cHM6Ly90cGMuZ29vZ2xlc3luZGljYXRpb24uY29tL3BpbWdhZC8xNTU3OTYyNTE4MzM4Nzk4NDA4OFABWAWiBswBCskBCi0KKwjezvDd7AkSIlByZXR0eUhlYWx0aHlfUE1BWC0xMjAweDEyMDAtMS5qcGcilQEIgICAkLqLk7sTINyLKTqCAQiwCRCwCRo8aHR0cHM6Ly90cGMuZ29vZ2xlc3luZGljYXRpb24uY29tL3NpbWdhZC8zNDg3MjE1MTU3NDE2OTIwOTkwIjxodHRwczovL3RwYy5nb29nbGVzeW5kaWNhdGlvbi5jb20vcGltZ2FkLzM0ODcyMTUxNTc0MTY5MjA5OTBQAVgFogbLAQrIAQosCioIs77z3ewJEiFQcmV0dHlIZWFsdGh5X1BNQVgtOTYweDEyMDAtMi5qcGcilQEIgICAkLqLnaZQIPbpNDqCAQjcCxCwCRo8aHR0cHM6Ly90cGMuZ29vZ2xlc3luZGljYXRpb24uY29tL3NpbWdhZC85MjAxNDYzMDIwODkyODg0OTMwIjxodHRwczovL3RwYy5nb29nbGVzeW5kaWNhdGlvbi5jb20vcGltZ2FkLzkyMDE0NjMwMjA4OTI4ODQ5MzBQAVghogbKAQrHAQosCioItr3Niu0JEiFQcmV0dHlIZWFsdGh5X1BNQVgtOTYweDEyMDAtMS5qcGcilAEIgICAkLqL82Ag3v4wOoIBCNwLELAJGjxodHRwczovL3RwYy5nb29nbGVzeW5kaWNhdGlvbi5jb20vc2ltZ2FkLzYzMzcxNjU0Mzk2ODE4MDA4NjQiPGh0dHBzOi8vdHBjLmdvb2dsZXN5bmRpY2F0aW9uLmNvbS9waW1nYWQvNjMzNzE2NTQzOTY4MTgwMDg2NFABWCGiBswBCskBCiwKKgiu8OXd7AkSIVByZXR0eUhlYWx0aHlfUE1BWC05NjB4MTIwMC0zLmpwZyKWAQiAgICQuovj2ekBIPTMIzqCAQjcCxCwCRo8aHR0cHM6Ly90cGMuZ29vZ2xlc3luZGljYXRpb24uY29tL3NpbWdhZC8xMzgwNDIxMTUwMzExNjQxMzU0IjxodHRwczovL3RwYy5nb29nbGVzeW5kaWNhdGlvbi5jb20vcGltZ2FkLzEzODA0MjExNTAzMTE2NDEzNTRQAVghogbUAQrRAQoYChYI6PH03ewJKg0KC1M2LUNyVmJncGI4OrIBCjNEb2N0b3IgQW55d2hlcmUgfCBEQU1lZFN1aXRlc3xQcmV0dHkgSGVhbHRoeT8gfDl4MTYQgI0BGjBodHRwczovL2kueXRpbWcuY29tL3ZpL1M2LUNyVmJncGI4L2hxZGVmYXVsdC5qcGchAAAAAAAA4j86D0RvY3RvciBBbnl3aGVyZUIraHR0cHM6Ly93d3cueW91dHViZS5jb20vd2F0Y2g_dj1TNi1DclZiZ3BiOFgMogbWAQrTAQoYChYI5fH03ewJKg0KC1VSWlI1d01qS3I4OrQBCjVEb2N0b3IgQW55d2hlcmUgfCBEQU1lZFN1aXRlcyB8IFByZXR0eSBIZWFsdGh5PyB8IDF4MRCAjQEaMGh0dHBzOi8vaS55dGltZy5jb20vdmkvVVJaUjV3TWpLcjgvaHFkZWZhdWx0LmpwZyEAAAAAAADwPzoPRG9jdG9yIEFueXdoZXJlQitodHRwczovL3d3dy55b3V0dWJlLmNvbS93YXRjaD92PVVSWlI1d01qS3I4WAyiBs8BCswBChgKFgji8fTd7AkqDQoLMWRzVkhYbVY3WVE6rQEKLkRvY3RvciBBbnl3aGVyZSB8IERBTWVkU3VpdGVzIHxQcmV0dHkgSGVhbHRoeT8QkY0BGjBodHRwczovL2kueXRpbWcuY29tL3ZpLzFkc1ZIWG1WN1lRL2hxZGVmYXVsdC5qcGchHMdxHMdx_D86D0RvY3RvciBBbnl3aGVyZUIraHR0cHM6Ly93d3cueW91dHViZS5jb20vd2F0Y2g_dj0xZHNWSFhtVjdZUVgMogYNCgsKBwoFggICCAFYKKIGzQEKygEKLAoqCJ_w9N3sCRIhUHJldHR5SGVhbHRoeV9QTUFYLTEyMDB4NjI4LTIuanBnIpcBCICAgJC6i7PGJiCd5hc6hAEI9AQQsAkaPWh0dHBzOi8vdHBjLmdvb2dsZXN5bmRpY2F0aW9uLmNvbS9zaW1nYWQvMTcwMDA1MDM1OTI2Nzc4NDg4NjQiPWh0dHBzOi8vdHBjLmdvb2dsZXN5bmRpY2F0aW9uLmNvbS9waW1nYWQvMTcwMDA1MDM1OTI2Nzc4NDg4NjRQAVg7ogbOAQrLAQosCioI6Mbw3ewJEiFQcmV0dHlIZWFsdGh5X1BNQVgtMTIwMHg2MjgtMy5qcGcimAEIgICAkLqL08OZASCU1xM6hAEI9AQQsAkaPWh0dHBzOi8vdHBjLmdvb2dsZXN5bmRpY2F0aW9uLmNvbS9zaW1nYWQvMTQ2MjU1MDk1NzY1OTg5NjYzMDgiPWh0dHBzOi8vdHBjLmdvb2dsZXN5bmRpY2F0aW9uLmNvbS9waW1nYWQvMTQ2MjU1MDk1NzY1OTg5NjYzMDhQAVg7ogbMAQrJAQosCioI88jw3ewJEiFQcmV0dHlIZWFsdGh5X1BNQVgtMTIwMHg2MjgtMS5qcGcilgEIgICAkLqLzTAgnogXOoQBCPQEELAJGj1odHRwczovL3RwYy5nb29nbGVzeW5kaWNhdGlvbi5jb20vc2ltZ2FkLzEyMzkwMDAzOTcwNjE5Njc2MDEwIj1odHRwczovL3RwYy5nb29nbGVzeW5kaWNhdGlvbi5jb20vcGltZ2FkLzEyMzkwMDAzOTcwNjE5Njc2MDEwUAFYO6IGzAEKyQEKLQorCJWb9N3sCRIiUHJldHR5SGVhbHRoeV9QTUFYLTEyMDB4MTIwMC0yLmpwZyKVAQiAgICQuovTrRUg3oEsOoIBCLAJELAJGjxodHRwczovL3RwYy5nb29nbGVzeW5kaWNhdGlvbi5jb20vc2ltZ2FkLzQxNzQ4MTc1NTYxNjk4NjI2NDMiPGh0dHBzOi8vdHBjLmdvb2dsZXN5bmRpY2F0aW9uLmNvbS9waW1nYWQvNDE3NDgxNzU1NjE2OTg2MjY0M1ABWDuiBs4BCssBCi0KKwjky_Dd7AkSIlByZXR0eUhlYWx0aHlfUE1BWC0xMjAweDEyMDAtMy5qcGcilwEIgICAkLqL45wiIITZHjqEAQiwCRCwCRo9aHR0cHM6Ly90cGMuZ29vZ2xlc3luZGljYXRpb24uY29tL3NpbWdhZC8xNTU3OTYyNTE4MzM4Nzk4NDA4OCI9aHR0cHM6Ly90cGMuZ29vZ2xlc3luZGljYXRpb24uY29tL3BpbWdhZC8xNTU3OTYyNTE4MzM4Nzk4NDA4OFABWDuiBswBCskBCi0KKwjezvDd7AkSIlByZXR0eUhlYWx0aHlfUE1BWC0xMjAweDEyMDAtMS5qcGcilQEIgICAkLqLk7sTINyLKTqCAQiwCRCwCRo8aHR0cHM6Ly90cGMuZ29vZ2xlc3luZGljYXRpb24uY29tL3NpbWdhZC8zNDg3MjE1MTU3NDE2OTIwOTkwIjxodHRwczovL3RwYy5nb29nbGVzeW5kaWNhdGlvbi5jb20vcGltZ2FkLzM0ODcyMTUxNTc0MTY5MjA5OTBQAVg7CgYIARICMgAK5g8IARLhDwoUCL2IoolY8ggICgASABoAIgD4CAGiBnkKdwpzCnEI56-NwK8EygJnCgJTRxIINjMyMDM1MzMYASCzASoKCBAQABgeIAcoASoKCBAQABgeIAcoAioKCBAQABgeIAcoAyoKCBAQABgeIAcoBCoKCBAQABgeIAcoBSoKCAwQABgeIAgoBioKCAwQABgeIAgoB1gqogYqCigKJAoiCNCjluvKA8oBGAoWTm9uLUZhc3RpbmcgU2NyZWVuaW5nc1ggogYpCicKIwohCNajluvKA8oBFwoVQ29tcGxpbWVudGFyeSBQYXJraW5nWCCiBicKJQohCh8I5v2vwK8EygEVChNDb252ZW5pZW50IExvY2F0aW9uWCCiBiYKJAogCh4I1_GBqecGygEUChJCeSBEb2N0b3IgQW55d2hlcmVYIKIGLQorCicKJQiQk4Kp5wbKARsKGUludGVncmF0ZWQgTWVkaWNhbCBDZW50ZXJYIKIGiwMKiAMKgwMKgAMIydT9vMYIogP1AggJGgJlbiKQAQoYV29tZW4ncyBCcmVhc3QgU2NyZWVuaW5nEhZNYW1tb2dyYW0gJiBVbHRyYXNvdW5kGgsKA1NHRBCAvYyOASpPaHR0cHM6Ly9tZWRzdWl0ZXMuZG9jdG9yYW55d2hlcmUuY29tL2Vocy9jb21wcmVoZW5zaXZlLWhlYWx0aC1icmVhc3Qtc2NyZWVuaW5nLyJuChNXaWxsb3cgKHdvbWVuIDwgNDApEhhXb21lbidzIEhlYWx0aCBTY3JlZW5pbmcaCwoDU0dEEICct6cDKjBodHRwczovL21lZHN1aXRlcy5kb2N0b3Jhbnl3aGVyZS5jb20vZWhzL3dpbGxvdy8iagoRSXJpcyAod29tZW4gPiA0MCkSGFdvbWVuJ3MgSGVhbHRoIFNjcmVlbmluZxoLCgNTR0QQgKSV5gQqLmh0dHBzOi8vbWVkc3VpdGVzLmRvY3RvcmFueXdoZXJlLmNvbS9laHMvaXJpcy9YMqIGvwEKvAEKtwEKtAEIh8Hl58oDaklodHRwczovL21lZHN1aXRlcy5kb2N0b3Jhbnl3aGVyZS5jb20vZXhlY3V0aXZlLWhlYWx0aC1zY3JlZW5pbmctcGFja2FnZXMvqgFfChlIZWFsdGggU2NyZWVuaW5nIFBhY2thZ2VzEiBDb21wcmVoZW5zaXZlIHBhY2thZ2VzLCBpbmNsdWRlcxogcHJpdmF0ZSBwb2QsIGxpZ2h0IGJpdGVzLCBkcmlua3NYH6IGnAEKmQEKlAEKkQEIjcHl58oDajpodHRwczovL3d3dy5jb2duaXRvZm9ybXMuY29tL0RvY3RvckFueXdoZXJlL0RBTWVkU3VpdGVzRUhTqgFLChBCb29rIEFwcG9pbnRtZW50EhZHZXQgc3RhcnRlZCAmIHNjaGVkdWxlGh95b3VyIGV4ZWN1dGl2ZSBoZWFsdGggc2NyZWVuaW5nWB-iBrcBCrQBCq8BCqwBCN3b4_DGCGpPaHR0cHM6Ly9tZWRzdWl0ZXMuZG9jdG9yYW55d2hlcmUuY29tL2Vocy9jb21wcmVoZW5zaXZlLWhlYWx0aC1icmVhc3Qtc2NyZWVuaW5nL6oBUQoYV29tZW4ncyBIZWFsdGggU2NyZWVuaW5nEhdJbmNsdWRlcyBib3RoIE1hbW1vZ3JhbRocJiBVbHRyYXNvdW5kIGJyZWFzdCBmb3IgJDI5OFgfogYfCh0KGQoXCK7eoqrgBBoOCgxEQSBNZWRTdWl0ZXNYKaIG3QEK2gEKJwolCJOIk72CBBIcTWVkU3VpdGVzLUxvZ28tMTIwMHgxMjAwLnBuZyKsAQiAgIDgs4TPkuYBIIL_AigDOosBCLAJELAJGjxodHRwczovL3RwYy5nb29nbGVzeW5kaWNhdGlvbi5jb20vc2ltZ2FkLzE2ODQ5Mjc1NzMwNDg3MTM0NjYiPGh0dHBzOi8vdHBjLmdvb2dsZXN5bmRpY2F0aW9uLmNvbS9waW1nYWQvMTY4NDkyNzU3MzA0ODcxMzQ2NikAAAAAAADwP0COtdW49c7n19kBUAFYBqIG3gEK2wEKJgokCKqik72CBBIbTWVkU3VpdGVzLUxvZ28tMTIwMHgzMDAucG5nIq4BCICAgOCzhPe-pgEgw88BKAM6jQEIrAIQsAkaPWh0dHBzOi8vdHBjLmdvb2dsZXN5bmRpY2F0aW9uLmNvbS9zaW1nYWQvMTgwNjgwODk0MDAyNTA2MDEyNDkiPWh0dHBzOi8vdHBjLmdvb2dsZXN5bmRpY2F0aW9uLmNvbS9waW1nYWQvMTgwNjgwODk0MDAyNTA2MDEyNDkpAAAAAAAAEEBAsdbs5Z3pnI3VAVABWAeiBt0BCtoBCicKJQiTiJO9ggQSHE1lZFN1aXRlcy1Mb2dvLTEyMDB4MTIwMC5wbmcirAEIgICA4LOEz5LmASCC_wIoAzqLAQiwCRCwCRo8aHR0cHM6Ly90cGMuZ29vZ2xlc3luZGljYXRpb24uY29tL3NpbWdhZC8xNjg0OTI3NTczMDQ4NzEzNDY2IjxodHRwczovL3RwYy5nb29nbGVzeW5kaWNhdGlvbi5jb20vcGltZ2FkLzE2ODQ5Mjc1NzMwNDg3MTM0NjYpAAAAAAAA8D9AjrXVuPXO59fZAVABWDioAQ0STkFCQzJ6dVl1NHJCMXYtRGpoeXpOdHFuNFhoUWpaRC1abVpCemhpQXlaeDhIQUNhYXZVVVZ5a0xqeGZaek43RmNySEdPb19LOFlDRk1KUSIWEgxIAVABeACQAQCgAQEoAToBAUIBAiik1cvr8TMwgJD70wk6CBABKB4wBDgAQg5BV05fQ01fRURJVElORw==" TargetMode="External"/><Relationship Id="rId24" Type="http://schemas.openxmlformats.org/officeDocument/2006/relationships/hyperlink" Target="https://www.facebook.com/61556882610880/posts/122302123580229420/" TargetMode="External"/><Relationship Id="rId23" Type="http://schemas.openxmlformats.org/officeDocument/2006/relationships/hyperlink" Target="https://www.facebook.com/61556882610880/posts/122302123268229420/" TargetMode="External"/><Relationship Id="rId1" Type="http://schemas.openxmlformats.org/officeDocument/2006/relationships/hyperlink" Target="https://drive.google.com/drive/folders/0AJzAFWxdvqlwUk9PVA" TargetMode="External"/><Relationship Id="rId2" Type="http://schemas.openxmlformats.org/officeDocument/2006/relationships/hyperlink" Target="https://drive.google.com/drive/folders/17HRbB50gHrz6w1IRwwz6rwJ4bJbESCBO?usp=drive_link" TargetMode="External"/><Relationship Id="rId3" Type="http://schemas.openxmlformats.org/officeDocument/2006/relationships/hyperlink" Target="https://drive.google.com/drive/folders/17fNEJiYqoiasw3aSB4kbPHN2hgOz_iUX" TargetMode="External"/><Relationship Id="rId4" Type="http://schemas.openxmlformats.org/officeDocument/2006/relationships/hyperlink" Target="https://docs.google.com/spreadsheets/d/1WUgfDRbJiZipMaVaW0Ct9aBneRU07wOJ9d-4lzt5sKg/edit?gid=1581902554" TargetMode="External"/><Relationship Id="rId9" Type="http://schemas.openxmlformats.org/officeDocument/2006/relationships/hyperlink" Target="https://docs.google.com/spreadsheets/d/17_ytPp0NycGlOwKbqpeaiSWyOFJrw61T4zn8a2vReJ0/edit?usp=sharing" TargetMode="External"/><Relationship Id="rId26" Type="http://schemas.openxmlformats.org/officeDocument/2006/relationships/hyperlink" Target="https://ads.google.com/aw_cm/ExternalPreview?ocid=7554764585&amp;euid=6504451576&amp;pt=CuBZCKmespIcEPibyJ0YGgVlbl9VU2LKWQpUCAIaUAoGIgQIHRABCgYiBAgAEAMKBiIECAAQAQoGIgQIHBABCgYiBAgUEAMKBiIECBQQAQoGIgQIAhADCgYiBAgCEAEKBiIECBIQAgoGIgQIEhABCu47CAES6TsSMiocaHR0cHM6Ly9zb2RhLmluc3VyZS9wcmljaW5nL0IIZW1wbG95ZWVKCGJlbmVmaXRzogYnCiUKIQofGh0KG0VtcGxveWVlIEJlbmVmaXRzIE1hZGUgRWFzeVgBogYoCiYKIgogGh4KHEFkbWluLWZyZWUgRW1wbG95ZWUgQmVuZWZpdHNYAaIGJgokCiAKHhocChpFbXBsb3llZSBCZW5lZml0cyBmb3IgU01Fc1gBogYnCiUKIQofGh0KG05vIEZvcm1zLCBTZXQgVXAgaW4gTWludXRlc1gBogYlCiMKHwodGhsKGUNsZWFyIENsYWltcyBpbiA1IFNlY29uZHNYAaIGJAoiCh4KHBoaChhTYXkgR29vZGJ5ZSB0byBQYXBlcndvcmtYAaIGHQobChcKFRoTChFTaW1wbGlmeSBIUiBUb2RheVgBogYjCiEKHQobGhkKF1dvcmsgU21hcnRlciBOb3QgSGFyZGVyWAGiBigKJgoiCiAaHgocU3RvcCBDaGFzaW5nIEVtcGxveWVlIENsYWltc1gBogYhCh8KGwoZGhcKFUJlY29tZSBBIEhSIFN1cGVyaGVyb1gBogYlCiMKHwodGhsKGUVuZCBNYW51YWwgQmVuZWZpdHMgQWRtaW5YAaIGJgokCiAKHhocChpBdXRvbWF0ZSBFbXBsb3llZSBCZW5lZml0c1gBogYkCiIKHgocGhoKGEZ1bGx5IEF1dG9tYXRlZCBQbGF0Zm9ybVgBogYgCh4KGgoYGhYKFEhSJ3MgU21hcnRlc3QgSGVscGVyWAGiBiEKHwobChkaFwoVUG93ZXItdXAgWW91ciBIUiBHYW1lWAGiBkYKRApACj4aPAo6RWxpbWluYXRlIG1hbnVhbCBIUiBhZG1pbiB3aXRoIDXigJFzZWNvbmQgY2xhaW0gYXV0b21hdGlvblgCogY4CjYKMgowGi4KLExlc3MgYWRtaW4sIGZhc3RlciBjbGFpbXMsIGhhcHBpZXIgZW1wbG95ZWVzWAKiBloKWApUClIaUApOSGFuZGxlIGFsbCBlbXBsb3llZSBjbGFpbXMgbGlrZSBhIHByby4gTGV0IGJlbmVmaXRzIGF1dG9tYXRpb24gYmVjb21lIHlvdXIgQkZGWAKiBmIKYApcCloaWApWQWRtaW7igJFmcmVlIEhSIHdvcmtmbG93cyBzdGFydCB3aXRoIFNvZGEuIEJlbmVmaXRzIGF1dG9tYXRpb24gYnVpbHQgZm9yIGJ1c3kgSFIgdGVhbXNYAqIGVApSCk4KTBpKCkhCdWlsZCBkaWZmZXJlbnQgYmVuZWZpdCBwbGFucyBmb3IgZGlmZmVyZW50IHRlYW1zLCBpbiBqdXN0IGEgZmV3IGNsaWNrcyFYAqIGYApeCloKWBpWClRFbXBsb3llZSBiZW5lZml0cyBkZXNpZ25lZCBmb3IgU01FcyB0aGF0IHdhbnQgdG8gd29yayBzbWFydGVyIHdpdGggbGVzcyBhZG1pbiBidXJkZW5YA6IGZgpkCmAKXhpcClpIYW5kbGUgYmVuZWZpdHMgd2l0aG91dCBzcHJlYWRzaGVldHMgb3Igc3RyZXNzLiBTb2RhIGhhbmRsZXMgY2xhaW1zIHNvIHlvdSBkb27igJl0IGhhdmUgdG9YA6IGXApaClYKVBpSClBTdG9wIGNoYXNpbmcgcmVjZWlwdHMg4oCUIGF1dG9tYXRlIGluc3RlYWQuIEhSIG1hZGUgc2ltcGxlIHdpdGggNS1zZWNvbmQgY2xhaW1zLlgDogZmCmQKYApeGlwKWkZvY3VzIG9uIHBlb3BsZSwgbm90IHBhcGVyd29yay4gU2F5IGdvb2RieWUgdG8gZm9ybXMgYW5kIGhlbGxvIHRvIDUtc2Vjb25kIGNsYWltIGFwcHJvdmFsc1gDogZYClYKUgpQGk4KTEVmZm9ydGxlc3MgSFIgYXV0b21hdGlvbiB0aGF0IHNhdmVzIGhvdXJzIHdlZWtseS4gRnJlZSB1cCB5b3VyIHZhbHVhYmxlIHRpbWVYA6IGwQEKvgEKIQofCO2CzrHlCBIWQ29weSBvZiBTb2RhLVQyLTE0LmpwZyKWAQiAgICQkquI-NEBILvBBDqCAQj0BBCwCRo8aHR0cHM6Ly90cGMuZ29vZ2xlc3luZGljYXRpb24uY29tL3NpbWdhZC83OTkwMzc4MTgzNzE4NTA5MTIyIjxodHRwczovL3RwYy5nb29nbGVzeW5kaWNhdGlvbi5jb20vcGltZ2FkLzc5OTAzNzgxODM3MTg1MDkxMjJQAVgEogbCAQq_AQohCh8I4-zjiuUIEhZDb3B5IG9mIFNvZGEtVDItMTguanBnIpcBCICAgJCSq5j3ZSCRiwU6hAEI9AQQsAkaPWh0dHBzOi8vdHBjLmdvb2dsZXN5bmRpY2F0aW9uLmNvbS9zaW1nYWQvMTc4MTczNTY4OTc2NTU4NzM4MDciPWh0dHBzOi8vdHBjLmdvb2dsZXN5bmRpY2F0aW9uLmNvbS9waW1nYWQvMTc4MTczNTY4OTc2NTU4NzM4MDdQAVgEogbAAQq9AQohCh8IuZPkiuUIEhZDb3B5IG9mIFNvZGEtVDItMTcuanBnIpUBCICAgJCSq8itBSC4pAU6ggEI9AQQsAkaPGh0dHBzOi8vdHBjLmdvb2dsZXN5bmRpY2F0aW9uLmNvbS9zaW1nYWQvNDA1MTIxMDYwMDU3NzA0NjA0NiI8aHR0cHM6Ly90cGMuZ29vZ2xlc3luZGljYXRpb24uY29tL3BpbWdhZC80MDUxMjEwNjAwNTc3MDQ2MDQ2UAFYBKIGwAEKvQEKIQofCOCK0bHlCBIWQ29weSBvZiBTb2RhLVQyLTEzLmpwZyKVAQiAgICQkqvowXEguIcEOoIBCPQEELAJGjxodHRwczovL3RwYy5nb29nbGVzeW5kaWNhdGlvbi5jb20vc2ltZ2FkLzc0ODAxNjk5MjI1NzMyNTE0MjEiPGh0dHBzOi8vdHBjLmdvb2dsZXN5bmRpY2F0aW9uLmNvbS9waW1nYWQvNzQ4MDE2OTkyMjU3MzI1MTQyMVABWASiBsIBCr8BCiEKHwiU_c2x5QgSFkNvcHkgb2YgU29kYS1UMi0xNS5qcGcilwEIgICAkJKrmJkCIPfyBTqEAQj0BBCwCRo9aHR0cHM6Ly90cGMuZ29vZ2xlc3luZGljYXRpb24uY29tL3NpbWdhZC8xMDgzNDUzNTQ0NzgwNzQ3MjYwMCI9aHR0cHM6Ly90cGMuZ29vZ2xlc3luZGljYXRpb24uY29tL3BpbWdhZC8xMDgzNDUzNTQ0NzgwNzQ3MjYwMFABWASiBsABCr0BCiEKHwi1lrfB5QgSFkNvcHkgb2YgU29kYS1UMi0xNi5qcGcilQEIgICAkJKryJIvILDIBTqCAQj0BBCwCRo8aHR0cHM6Ly90cGMuZ29vZ2xlc3luZGljYXRpb24uY29tL3NpbWdhZC8zMTUzOTQyNTI3MDEzMjM5MDgxIjxodHRwczovL3RwYy5nb29nbGVzeW5kaWNhdGlvbi5jb20vcGltZ2FkLzMxNTM5NDI1MjcwMTMyMzkwODFQAVgEogbBAQq-AQohCh8IkZrTseUIEhZDb3B5IG9mIFNvZGEtVDItMTEuanBnIpYBCICAgJDS79P5owEgivoEOoIBCLAJELAJGjxodHRwczovL3RwYy5nb29nbGVzeW5kaWNhdGlvbi5jb20vc2ltZ2FkLzkzNjE3NDgyNzA2Nzk1NjQ1MjAiPGh0dHBzOi8vdHBjLmdvb2dsZXN5bmRpY2F0aW9uLmNvbS9waW1nYWQvOTM2MTc0ODI3MDY3OTU2NDUyMFABWAWiBsEBCr4BCiEKHwiD9rnB5QgSFkNvcHkgb2YgU29kYS1UMi0wOC5qcGcilgEIgICAkJKrqN6vASDsvwU6ggEIsAkQsAkaPGh0dHBzOi8vdHBjLmdvb2dsZXN5bmRpY2F0aW9uLmNvbS9zaW1nYWQvMTg1MzY4MzI4NzI3NzU5OTkwNCI8aHR0cHM6Ly90cGMuZ29vZ2xlc3luZGljYXRpb24uY29tL3BpbWdhZC8xODUzNjgzMjg3Mjc3NTk5OTA0UAFYBaIGwAEKvQEKIQofCMWgusHlCBIWQ29weSBvZiBTb2RhLVQyLTA5LmpwZyKVAQiAgICQ0u_Tql0gjKMFOoIBCLAJELAJGjxodHRwczovL3RwYy5nb29nbGVzeW5kaWNhdGlvbi5jb20vc2ltZ2FkLzcyNDU3MTk1Mjk3MDI0NzIxNjQiPGh0dHBzOi8vdHBjLmdvb2dsZXN5bmRpY2F0aW9uLmNvbS9waW1nYWQvNzI0NTcxOTUyOTcwMjQ3MjE2NFABWAWiBsABCr0BCiEKHwjOwLzB5QgSFkNvcHkgb2YgU29kYS1UMi0wNy5qcGcilQEIgICAkNLv07pHIPvUBTqCAQiwCRCwCRo8aHR0cHM6Ly90cGMuZ29vZ2xlc3luZGljYXRpb24uY29tL3NpbWdhZC8yNTAyMDQzMzg0MzI4NzEyNDM3IjxodHRwczovL3RwYy5nb29nbGVzeW5kaWNhdGlvbi5jb20vcGltZ2FkLzI1MDIwNDMzODQzMjg3MTI0MzdQAVgFogbCAQq_AQohCh8Iz-fTseUIEhZDb3B5IG9mIFNvZGEtVDItMTAuanBnIpcBCICAgJDS7_OeYyCpuQY6hAEIsAkQsAkaPWh0dHBzOi8vdHBjLmdvb2dsZXN5bmRpY2F0aW9uLmNvbS9zaW1nYWQvMTAxMTc0NjI1ODkyODQ5ODMwMzUiPWh0dHBzOi8vdHBjLmdvb2dsZXN5bmRpY2F0aW9uLmNvbS9waW1nYWQvMTAxMTc0NjI1ODkyODQ5ODMwMzVQAVgFogbBAQq-AQohCh8Iv4zpiuUIEhZDb3B5IG9mIFNvZGEtVDItMTIuanBnIpYBCICAgJDS74uD8QEg-tgHOoIBCLAJELAJGjxodHRwczovL3RwYy5nb29nbGVzeW5kaWNhdGlvbi5jb20vc2ltZ2FkLzI4OTY0NTgwMDkyMjA0MTY4NTciPGh0dHBzOi8vdHBjLmdvb2dsZXN5bmRpY2F0aW9uLmNvbS9waW1nYWQvMjg5NjQ1ODAwOTIyMDQxNjg1N1ABWAWiBsABCr0BCiEKHwiXgbHB5QgSFkNvcHkgb2YgU29kYS1UMi0wMy5qcGcilQEIgICAkJKrmPJ9IJzuBDqCAQiwCRDABxo8aHR0cHM6Ly90cGMuZ29vZ2xlc3luZGljYXRpb24uY29tL3NpbWdhZC82NjM3NzM2NTU0Mzg0ODk5NjkyIjxodHRwczovL3RwYy5nb29nbGVzeW5kaWNhdGlvbi5jb20vcGltZ2FkLzY2Mzc3MzY1NTQzODQ4OTk2OTJQAVghogbAAQq9AQohCh8Iv6-xweUIEhZDb3B5IG9mIFNvZGEtVDItMDUuanBnIpUBCICAgJDS7_OhPCDzvQQ6ggEIsAkQwAcaPGh0dHBzOi8vdHBjLmdvb2dsZXN5bmRpY2F0aW9uLmNvbS9zaW1nYWQvODg1NTQwMTExNTQyNTAxNzM2OCI8aHR0cHM6Ly90cGMuZ29vZ2xlc3luZGljYXRpb24uY29tL3BpbWdhZC84ODU1NDAxMTE1NDI1MDE3MzY4UAFYIaIGwAEKvQEKIQofCOrf4YrlCBIWQ29weSBvZiBTb2RhLVQyLTAyLmpwZyKVAQiAgICQ0u_T7WEg0oUFOoIBCLAJEMAHGjxodHRwczovL3RwYy5nb29nbGVzeW5kaWNhdGlvbi5jb20vc2ltZ2FkLzgxMzY3NDM1NTgwOTY4NzQyMTIiPGh0dHBzOi8vdHBjLmdvb2dsZXN5bmRpY2F0aW9uLmNvbS9waW1nYWQvODEzNjc0MzU1ODA5Njg3NDIxMlABWCGiBsABCr0BCiEKHwjt3LDB5QgSFkNvcHkgb2YgU29kYS1UMi0wMS5qcGcilQEIgICAkNLv8_w4IO_pBDqCAQiwCRDABxo8aHR0cHM6Ly90cGMuZ29vZ2xlc3luZGljYXRpb24uY29tL3NpbWdhZC84NDIxMDYxNDAyODg5Njc2MDE3IjxodHRwczovL3RwYy5nb29nbGVzeW5kaWNhdGlvbi5jb20vcGltZ2FkLzg0MjEwNjE0MDI4ODk2NzYwMTdQAVghogbAAQq9AQohCh8I3ubfiuUIEhZDb3B5IG9mIFNvZGEtVDItMDYuanBnIpUBCICAgJCSq6iJCCCGrwY6ggEIsAkQwAcaPGh0dHBzOi8vdHBjLmdvb2dsZXN5bmRpY2F0aW9uLmNvbS9zaW1nYWQvODgyMzg0MzM2ODE1NzU4MjQxNiI8aHR0cHM6Ly90cGMuZ29vZ2xlc3luZGljYXRpb24uY29tL3BpbWdhZC84ODIzODQzMzY4MTU3NTgyNDE2UAFYIaIGwwEKwAEKIQofCILVscHlCBIWQ29weSBvZiBTb2RhLVQyLTA0LmpwZyKYAQiAgICQkquYg8EBIOG3BTqEAQiwCRDABxo9aHR0cHM6Ly90cGMuZ29vZ2xlc3luZGljYXRpb24uY29tL3NpbWdhZC8xNjM5MjA4Nzg0MjEwNTEwODQ4MCI9aHR0cHM6Ly90cGMuZ29vZ2xlc3luZGljYXRpb24uY29tL3BpbWdhZC8xNjM5MjA4Nzg0MjEwNTEwODQ4MFABWCGiBrsBCrgBChgKFgiM_IfC5QgqDQoLUVczU212Yk1MMGM6mQEKGkF1dG9tYXRlIEVtcGxveWVlIEJlbmVmaXRzEJOFARowaHR0cHM6Ly9pLnl0aW1nLmNvbS92aS9RVzNTbXZiTUwwYy9ocWRlZmF1bHQuanBnIRzHcRzHcfw_Og9Eb2N0b3IgQW55d2hlcmVCK2h0dHBzOi8vd3d3LnlvdXR1YmUuY29tL3dhdGNoP3Y9UVczU212Yk1MMGNYDKIGDQoLCgcKBYICAggBWCiiBsEBCr4BCiEKHwjtgs6x5QgSFkNvcHkgb2YgU29kYS1UMi0xNC5qcGcilgEIgICAkJKriPjRASC7wQQ6ggEI9AQQsAkaPGh0dHBzOi8vdHBjLmdvb2dsZXN5bmRpY2F0aW9uLmNvbS9zaW1nYWQvNzk5MDM3ODE4MzcxODUwOTEyMiI8aHR0cHM6Ly90cGMuZ29vZ2xlc3luZGljYXRpb24uY29tL3BpbWdhZC83OTkwMzc4MTgzNzE4NTA5MTIyUAFYO6IGwgEKvwEKIQofCOPs44rlCBIWQ29weSBvZiBTb2RhLVQyLTE4LmpwZyKXAQiAgICQkquY92UgkYsFOoQBCPQEELAJGj1odHRwczovL3RwYy5nb29nbGVzeW5kaWNhdGlvbi5jb20vc2ltZ2FkLzE3ODE3MzU2ODk3NjU1ODczODA3Ij1odHRwczovL3RwYy5nb29nbGVzeW5kaWNhdGlvbi5jb20vcGltZ2FkLzE3ODE3MzU2ODk3NjU1ODczODA3UAFYO6IGwAEKvQEKIQofCLmT5IrlCBIWQ29weSBvZiBTb2RhLVQyLTE3LmpwZyKVAQiAgICQkqvIrQUguKQFOoIBCPQEELAJGjxodHRwczovL3RwYy5nb29nbGVzeW5kaWNhdGlvbi5jb20vc2ltZ2FkLzQwNTEyMTA2MDA1NzcwNDYwNDYiPGh0dHBzOi8vdHBjLmdvb2dsZXN5bmRpY2F0aW9uLmNvbS9waW1nYWQvNDA1MTIxMDYwMDU3NzA0NjA0NlABWDuiBsABCr0BCiEKHwjgitGx5QgSFkNvcHkgb2YgU29kYS1UMi0xMy5qcGcilQEIgICAkJKr6MFxILiHBDqCAQj0BBCwCRo8aHR0cHM6Ly90cGMuZ29vZ2xlc3luZGljYXRpb24uY29tL3NpbWdhZC83NDgwMTY5OTIyNTczMjUxNDIxIjxodHRwczovL3RwYy5nb29nbGVzeW5kaWNhdGlvbi5jb20vcGltZ2FkLzc0ODAxNjk5MjI1NzMyNTE0MjFQAVg7ogbCAQq_AQohCh8IlP3NseUIEhZDb3B5IG9mIFNvZGEtVDItMTUuanBnIpcBCICAgJCSq5iZAiD38gU6hAEI9AQQsAkaPWh0dHBzOi8vdHBjLmdvb2dsZXN5bmRpY2F0aW9uLmNvbS9zaW1nYWQvMTA4MzQ1MzU0NDc4MDc0NzI2MDAiPWh0dHBzOi8vdHBjLmdvb2dsZXN5bmRpY2F0aW9uLmNvbS9waW1nYWQvMTA4MzQ1MzU0NDc4MDc0NzI2MDBQAVg7ogbAAQq9AQohCh8ItZa3weUIEhZDb3B5IG9mIFNvZGEtVDItMTYuanBnIpUBCICAgJCSq8iSLyCwyAU6ggEI9AQQsAkaPGh0dHBzOi8vdHBjLmdvb2dsZXN5bmRpY2F0aW9uLmNvbS9zaW1nYWQvMzE1Mzk0MjUyNzAxMzIzOTA4MSI8aHR0cHM6Ly90cGMuZ29vZ2xlc3luZGljYXRpb24uY29tL3BpbWdhZC8zMTUzOTQyNTI3MDEzMjM5MDgxUAFYO6IGwQEKvgEKIQofCJGa07HlCBIWQ29weSBvZiBTb2RhLVQyLTExLmpwZyKWAQiAgICQ0u_T-aMBIIr6BDqCAQiwCRCwCRo8aHR0cHM6Ly90cGMuZ29vZ2xlc3luZGljYXRpb24uY29tL3NpbWdhZC85MzYxNzQ4MjcwNjc5NTY0NTIwIjxodHRwczovL3RwYy5nb29nbGVzeW5kaWNhdGlvbi5jb20vcGltZ2FkLzkzNjE3NDgyNzA2Nzk1NjQ1MjBQAVg7ogbBAQq-AQohCh8Ig_a5weUIEhZDb3B5IG9mIFNvZGEtVDItMDguanBnIpYBCICAgJCSq6jerwEg7L8FOoIBCLAJELAJGjxodHRwczovL3RwYy5nb29nbGVzeW5kaWNhdGlvbi5jb20vc2ltZ2FkLzE4NTM2ODMyODcyNzc1OTk5MDQiPGh0dHBzOi8vdHBjLmdvb2dsZXN5bmRpY2F0aW9uLmNvbS9waW1nYWQvMTg1MzY4MzI4NzI3NzU5OTkwNFABWDuiBsABCr0BCiEKHwjFoLrB5QgSFkNvcHkgb2YgU29kYS1UMi0wOS5qcGcilQEIgICAkNLv06pdIIyjBTqCAQiwCRCwCRo8aHR0cHM6Ly90cGMuZ29vZ2xlc3luZGljYXRpb24uY29tL3NpbWdhZC83MjQ1NzE5NTI5NzAyNDcyMTY0IjxodHRwczovL3RwYy5nb29nbGVzeW5kaWNhdGlvbi5jb20vcGltZ2FkLzcyNDU3MTk1Mjk3MDI0NzIxNjRQAVg7ogbAAQq9AQohCh8IzsC8weUIEhZDb3B5IG9mIFNvZGEtVDItMDcuanBnIpUBCICAgJDS79O6RyD71AU6ggEIsAkQsAkaPGh0dHBzOi8vdHBjLmdvb2dsZXN5bmRpY2F0aW9uLmNvbS9zaW1nYWQvMjUwMjA0MzM4NDMyODcxMjQzNyI8aHR0cHM6Ly90cGMuZ29vZ2xlc3luZGljYXRpb24uY29tL3BpbWdhZC8yNTAyMDQzMzg0MzI4NzEyNDM3UAFYO6IGwgEKvwEKIQofCM_n07HlCBIWQ29weSBvZiBTb2RhLVQyLTEwLmpwZyKXAQiAgICQ0u_znmMgqbkGOoQBCLAJELAJGj1odHRwczovL3RwYy5nb29nbGVzeW5kaWNhdGlvbi5jb20vc2ltZ2FkLzEwMTE3NDYyNTg5Mjg0OTgzMDM1Ij1odHRwczovL3RwYy5nb29nbGVzeW5kaWNhdGlvbi5jb20vcGltZ2FkLzEwMTE3NDYyNTg5Mjg0OTgzMDM1UAFYO6IGwQEKvgEKIQofCL-M6YrlCBIWQ29weSBvZiBTb2RhLVQyLTEyLmpwZyKWAQiAgICQ0u-Lg_EBIPrYBzqCAQiwCRCwCRo8aHR0cHM6Ly90cGMuZ29vZ2xlc3luZGljYXRpb24uY29tL3NpbWdhZC8yODk2NDU4MDA5MjIwNDE2ODU3IjxodHRwczovL3RwYy5nb29nbGVzeW5kaWNhdGlvbi5jb20vcGltZ2FkLzI4OTY0NTgwMDkyMjA0MTY4NTdQAVg7CgYIARICMgAK6w0IARLmDQoxCPXz9ZBW8gglCgASByM5NkYwQjYaByMwMDAwMDAiD0xhdG86bm9ybWFsOjQwMPgIAaIGJAoiCh4KHAicjtP62QjKARIKEFBheS1QZXItVXNlIE9ubHlYIKIGKgooCiQKIgifjtP62QjKARgKFlBlcmZlY3QgZm9yIFNNRXMgJiBIUnNYIKIGKQonCiMKIQiijtP62QjKARcKFUZsZXhpYmxlICYgQWZmb3JkYWJsZVggogaxBQquBQqpBQqmBQjqo--erghKhgUKClNvZGEgYnkgREEaGlJlcXVlc3QgaW5zdGFudCBmcmVlIHF1b3RlIosBV2UncmUgZXhjaXRlZCB0byBzaG93IHlvdSBhIGJldHRlciB3YXkgdG8gbWFuYWdlIGVtcGxveWVlIGJlbmVmaXRzLiBGaWxsIGluIHlvdXIgZGV0YWlscyB0byBnZXQgYSBmcmVlIG92ZXJ2aWV3IG9mIG91ciBhbGwtaW4tb25lIHBsYXRmb3JtLiojaHR0cHM6Ly9zb2RhLmluc3VyZS9wcml2YWN5LXBvbGljeS8yFVN1Ym1pc3Npb24gc3VjY2Vzc2Z1bDpQVGhhbmtzLCB3ZSd2ZSByZWNlaXZlZCB5b3VyIGRldGFpbHMgYW5kIHdpbGwgYmUgaW4gdG91Y2ggd2l0aGluIDMgYnVzaW5lc3MgZGF5cy5CBAgDKABCBAgMKABCBAgLKABCBAgBKABKZgpkCjpodHRwczovL2hvb2suZXUxLm1ha2UuY29tLzN0dGpuMHV1eHkxYWU0dmN1MW9tZ3ZmZTQ5dWdiNGEyEiQ3YTg5ZWU5NC1hMmRhLTQ5OTgtYTMwNi1iYmZlMzhmYWRlZmQYAVoHCKyf4p-uCGABaAxyFGFuZCBnZXQgYSBmcmVlIHF1b3RleAGKAXEKGldoYXQgc2l6ZSBpcyB5b3VyIGNvbXBhbnk_ElEKDjEtMTAgZW1wbG95ZWVzCg8xMS01MCBlbXBsb3llZXMKEDUxLTIwMCBlbXBsb3llZXMKETIwMS01MDAgZW1wbG95ZWVzCglBYm92ZSA1MDAwAIoBIQodV2hhdCBpbmR1c3RyeSBkbyB5b3Ugd29yayBpbj8wAJIBAmVuahRodHRwczovL3NvZGEuaW5zdXJlL1gRogYdChsKFwoVCLzNzYSWCBoMCgpTb2RhIGJ5IERBWCmiBtQBCtEBCh8KHQjBrvGElggSFFNvZGFMb2dvMTIwMCAoMSkucG5nIqsBCICAgJCipPv6swEgra8CKAM6iwEIsAkQsAkaPGh0dHBzOi8vdHBjLmdvb2dsZXN5bmRpY2F0aW9uLmNvbS9zaW1nYWQvMTg0NDEyMDI4Mjk2NDUyOTQ5NiI8aHR0cHM6Ly90cGMuZ29vZ2xlc3luZGljYXRpb24uY29tL3BpbWdhZC8xODQ0MTIwMjgyOTY0NTI5NDk2KQAAAAAAAPA_QNnh56TlreG2C1ABWAaiBtMBCtABCh8KHQiV7P-Y3AgSFFNvZGFieURBTG9nbyAoMSkucG5nIqoBCICAgJDSkfmyaCDqvgEoAzqLAQiwCRCwCRo8aHR0cHM6Ly90cGMuZ29vZ2xlc3luZGljYXRpb24uY29tL3NpbWdhZC81ODM1MzkwMzQ2NDA5MDI3MjQ1IjxodHRwczovL3RwYy5nb29nbGVzeW5kaWNhdGlvbi5jb20vcGltZ2FkLzU4MzUzOTAzNDY0MDkwMjcyNDUpAAAAAAAA8D9As9mEpb6m19hFUAFYBqIG1AEK0QEKHwodCMGu8YSWCBIUU29kYUxvZ28xMjAwICgxKS5wbmciqwEIgICAkKKk-_qzASCtrwIoAzqLAQiwCRCwCRo8aHR0cHM6Ly90cGMuZ29vZ2xlc3luZGljYXRpb24uY29tL3NpbWdhZC8xODQ0MTIwMjgyOTY0NTI5NDk2IjxodHRwczovL3RwYy5nb29nbGVzeW5kaWNhdGlvbi5jb20vcGltZ2FkLzE4NDQxMjAyODI5NjQ1Mjk0OTYpAAAAAAAA8D9A2eHnpOWt4bYLUAFYOKIG0wEK0AEKHwodCJXs_5jcCBIUU29kYWJ5REFMb2dvICgxKS5wbmciqgEIgICAkNKR-bJoIOq-ASgDOosBCLAJELAJGjxodHRwczovL3RwYy5nb29nbGVzeW5kaWNhdGlvbi5jb20vc2ltZ2FkLzU4MzUzOTAzNDY0MDkwMjcyNDUiPGh0dHBzOi8vdHBjLmdvb2dsZXN5bmRpY2F0aW9uLmNvbS9waW1nYWQvNTgzNTM5MDM0NjQwOTAyNzI0NSkAAAAAAADwP0Cz2YSlvqbX2EVQAVg4CocPCAESgg8qAKIGIwohCh0KGwj5-Oi12AjKAREKD0Z1bGx5IEF1dG9tYXRlZFggogYgCh4KGgoYCPz46LXYCMoBDgoMTm8gUGFwZXJ3b3JrWCCiBrEFCq4FCqkFCqYFCOqj756uCEqGBQoKU29kYSBieSBEQRoaUmVxdWVzdCBpbnN0YW50IGZyZWUgcXVvdGUiiwFXZSdyZSBleGNpdGVkIHRvIHNob3cgeW91IGEgYmV0dGVyIHdheSB0byBtYW5hZ2UgZW1wbG95ZWUgYmVuZWZpdHMuIEZpbGwgaW4geW91ciBkZXRhaWxzIHRvIGdldCBhIGZyZWUgb3ZlcnZpZXcgb2Ygb3VyIGFsbC1pbi1vbmUgcGxhdGZvcm0uKiNodHRwczovL3NvZGEuaW5zdXJlL3ByaXZhY3ktcG9saWN5LzIVU3VibWlzc2lvbiBzdWNjZXNzZnVsOlBUaGFua3MsIHdlJ3ZlIHJlY2VpdmVkIHlvdXIgZGV0YWlscyBhbmQgd2lsbCBiZSBpbiB0b3VjaCB3aXRoaW4gMyBidXNpbmVzcyBkYXlzLkIECAMoAEIECAwoAEIECAsoAEIECAEoAEpmCmQKOmh0dHBzOi8vaG9vay5ldTEubWFrZS5jb20vM3R0am4wdXV4eTFhZTR2Y3Uxb21ndmZlNDl1Z2I0YTISJDdhODllZTk0LWEyZGEtNDk5OC1hMzA2LWJiZmUzOGZhZGVmZBgBWgcIrJ_in64IYAFoDHIUYW5kIGdldCBhIGZyZWUgcXVvdGV4AYoBcQoaV2hhdCBzaXplIGlzIHlvdXIgY29tcGFueT8SUQoOMS0xMCBlbXBsb3llZXMKDzExLTUwIGVtcGxveWVlcwoQNTEtMjAwIGVtcGxveWVlcwoRMjAxLTUwMCBlbXBsb3llZXMKCUFib3ZlIDUwMDAAigEhCh1XaGF0IGluZHVzdHJ5IGRvIHlvdSB3b3JrIGluPzAAkgECZW5qFGh0dHBzOi8vc29kYS5pbnN1cmUvWBGiBpECCo4CCokCCoYCCISItoqWCKID-wEIBhoCZW4iTwoMU29kYSBTdGFydGVyEhZMb3ctY29zdCBwbGFuIGZvciBTTUVzGgcKA1NHRBAAIAQqHGh0dHBzOi8vc29kYS5pbnN1cmUvcHJpY2luZy8iTwoJU29kYSBQbHVzEhdJbmNsLiBub24tcGFuZWwgY2xpbmljcxoJCgNTR0QQgIl6IAQqHGh0dHBzOi8vc29kYS5pbnN1cmUvcHJpY2luZy8iUQoJU29kYSBGbGV4EhhDdXN0b21pc2VkIGZsZXggc3BlbmRpbmcaCgoDU0dEEICS9AEgBCocaHR0cHM6Ly9zb2RhLmluc3VyZS9wcmljaW5nL1gyogZ1CnMKbwptCMqY4_zACGocaHR0cHM6Ly9zb2RhLmluc3VyZS9wcmljaW5nL6oBRQoMVmlldyBQcmljaW5nEhlTaW1wbGUsIFRyYW5zcGFyZW50IFBsYW5zGhpDb21wYXJlIHBsYW5zIGFuZCBmZWF0dXJlc1gfogacAQqZAQqUAQqRAQjNmOP8wAhqMWh0dHBzOi8vc29kYS5pbnN1cmUvQUktcG93ZXJlZC1jbGFpbXMtYXV0b21hdGlvbi-qAVQKE0FJLVBvd2VyZWQgQmVuZWZpdHMSG0NsYWltcyBwcm9jZXNzZWQgaW4gc2Vjb25kcxogU3BlbmQgbGVzcyB0aW1lIGNoYXNpbmcgcmVjZWlwdHNYH6IGhAEKgQEKfQp7CNCY4_zACGoqaHR0cHM6Ly9zb2RhLmluc3VyZS9zZWxmLXNlcnZlLW9uYm9hcmRpbmcvqgFFChVTZWxmLVNlcnZlIE9uYm9hcmRpbmcSElNpZ24gdXAgaW4gbWludXRlcxoYQWRkIHlvdXIgdGVhbSBpbiBzZWNvbmRzWB-iBpEBCo4BCokBCoYBCNOY4_zACGotaHR0cHM6Ly9zb2RhLmluc3VyZS9zb2RhLWZvci1taWNyby1jb21wYW5pZXMvqgFNChZNaWNybyBDb21wYW5pZXMgKDEtMTApEh5TdGFydCBzbWFsbCwgc2NhbGUgYXMgeW91IGhpcmUaE05vIEhSIGRlcHQgcmVxdWlyZWRYH6IGlwEKlAEKjwEKjAEI1pjj_MAIai1odHRwczovL3NvZGEuaW5zdXJlL3NvZGEtZm9yLXNtYWxsLWNvbXBhbmllcy-qAVMKGFNtYWxsIEJ1c2luZXNzZXMgKDEwLTUwKRIiRG9uJ3Qgd2FzdGUgbW9uZXkgb24gaGlnaCBwcmVtaXVtcxoTU2V0IHlvdXIgb3duIGJ1ZGdldFgfogaZAQqWAQqRAQqOAQjZmOP8wAhqLmh0dHBzOi8vc29kYS5pbnN1cmUvc29kYS1mb3ItbWVkaXVtLWNvbXBhbmllcy-qAVQKFUZvciBNaWQtU2l6ZSAoNTEtMjAwKRIYU3RyZWFtbGluZSBIUiBvcGVyYXRpb25zGiFDb250cm9sIGNvc3RzICYgb3B0aW1pc2UgY292ZXJhZ2VYH6gBDRJOQUJDMnp1YjBYY2w5VHlvdGloeC1QVTNwMm5ZRENXbVRFd05PY21XRXNDc2VQX3diM0FSQUt3VmUwaTJwTXdnRDlHaXJ6cm93UEJaMFBRIhYSDEgBUAF4AJABAKABASgBOgEBQgECKIHb5OvxMzCAkPvTCToIEAEoHjAEOABCDkFXTl9DTV9FRElUSU5H" TargetMode="External"/><Relationship Id="rId25" Type="http://schemas.openxmlformats.org/officeDocument/2006/relationships/hyperlink" Target="https://www.facebook.com/61556882610880/posts/122300514662229420/" TargetMode="External"/><Relationship Id="rId28" Type="http://schemas.openxmlformats.org/officeDocument/2006/relationships/hyperlink" Target="https://www.facebook.com/61582455750244/posts/122127752223081858/?dco_ad_token=AaoJp1L9hWxIsE5cC7iUmfb-rA_fOSIhSX-_oTWXGGEko-M0Yg2rMoEZOcPwb7j8SfYCxXjPJFHbgv4P&amp;dco_ad_id=120243492609960544" TargetMode="External"/><Relationship Id="rId27" Type="http://schemas.openxmlformats.org/officeDocument/2006/relationships/hyperlink" Target="https://ads.google.com/aw_cm/ExternalPreview?ocid=7554764585&amp;euid=6504451576&amp;pt=CqlKCKmespIcEPibyJ0YGgVlbl9VU2KTSgqYLAgBEpMsIgCiBpYCOpMCCiF3d3cuc29kYS5pbnN1cmUvZW1wbG95ZWUvYmVuZWZpdHMSGUVtcGxveWVlIEhlYWx0aCBJbnN1cmFuY2UaHkZsZXhpLCBBZmZvcmRhYmxlLCBUcmFuc3BhcmVudCpYMiwwMDArIHRvdGFsIHBhbmVsIHByb3ZpZGVycyAtIEdQcywgc3BlY2lhbGlzdHMsIGhvc3BpdGFscywgZGVudGFsLCBhbmQgbW9yZS4gQm9vayBkZW1vLjJXU2V0dXAgZW1wbG95ZWUgYmVuZWZpdHMgaW4gbWludXRlcy4gR1AgdmlzaXRzICQxNC4xNy4gQ29zdC1lZmZlY3RpdmUgc29sdXRpb24gZm9yIFNNRXMuOAGiBpYCOpMCCiF3d3cuc29kYS5pbnN1cmUvZW1wbG95ZWUvYmVuZWZpdHMSGUVtcGxveWVlIEhlYWx0aCBJbnN1cmFuY2UaHkZsZXhpLCBBZmZvcmRhYmxlLCBUcmFuc3BhcmVudCpXUHJldmVudCBhYnVzZSB3aXRoIGNvLXBheSAmIGNhcC92aXNpdCBjb250cm9scy4gU3RheSB3aXRoaW4gYnVkZ2V0IGFuZCBwcmV2ZW50IG92ZXJ1c2UuMlgyLDAwMCsgdG90YWwgcGFuZWwgcHJvdmlkZXJzIC0gR1BzLCBzcGVjaWFsaXN0cywgaG9zcGl0YWxzLCBkZW50YWwsIGFuZCBtb3JlLiBCb29rIGRlbW8uOAGiBpECOo4CCiF3d3cuc29kYS5pbnN1cmUvZW1wbG95ZWUvYmVuZWZpdHMSGUVtcGxveWVlIEhlYWx0aCBJbnN1cmFuY2UaGVNpbXBsZSBUbyBPbmJvYXJkIGluIE1pbnMqWDIsMDAwKyB0b3RhbCBwYW5lbCBwcm92aWRlcnMgLSBHUHMsIHNwZWNpYWxpc3RzLCBob3NwaXRhbHMsIGRlbnRhbCwgYW5kIG1vcmUuIEJvb2sgZGVtby4yV1ByZXZlbnQgYWJ1c2Ugd2l0aCBjby1wYXkgJiBjYXAvdmlzaXQgY29udHJvbHMuIFN0YXkgd2l0aGluIGJ1ZGdldCBhbmQgcHJldmVudCBvdmVydXNlLjgBogaWAjqTAgohd3d3LnNvZGEuaW5zdXJlL2VtcGxveWVlL2JlbmVmaXRzEhxMb3ctY29zdCBPdXRwYXRpZW50IEJlbmVmaXRzGhtBdXRvbWF0ZWQgQ2xhaW1zIFByb2Nlc3NpbmcqWDIsMDAwKyB0b3RhbCBwYW5lbCBwcm92aWRlcnMgLSBHUHMsIHNwZWNpYWxpc3RzLCBob3NwaXRhbHMsIGRlbnRhbCwgYW5kIG1vcmUuIEJvb2sgZGVtby4yV1ByZXZlbnQgYWJ1c2Ugd2l0aCBjby1wYXkgJiBjYXAvdmlzaXQgY29udHJvbHMuIFN0YXkgd2l0aGluIGJ1ZGdldCBhbmQgcHJldmVudCBvdmVydXNlLjgBogaYAjqVAgohd3d3LnNvZGEuaW5zdXJlL2VtcGxveWVlL2JlbmVmaXRzEh1Tb2RhIGJ5IERBOiBFbXBsb3llZSBCZW5lZml0cxocVGFpbG9yZWQgZm9yIFN0YXJ0dXBzICYgU01FcypYMiwwMDArIHRvdGFsIHBhbmVsIHByb3ZpZGVycyAtIEdQcywgc3BlY2lhbGlzdHMsIGhvc3BpdGFscywgZGVudGFsLCBhbmQgbW9yZS4gQm9vayBkZW1vLjJXU2V0dXAgZW1wbG95ZWUgYmVuZWZpdHMgaW4gbWludXRlcy4gR1AgdmlzaXRzICQxNC4xNy4gQ29zdC1lZmZlY3RpdmUgc29sdXRpb24gZm9yIFNNRXMuOAGiBpUCOpICCiF3d3cuc29kYS5pbnN1cmUvZW1wbG95ZWUvYmVuZWZpdHMSGUVtcGxveWVlIEhlYWx0aCBJbnN1cmFuY2UaHENhc2hsZXNzIENsYWltcywgWmVybyBIYXNzbGUqV1NldHVwIGVtcGxveWVlIGJlbmVmaXRzIGluIG1pbnV0ZXMuIEdQIHZpc2l0cyAkMTQuMTcuIENvc3QtZWZmZWN0aXZlIHNvbHV0aW9uIGZvciBTTUVzLjJZUGF5LWFzLXlvdS11c2Ugd2l0aCBubyB3YXN0ZWQgcHJlbWl1bXMuIEZsZXhpYmxlLCBBZmZvcmRhYmxlLCBUcmFuc3BhcmVudC4gUmVxdWVzdCBxdW90ZS44AaIGrAI6qQIKIXd3dy5zb2RhLmluc3VyZS9lbXBsb3llZS9iZW5lZml0cxIdU29kYSBieSBEQTogRW1wbG95ZWUgQmVuZWZpdHMaFUdldCBTdGFydGVkIEluc3RhbnRseSIZU2ltcGxlIFRvIE9uYm9hcmQgaW4gTWlucypXU2V0dXAgZW1wbG95ZWUgYmVuZWZpdHMgaW4gbWludXRlcy4gR1AgdmlzaXRzICQxNC4xNy4gQ29zdC1lZmZlY3RpdmUgc29sdXRpb24gZm9yIFNNRXMuMlgyLDAwMCsgdG90YWwgcGFuZWwgcHJvdmlkZXJzIC0gR1BzLCBzcGVjaWFsaXN0cywgaG9zcGl0YWxzLCBkZW50YWwsIGFuZCBtb3JlLiBCb29rIGRlbW8uOAGiBpUCOpICCiF3d3cuc29kYS5pbnN1cmUvZW1wbG95ZWUvYmVuZWZpdHMSGUVtcGxveWVlIEhlYWx0aCBJbnN1cmFuY2UaHkZsZXhpLCBBZmZvcmRhYmxlLCBUcmFuc3BhcmVudCpXUHJldmVudCBhYnVzZSB3aXRoIGNvLXBheSAmIGNhcC92aXNpdCBjb250cm9scy4gU3RheSB3aXRoaW4gYnVkZ2V0IGFuZCBwcmV2ZW50IG92ZXJ1c2UuMldTZXR1cCBlbXBsb3llZSBiZW5lZml0cyBpbiBtaW51dGVzLiBHUCB2aXNpdHMgJDE0LjE3LiBDb3N0LWVmZmVjdGl2ZSBzb2x1dGlvbiBmb3IgU01Fcy44AaIGlQI6kgIKIXd3dy5zb2RhLmluc3VyZS9lbXBsb3llZS9iZW5lZml0cxIZRW1wbG95ZWUgSGVhbHRoIEluc3VyYW5jZRobQXV0b21hdGVkIENsYWltcyBQcm9jZXNzaW5nKllQYXktYXMteW91LXVzZSB3aXRoIG5vIHdhc3RlZCBwcmVtaXVtcy4gRmxleGlibGUsIEFmZm9yZGFibGUsIFRyYW5zcGFyZW50LiBSZXF1ZXN0IHF1b3RlLjJYMiwwMDArIHRvdGFsIHBhbmVsIHByb3ZpZGVycyAtIEdQcywgc3BlY2lhbGlzdHMsIGhvc3BpdGFscywgZGVudGFsLCBhbmQgbW9yZS4gQm9vayBkZW1vLjgBogaYAjqVAgohd3d3LnNvZGEuaW5zdXJlL2VtcGxveWVlL2JlbmVmaXRzEhxMb3ctY29zdCBPdXRwYXRpZW50IEJlbmVmaXRzGhxUYWlsb3JlZCBmb3IgU3RhcnR1cHMgJiBTTUVzKllQYXktYXMteW91LXVzZSB3aXRoIG5vIHdhc3RlZCBwcmVtaXVtcy4gRmxleGlibGUsIEFmZm9yZGFibGUsIFRyYW5zcGFyZW50LiBSZXF1ZXN0IHF1b3RlLjJXUHJldmVudCBhYnVzZSB3aXRoIGNvLXBheSAmIGNhcC92aXNpdCBjb250cm9scy4gU3RheSB3aXRoaW4gYnVkZ2V0IGFuZCBwcmV2ZW50IG92ZXJ1c2UuOAGiBpYCOpMCCiF3d3cuc29kYS5pbnN1cmUvZW1wbG95ZWUvYmVuZWZpdHMSGUVtcGxveWVlIEhlYWx0aCBJbnN1cmFuY2UaHkZsZXhpLCBBZmZvcmRhYmxlLCBUcmFuc3BhcmVudCpYMiwwMDArIHRvdGFsIHBhbmVsIHByb3ZpZGVycyAtIEdQcywgc3BlY2lhbGlzdHMsIGhvc3BpdGFscywgZGVudGFsLCBhbmQgbW9yZS4gQm9vayBkZW1vLjJXU2V0dXAgZW1wbG95ZWUgYmVuZWZpdHMgaW4gbWludXRlcy4gR1AgdmlzaXRzICQxNC4xNy4gQ29zdC1lZmZlY3RpdmUgc29sdXRpb24gZm9yIFNNRXMuOACiBpYCOpMCCiF3d3cuc29kYS5pbnN1cmUvZW1wbG95ZWUvYmVuZWZpdHMSGUVtcGxveWVlIEhlYWx0aCBJbnN1cmFuY2UaHkZsZXhpLCBBZmZvcmRhYmxlLCBUcmFuc3BhcmVudCpXUHJldmVudCBhYnVzZSB3aXRoIGNvLXBheSAmIGNhcC92aXNpdCBjb250cm9scy4gU3RheSB3aXRoaW4gYnVkZ2V0IGFuZCBwcmV2ZW50IG92ZXJ1c2UuMlgyLDAwMCsgdG90YWwgcGFuZWwgcHJvdmlkZXJzIC0gR1BzLCBzcGVjaWFsaXN0cywgaG9zcGl0YWxzLCBkZW50YWwsIGFuZCBtb3JlLiBCb29rIGRlbW8uOACiBpECOo4CCiF3d3cuc29kYS5pbnN1cmUvZW1wbG95ZWUvYmVuZWZpdHMSGUVtcGxveWVlIEhlYWx0aCBJbnN1cmFuY2UaGVNpbXBsZSBUbyBPbmJvYXJkIGluIE1pbnMqWDIsMDAwKyB0b3RhbCBwYW5lbCBwcm92aWRlcnMgLSBHUHMsIHNwZWNpYWxpc3RzLCBob3NwaXRhbHMsIGRlbnRhbCwgYW5kIG1vcmUuIEJvb2sgZGVtby4yV1ByZXZlbnQgYWJ1c2Ugd2l0aCBjby1wYXkgJiBjYXAvdmlzaXQgY29udHJvbHMuIFN0YXkgd2l0aGluIGJ1ZGdldCBhbmQgcHJldmVudCBvdmVydXNlLjgAogaWAjqTAgohd3d3LnNvZGEuaW5zdXJlL2VtcGxveWVlL2JlbmVmaXRzEhxMb3ctY29zdCBPdXRwYXRpZW50IEJlbmVmaXRzGhtBdXRvbWF0ZWQgQ2xhaW1zIFByb2Nlc3NpbmcqWDIsMDAwKyB0b3RhbCBwYW5lbCBwcm92aWRlcnMgLSBHUHMsIHNwZWNpYWxpc3RzLCBob3NwaXRhbHMsIGRlbnRhbCwgYW5kIG1vcmUuIEJvb2sgZGVtby4yV1ByZXZlbnQgYWJ1c2Ugd2l0aCBjby1wYXkgJiBjYXAvdmlzaXQgY29udHJvbHMuIFN0YXkgd2l0aGluIGJ1ZGdldCBhbmQgcHJldmVudCBvdmVydXNlLjgAogaYAjqVAgohd3d3LnNvZGEuaW5zdXJlL2VtcGxveWVlL2JlbmVmaXRzEh1Tb2RhIGJ5IERBOiBFbXBsb3llZSBCZW5lZml0cxocVGFpbG9yZWQgZm9yIFN0YXJ0dXBzICYgU01FcypYMiwwMDArIHRvdGFsIHBhbmVsIHByb3ZpZGVycyAtIEdQcywgc3BlY2lhbGlzdHMsIGhvc3BpdGFscywgZGVudGFsLCBhbmQgbW9yZS4gQm9vayBkZW1vLjJXU2V0dXAgZW1wbG95ZWUgYmVuZWZpdHMgaW4gbWludXRlcy4gR1AgdmlzaXRzICQxNC4xNy4gQ29zdC1lZmZlY3RpdmUgc29sdXRpb24gZm9yIFNNRXMuOACiBpUCOpICCiF3d3cuc29kYS5pbnN1cmUvZW1wbG95ZWUvYmVuZWZpdHMSGUVtcGxveWVlIEhlYWx0aCBJbnN1cmFuY2UaHENhc2hsZXNzIENsYWltcywgWmVybyBIYXNzbGUqV1NldHVwIGVtcGxveWVlIGJlbmVmaXRzIGluIG1pbnV0ZXMuIEdQIHZpc2l0cyAkMTQuMTcuIENvc3QtZWZmZWN0aXZlIHNvbHV0aW9uIGZvciBTTUVzLjJZUGF5LWFzLXlvdS11c2Ugd2l0aCBubyB3YXN0ZWQgcHJlbWl1bXMuIEZsZXhpYmxlLCBBZmZvcmRhYmxlLCBUcmFuc3BhcmVudC4gUmVxdWVzdCBxdW90ZS44AKIGkQI6jgIKIXd3dy5zb2RhLmluc3VyZS9lbXBsb3llZS9iZW5lZml0cxIdU29kYSBieSBEQTogRW1wbG95ZWUgQmVuZWZpdHMaFUdldCBTdGFydGVkIEluc3RhbnRseSpXU2V0dXAgZW1wbG95ZWUgYmVuZWZpdHMgaW4gbWludXRlcy4gR1AgdmlzaXRzICQxNC4xNy4gQ29zdC1lZmZlY3RpdmUgc29sdXRpb24gZm9yIFNNRXMuMlgyLDAwMCsgdG90YWwgcGFuZWwgcHJvdmlkZXJzIC0gR1BzLCBzcGVjaWFsaXN0cywgaG9zcGl0YWxzLCBkZW50YWwsIGFuZCBtb3JlLiBCb29rIGRlbW8uOACiBpUCOpICCiF3d3cuc29kYS5pbnN1cmUvZW1wbG95ZWUvYmVuZWZpdHMSGUVtcGxveWVlIEhlYWx0aCBJbnN1cmFuY2UaHkZsZXhpLCBBZmZvcmRhYmxlLCBUcmFuc3BhcmVudCpXUHJldmVudCBhYnVzZSB3aXRoIGNvLXBheSAmIGNhcC92aXNpdCBjb250cm9scy4gU3RheSB3aXRoaW4gYnVkZ2V0IGFuZCBwcmV2ZW50IG92ZXJ1c2UuMldTZXR1cCBlbXBsb3llZSBiZW5lZml0cyBpbiBtaW51dGVzLiBHUCB2aXNpdHMgJDE0LjE3LiBDb3N0LWVmZmVjdGl2ZSBzb2x1dGlvbiBmb3IgU01Fcy44AKIGlQI6kgIKIXd3dy5zb2RhLmluc3VyZS9lbXBsb3llZS9iZW5lZml0cxIZRW1wbG95ZWUgSGVhbHRoIEluc3VyYW5jZRobQXV0b21hdGVkIENsYWltcyBQcm9jZXNzaW5nKllQYXktYXMteW91LXVzZSB3aXRoIG5vIHdhc3RlZCBwcmVtaXVtcy4gRmxleGlibGUsIEFmZm9yZGFibGUsIFRyYW5zcGFyZW50LiBSZXF1ZXN0IHF1b3RlLjJYMiwwMDArIHRvdGFsIHBhbmVsIHByb3ZpZGVycyAtIEdQcywgc3BlY2lhbGlzdHMsIGhvc3BpdGFscywgZGVudGFsLCBhbmQgbW9yZS4gQm9vayBkZW1vLjgAogaYAjqVAgohd3d3LnNvZGEuaW5zdXJlL2VtcGxveWVlL2JlbmVmaXRzEhxMb3ctY29zdCBPdXRwYXRpZW50IEJlbmVmaXRzGhxUYWlsb3JlZCBmb3IgU3RhcnR1cHMgJiBTTUVzKllQYXktYXMteW91LXVzZSB3aXRoIG5vIHdhc3RlZCBwcmVtaXVtcy4gRmxleGlibGUsIEFmZm9yZGFibGUsIFRyYW5zcGFyZW50LiBSZXF1ZXN0IHF1b3RlLjJXUHJldmVudCBhYnVzZSB3aXRoIGNvLXBheSAmIGNhcC92aXNpdCBjb250cm9scy4gU3RheSB3aXRoaW4gYnVkZ2V0IGFuZCBwcmV2ZW50IG92ZXJ1c2UuOAAKBggBEgIyAArvDAgBEuoMCgYIodH76VeiBikKJwojCiEIxaPzl6sIygEXChVGbGV4aWJsZSAmIEFmZm9yZGFibGVYIKIGJAoiCh4KHAjIo_OXqwjKARIKEFBheS1QZXItVXNlIE9ubHlYIKIGKgooCiQKIgjLo_OXqwjKARgKFlBlcmZlY3QgZm9yIFNNRXMgJiBIUnNYIKIGLQorCicKJQjOo_OXqwjKARsKGTJrKyBUb3RhbCBQYW5lbCBQcm92aWRlcnNYIKIGsQUKrgUKqQUKpgUI6qPvnq4ISoYFCgpTb2RhIGJ5IERBGhpSZXF1ZXN0IGluc3RhbnQgZnJlZSBxdW90ZSKLAVdlJ3JlIGV4Y2l0ZWQgdG8gc2hvdyB5b3UgYSBiZXR0ZXIgd2F5IHRvIG1hbmFnZSBlbXBsb3llZSBiZW5lZml0cy4gRmlsbCBpbiB5b3VyIGRldGFpbHMgdG8gZ2V0IGEgZnJlZSBvdmVydmlldyBvZiBvdXIgYWxsLWluLW9uZSBwbGF0Zm9ybS4qI2h0dHBzOi8vc29kYS5pbnN1cmUvcHJpdmFjeS1wb2xpY3kvMhVTdWJtaXNzaW9uIHN1Y2Nlc3NmdWw6UFRoYW5rcywgd2UndmUgcmVjZWl2ZWQgeW91ciBkZXRhaWxzIGFuZCB3aWxsIGJlIGluIHRvdWNoIHdpdGhpbiAzIGJ1c2luZXNzIGRheXMuQgQIAygAQgQIDCgAQgQICygAQgQIASgASmYKZAo6aHR0cHM6Ly9ob29rLmV1MS5tYWtlLmNvbS8zdHRqbjB1dXh5MWFlNHZjdTFvbWd2ZmU0OXVnYjRhMhIkN2E4OWVlOTQtYTJkYS00OTk4LWEzMDYtYmJmZTM4ZmFkZWZkGAFaBwisn-KfrghgAWgMchRhbmQgZ2V0IGEgZnJlZSBxdW90ZXgBigFxChpXaGF0IHNpemUgaXMgeW91ciBjb21wYW55PxJRCg4xLTEwIGVtcGxveWVlcwoPMTEtNTAgZW1wbG95ZWVzChA1MS0yMDAgZW1wbG95ZWVzChEyMDEtNTAwIGVtcGxveWVlcwoJQWJvdmUgNTAwMACKASEKHVdoYXQgaW5kdXN0cnkgZG8geW91IHdvcmsgaW4_MACSAQJlbmoUaHR0cHM6Ly9zb2RhLmluc3VyZS9YEaIGbwptCmkKZwiMs6LNvgmiAV0KEkluc3VyYW5jZSBjb3ZlcmFnZRIWQmVuZWZpdHMgYnVpbHQgdG8gZmxleBIUUmVkdWNlIHlvdXIgSFIgYWRtaW4SGVNpbXBsaWZ5IGVtcGxveWVlIGJlbmVmaXRYHqIG1QEK0gEKHQobCOr2yea-CRISMTc2ODA2Mjc1NTMwMi5qcGVnIq4BCICAgJDqlLqx0wEgu_sCKAE6jQEIoAYQoAYaPWh0dHBzOi8vdHBjLmdvb2dsZXN5bmRpY2F0aW9uLmNvbS9zaW1nYWQvMTE3NzM5OTc4MzIxMzc0NTQyMzIiPWh0dHBzOi8vdHBjLmdvb2dsZXN5bmRpY2F0aW9uLmNvbS9waW1nYWQvMTE3NzM5OTc4MzIxMzc0NTQyMzIpAAAAAAAA8D9Avo6E_t3ZyYOjAVABWDuiBtYBCtMBCiAKHgjH6oiwrQoSFUNvc3RfMTIwMHgxMjAwLTA1LmpwZyKsAQiAgICQjoumpYkBILqE_wEoATqLAQiJJxCIJxo8aHR0cHM6Ly90cGMuZ29vZ2xlc3luZGljYXRpb24uY29tL3NpbWdhZC81NTQ2NzM3ODE2NDE2MjQ2ODcyIjxodHRwczovL3RwYy5nb29nbGVzeW5kaWNhdGlvbi5jb20vcGltZ2FkLzU1NDY3Mzc4MTY0MTYyNDY4NzIps8NJp1z-7z9AprLE05Dcz98nUAFYO6IG1AEK0QEKHwodCMGu8YSWCBIUU29kYUxvZ28xMjAwICgxKS5wbmciqwEIgICAkKKk-_qzASCtrwIoAzqLAQiwCRCwCRo8aHR0cHM6Ly90cGMuZ29vZ2xlc3luZGljYXRpb24uY29tL3NpbWdhZC8xODQ0MTIwMjgyOTY0NTI5NDk2IjxodHRwczovL3RwYy5nb29nbGVzeW5kaWNhdGlvbi5jb20vcGltZ2FkLzE4NDQxMjAyODI5NjQ1Mjk0OTYpAAAAAAAA8D9A2eHnpOWt4bYLUAFYOAr4EAgBEvMQKgCiBiMKIQodChsI-fjotdgIygERCg9GdWxseSBBdXRvbWF0ZWRYIKIGIAoeChoKGAj8-Oi12AjKAQ4KDE5vIFBhcGVyd29ya1ggogaxBQquBQqpBQqmBQjqo--erghKhgUKClNvZGEgYnkgREEaGlJlcXVlc3QgaW5zdGFudCBmcmVlIHF1b3RlIosBV2UncmUgZXhjaXRlZCB0byBzaG93IHlvdSBhIGJldHRlciB3YXkgdG8gbWFuYWdlIGVtcGxveWVlIGJlbmVmaXRzLiBGaWxsIGluIHlvdXIgZGV0YWlscyB0byBnZXQgYSBmcmVlIG92ZXJ2aWV3IG9mIG91ciBhbGwtaW4tb25lIHBsYXRmb3JtLiojaHR0cHM6Ly9zb2RhLmluc3VyZS9wcml2YWN5LXBvbGljeS8yFVN1Ym1pc3Npb24gc3VjY2Vzc2Z1bDpQVGhhbmtzLCB3ZSd2ZSByZWNlaXZlZCB5b3VyIGRldGFpbHMgYW5kIHdpbGwgYmUgaW4gdG91Y2ggd2l0aGluIDMgYnVzaW5lc3MgZGF5cy5CBAgDKABCBAgMKABCBAgLKABCBAgBKABKZgpkCjpodHRwczovL2hvb2suZXUxLm1ha2UuY29tLzN0dGpuMHV1eHkxYWU0dmN1MW9tZ3ZmZTQ5dWdiNGEyEiQ3YTg5ZWU5NC1hMmRhLTQ5OTgtYTMwNi1iYmZlMzhmYWRlZmQYAVoHCKyf4p-uCGABaAxyFGFuZCBnZXQgYSBmcmVlIHF1b3RleAGKAXEKGldoYXQgc2l6ZSBpcyB5b3VyIGNvbXBhbnk_ElEKDjEtMTAgZW1wbG95ZWVzCg8xMS01MCBlbXBsb3llZXMKEDUxLTIwMCBlbXBsb3llZXMKETIwMS01MDAgZW1wbG95ZWVzCglBYm92ZSA1MDAwAIoBIQodV2hhdCBpbmR1c3RyeSBkbyB5b3Ugd29yayBpbj8wAJIBAmVuahRodHRwczovL3NvZGEuaW5zdXJlL1gRogaRAgqOAgqJAgqGAgiEiLaKlgiiA_sBCAYaAmVuIk8KDFNvZGEgU3RhcnRlchIWTG93LWNvc3QgcGxhbiBmb3IgU01FcxoHCgNTR0QQACAEKhxodHRwczovL3NvZGEuaW5zdXJlL3ByaWNpbmcvIk8KCVNvZGEgUGx1cxIXSW5jbC4gbm9uLXBhbmVsIGNsaW5pY3MaCQoDU0dEEICJeiAEKhxodHRwczovL3NvZGEuaW5zdXJlL3ByaWNpbmcvIlEKCVNvZGEgRmxleBIYQ3VzdG9taXNlZCBmbGV4IHNwZW5kaW5nGgoKA1NHRBCAkvQBIAQqHGh0dHBzOi8vc29kYS5pbnN1cmUvcHJpY2luZy9YMqIGdQpzCm8KbQjKmOP8wAhqHGh0dHBzOi8vc29kYS5pbnN1cmUvcHJpY2luZy-qAUUKDFZpZXcgUHJpY2luZxIZU2ltcGxlLCBUcmFuc3BhcmVudCBQbGFucxoaQ29tcGFyZSBwbGFucyBhbmQgZmVhdHVyZXNYH6IGnAEKmQEKlAEKkQEIzZjj_MAIajFodHRwczovL3NvZGEuaW5zdXJlL0FJLXBvd2VyZWQtY2xhaW1zLWF1dG9tYXRpb24vqgFUChNBSS1Qb3dlcmVkIEJlbmVmaXRzEhtDbGFpbXMgcHJvY2Vzc2VkIGluIHNlY29uZHMaIFNwZW5kIGxlc3MgdGltZSBjaGFzaW5nIHJlY2VpcHRzWB-iBoQBCoEBCn0KewjQmOP8wAhqKmh0dHBzOi8vc29kYS5pbnN1cmUvc2VsZi1zZXJ2ZS1vbmJvYXJkaW5nL6oBRQoVU2VsZi1TZXJ2ZSBPbmJvYXJkaW5nEhJTaWduIHVwIGluIG1pbnV0ZXMaGEFkZCB5b3VyIHRlYW0gaW4gc2Vjb25kc1gfogaRAQqOAQqJAQqGAQjTmOP8wAhqLWh0dHBzOi8vc29kYS5pbnN1cmUvc29kYS1mb3ItbWljcm8tY29tcGFuaWVzL6oBTQoWTWljcm8gQ29tcGFuaWVzICgxLTEwKRIeU3RhcnQgc21hbGwsIHNjYWxlIGFzIHlvdSBoaXJlGhNObyBIUiBkZXB0IHJlcXVpcmVkWB-iBpcBCpQBCo8BCowBCNaY4_zACGotaHR0cHM6Ly9zb2RhLmluc3VyZS9zb2RhLWZvci1zbWFsbC1jb21wYW5pZXMvqgFTChhTbWFsbCBCdXNpbmVzc2VzICgxMC01MCkSIkRvbid0IHdhc3RlIG1vbmV5IG9uIGhpZ2ggcHJlbWl1bXMaE1NldCB5b3VyIG93biBidWRnZXRYH6IGmQEKlgEKkQEKjgEI2Zjj_MAIai5odHRwczovL3NvZGEuaW5zdXJlL3NvZGEtZm9yLW1lZGl1bS1jb21wYW5pZXMvqgFUChVGb3IgTWlkLVNpemUgKDUxLTIwMCkSGFN0cmVhbWxpbmUgSFIgb3BlcmF0aW9ucxohQ29udHJvbCBjb3N0cyAmIG9wdGltaXNlIGNvdmVyYWdlWB-iBh0KGwoXChUIvM3NhJYIGgwKClNvZGEgYnkgREFYKaIGzQEKygEKFwoVCJL68ND8CBIMbG9nbyAoMikucG5nIqwBCICAgJDGh-_fAyDOUygDOo0BCNEFENAFGj1odHRwczovL3RwYy5nb29nbGVzeW5kaWNhdGlvbi5jb20vc2ltZ2FkLzE2NzM2MDk1MzI0Mjk4MDM3MTU4Ij1odHRwczovL3RwYy5nb29nbGVzeW5kaWNhdGlvbi5jb20vcGltZ2FkLzE2NzM2MDk1MzI0Mjk4MDM3MTU4KcRYJlSj9O8_QJuf9o_Prd3mpgFQAVg4oAEkEk5BQkMyenVaaGd3azlhaDhuRjlROFpRRjFWQXpnaEFoaTBURVhhRlNQWDVWbzdUU2VCdm1CbjdXYUdJYlp2ekNCOTJQY1AxNUJseXgza2ciExIMSAFQAVgBYAFoAXABKAFCAQIohrjo6_EzMICQ-9MJOggQASgeMAQ4AEIOQVdOX0NNX0VESVRJTkc=" TargetMode="External"/><Relationship Id="rId5" Type="http://schemas.openxmlformats.org/officeDocument/2006/relationships/hyperlink" Target="https://docs.google.com/spreadsheets/d/15Uxx-YkKWNObfsNlBn7AzgdXxfAOh-YHd6RwmRMdHMk/edit?gid=1995331947" TargetMode="External"/><Relationship Id="rId6" Type="http://schemas.openxmlformats.org/officeDocument/2006/relationships/hyperlink" Target="https://docs.google.com/spreadsheets/d/1uN0zNRCxqlUzio8pZffKsK6-v_Iz-gB1WO_KqEEMPMg/edit?usp=sharing" TargetMode="External"/><Relationship Id="rId29" Type="http://schemas.openxmlformats.org/officeDocument/2006/relationships/hyperlink" Target="https://docs.google.com/presentation/d/16a59qL7EzK5AanRrwc2XzpLRxrH2fa5wXD9LcyXd7lk/edit?slide=id.g3cc86069cd3_0_0" TargetMode="External"/><Relationship Id="rId7" Type="http://schemas.openxmlformats.org/officeDocument/2006/relationships/hyperlink" Target="https://docs.google.com/spreadsheets/d/1RFJWqmKuJv0cX1kG3PMjwakTreVb_BdBSKVcrbIp66U/edit?usp=sharing" TargetMode="External"/><Relationship Id="rId8" Type="http://schemas.openxmlformats.org/officeDocument/2006/relationships/hyperlink" Target="https://docs.google.com/spreadsheets/d/13E0RaFVuxG5OmuEy0E-iHRCQYw3k9c3sAHZ5g1LSR4E/edit?usp=sharing" TargetMode="External"/><Relationship Id="rId31" Type="http://schemas.openxmlformats.org/officeDocument/2006/relationships/hyperlink" Target="https://docs.google.com/presentation/d/17bl64_jy9dxfAeQXXpgNepaLiwajVk3Vpyds-5g0CG0/edit?slide=id.g3cc86069cd3_0_0" TargetMode="External"/><Relationship Id="rId30" Type="http://schemas.openxmlformats.org/officeDocument/2006/relationships/hyperlink" Target="https://docs.google.com/presentation/d/1ZqPGDu0l3ZxcyqUbHnZzNtgC8xMA2AhwMQJLfV60LYo/edit?usp=sharing" TargetMode="External"/><Relationship Id="rId11" Type="http://schemas.openxmlformats.org/officeDocument/2006/relationships/hyperlink" Target="https://ads.google.com/aw_cm/ExternalPreview?ocid=243625884&amp;euid=6504451576&amp;pt=CopGCJzflXQQ-JvInRgaBWVuX1VTYvVFCqUzCAESoDMSuwIquAJodHRwczovL2RvY3RvcmFueXdoZXJlLmNvbS9kYS12aXJ0dWFsLWNsaW5pYz93cHNyYz1Hb29nbGUlMjBBZFdvcmRzJndwY2lkPSU3QmNhbXBhaWduaWQlN0Qmd3BzY2lkPSU3QmFkZ3JvdXBpZCU3RCZ3cGNyaWQ9JTdCY3JlYXRpdmUlN0Qmd3Brd2lkPSU3QnRhcmdldGlkJTdEJndwa3duPSU3QmtleXdvcmQlN0Qmd3BrbWF0Y2g9JTdCbWF0Y2h0eXBlJTdEJndwc25ldG49JTdCbmV0d29yayU3RCZ1dG1fY2FtcGFpZ249dmlydHVhbC1jbGluaWMtcG1heCZ1dG1fc291cmNlPWdvb2dsZSZ1dG1fY29udGVudD1mbHUtc3VyZ2UmdXRtX21lZGl1bT1jcGOiBicKJQohCh8aHQobRG9jdG9yIGluIDUgTWlucywgTm8gVHJhdmVsWAGiBiQKIgoeChwaGgoYMjQvNyBPbmxpbmUgTWVkaWNhbCBDYXJlWAGiBiAKHgoaChgaFgoUU2tpcCB0aGUgQ2xpbmljIFdhaXRYAaIGIwohCh0KGxoZChdSZWFsIERvY3RvcnMsIFJlYWwgQ2FyZVgBogYlCiMKHwodGhsKGU1lZHMgRGVsaXZlcmVkIGluIDMgSG91cnNYAaIGJgokCiAKHhocChpTZWUgYSBHUCBBbnl0aW1lLCBBbnl3aGVyZVgBogYpCicKIwohGh8KHUhlYWx0aGNhcmUgYXQgWW91ciBGaW5nZXJ0aXBzWAGiBioKKAokCiIaIAoeRG9jdG9ycyBBdmFpbGFibGUgRGF5IG9yIG5pZ2h0WAGiBiUKIwofCh0aGwoZQ2FyZSBXaXRob3V0IExlYXZpbmcgSG9tZVgBogYjCiEKHQobGhkKF09uLURlbWFuZCBEb2N0b3IgVmlzaXRzWAGiBiQKIgoeChwaGgoYR2V0IFRydXN0ZWQgTWVkaWNhbCBIZWxwWAGiBiEKHwobChkaFwoVU3BlYWsgdG8gYSBEb2N0b3IgTm93WAGiBiMKIQodChsaGQoXQXZvaWQgQ3Jvd2RzLCBTdGF5IFNhZmVYAaIGIAoeChoKGBoWChRObyBRdWV1ZXMsIE5vIFRyYXZlbFgBogYkCiIKHgocGhoKGENsaW5pYyBXYWl0cz8gR28gT25saW5lIVgBogZaClgKVApSGlAKTlNraXAgY2xpbmljIHF1ZXVlcyBhbmQgZ2V0IGEgZG9jdG9yIGluIDUgbWludXRlcyBmcm9tIHRoZSBjb21mb3J0IG9mIHlvdXIgaG9tZVgCogZaClgKVApSGlAKTkNvbnZlbmllbnQgY2FyZSB3aGVuIHlvdSBuZWVkIGl0IOKAlCBmcmllbmRseSBkb2N0b3JzIGF2YWlsYWJsZSBhbnl0aW1lIG9ubGluZVgCogZmCmQKYApeGlwKWkZhc3QsIHJlbGlhYmxlIHZpcnR1YWwgY2FyZSB3aXRoIG5vIHNpY2sgY3Jvd2RzIOKAlCBkb2N0b3IgdmlzaXRzIG1hZGUgZWFzeSBhbmQgYWNjZXNzaWJsZVgCogZcCloKVgpUGlIKUFNlZSBhIGRvY3RvciBvbmxpbmUgaW4gNSBtaW5zIGFuZCBnZXQgbWVkcyBkZWxpdmVyZWQgdG8geW91ciBkb29yc3RlcCBpbiAzIGhvdXJzWAKiBlYKVApQCk4aTApKQXZvaWQgY3Jvd2RlZCBjbGluaWNz4oCUc2VlIGEgZnJpZW5kbHkgZG9jdG9yIG9ubGluZSBhbnl0aW1lLCBkYXkgb3IgbmlnaHRYAqIGWwpZClUKUxpRCk9TZWUgYSBkb2N0b3IgaW4gNSBtaW51dGVzLCBhbnl0aW1lLCBhbnl3aGVyZSwgd2l0aCBmcmllbmRseSBjYXJlIHlvdSBjYW4gdHJ1c3QuWAOiBmUKYwpfCl0aWwpZQWNjZXNzIGRvY3RvcnMgMjQvNyBwbHVzIG1lZGljYXRpb24gZGVsaXZlcmVkIHRvIHlvdXIgZG9vcnN0ZXAgaW4gMyBob3VycyAtIGV2ZW4gYXQgbmlnaHRYA6IGZgpkCmAKXhpcClpMYXRlLW5pZ2h0IHdvcnJpZXM_IERvY3RvcnMgYXJlIG9ubGluZSAyNC83IOKAlCBnZXQgY2FyZSBpbiBtaW51dGVzLiBTcGVhayB0byBhIGRvY3RvciBub3dYA6IGWwpZClUKUxpRCk9SZWFsIGRvY3RvcnMgb24gZGVtYW5kLCBkYXkgb3IgbmlnaHQuIFN0YXJ0IHlvdXIgY29uc3VsdGF0aW9uIGFueXdoZXJlIHlvdSBhcmUuWAOiBk4KTApICkYaRApCRXhwZXJpZW5jZSB2aXJ0dWFsIGhlYWx0aGNhcmUgZGVzaWduZWQgZm9yIHlvdXIgYnVzeSwgbW9kZXJuIGxpZmUuWAOiBskBCsYBCikKJwjl_cqciQkSHkNvcHkgb2YgRG9jSW41XzYoMTIwMHg2MjgpLmpwZyKWAQiAgICQ8q3Dq98BIOfICDqCAQjpCRDhEho8aHR0cHM6Ly90cGMuZ29vZ2xlc3luZGljYXRpb24uY29tL3NpbWdhZC81NDQ2MDI4OTcwMzU2MzM3MTk4IjxodHRwczovL3RwYy5nb29nbGVzeW5kaWNhdGlvbi5jb20vcGltZ2FkLzU0NDYwMjg5NzAzNTYzMzcxOThQAVgEogbJAQrGAQopCicIuJ3KnIkJEh5Db3B5IG9mIERvY0luNV83KDEyMDB4NjI4KS5qcGcilgEIgICAkPKt3bWjASDLogg6ggEI6QkQ4RIaPGh0dHBzOi8vdHBjLmdvb2dsZXN5bmRpY2F0aW9uLmNvbS9zaW1nYWQvNzE4MDE3MDM0MTA5MjQxODg5OCI8aHR0cHM6Ly90cGMuZ29vZ2xlc3luZGljYXRpb24uY29tL3BpbWdhZC83MTgwMTcwMzQxMDkyNDE4ODk4UAFYBKIGyAEKxQEKKQonCJGQ9PWICRIeQ29weSBvZiBEb2NJbjVfNCgxMjAweDYyOCkuanBnIpUBCICAgJDyrYOcEiCwlQg6ggEI6QkQ4RIaPGh0dHBzOi8vdHBjLmdvb2dsZXN5bmRpY2F0aW9uLmNvbS9zaW1nYWQvOTM4ODc5Mjc1MjczMjcxMTkxNSI8aHR0cHM6Ly90cGMuZ29vZ2xlc3luZGljYXRpb24uY29tL3BpbWdhZC85Mzg4NzkyNzUyNzMyNzExOTE1UAFYBKIGyQEKxgEKKQonCM7gypyJCRIeQ29weSBvZiBEb2NJbjVfNSgxMjAweDYyOCkuanBnIpYBCICAgJDyrd3MzAEg3LEIOoIBCOkJEOESGjxodHRwczovL3RwYy5nb29nbGVzeW5kaWNhdGlvbi5jb20vc2ltZ2FkLzUyOTc5NjY0NTg4NTE0MTMxMTgiPGh0dHBzOi8vdHBjLmdvb2dsZXN5bmRpY2F0aW9uLmNvbS9waW1nYWQvNTI5Nzk2NjQ1ODg1MTQxMzExOFABWASiBssBCsgBCioKKAix18yciQkSH0NvcHkgb2YgRG9jSW41XzUoMTIwMHgxMjAwKS5qcGcilwEIgICAkPKtw7U4IJfBDTqEAQjhEhDhEho9aHR0cHM6Ly90cGMuZ29vZ2xlc3luZGljYXRpb24uY29tL3NpbWdhZC8xMDk3MzMyMTUzOTc5NjY1NDUxNyI9aHR0cHM6Ly90cGMuZ29vZ2xlc3luZGljYXRpb24uY29tL3BpbWdhZC8xMDk3MzMyMTUzOTc5NjY1NDUxN1ABWAWiBswBCskBCioKKAiU2MyciQkSH0NvcHkgb2YgRG9jSW41XzYoMTIwMHgxMjAwKS5qcGcimAEIgICAkPKt3duDASDhlQ86hAEI4RIQ4RIaPWh0dHBzOi8vdHBjLmdvb2dsZXN5bmRpY2F0aW9uLmNvbS9zaW1nYWQvMTM0MjI1Mjc3NjkyMDc1NDY5NDAiPWh0dHBzOi8vdHBjLmdvb2dsZXN5bmRpY2F0aW9uLmNvbS9waW1nYWQvMTM0MjI1Mjc3NjkyMDc1NDY5NDBQAVgFogbJAQrGAQoqCigIl9jMnIkJEh9Db3B5IG9mIERvY0luNV83KDEyMDB4MTIwMCkuanBnIpUBCICAgJDyrd3cICDf-gw6ggEI4RIQ4RIaPGh0dHBzOi8vdHBjLmdvb2dsZXN5bmRpY2F0aW9uLmNvbS9zaW1nYWQvNDM3NjIzODI3MjY4NDAyNzI2OCI8aHR0cHM6Ly90cGMuZ29vZ2xlc3luZGljYXRpb24uY29tL3BpbWdhZC80Mzc2MjM4MjcyNjg0MDI3MjY4UAFYBaIGygEKxwEKKgooCKnYzJyJCRIfQ29weSBvZiBEb2NJbjVfNCgxMjAweDEyMDApLmpwZyKWAQiAgICQ8q39954BIPbIDjqCAQjhEhDhEho8aHR0cHM6Ly90cGMuZ29vZ2xlc3luZGljYXRpb24uY29tL3NpbWdhZC8zNTAzOTQyMjAyNDM3MTU1NjQzIjxodHRwczovL3RwYy5nb29nbGVzeW5kaWNhdGlvbi5jb20vcGltZ2FkLzM1MDM5NDIyMDI0MzcxNTU2NDNQAVgFogbKAQrHAQopCicIvriFrIkJEh5Db3B5IG9mIERvY0luNV82KDk2MHgxMjAwKS5qcGcilwEIgICAkPKt3c1vIOCQDDqEAQjhEhCBDxo9aHR0cHM6Ly90cGMuZ29vZ2xlc3luZGljYXRpb24uY29tL3NpbWdhZC8xMDA1ODA0MjIwNDc4MzI4MzAxNiI9aHR0cHM6Ly90cGMuZ29vZ2xlc3luZGljYXRpb24uY29tL3BpbWdhZC8xMDA1ODA0MjIwNDc4MzI4MzAxNlABWCGiBssBCsgBCikKJwjBuIWsiQkSHkNvcHkgb2YgRG9jSW41XzcoOTYweDEyMDApLmpwZyKYAQiAgICQ8q3djYgBIIeOCzqEAQjhEhCBDxo9aHR0cHM6Ly90cGMuZ29vZ2xlc3luZGljYXRpb24uY29tL3NpbWdhZC8xMzE1NDMzNTQxNTEzMDU5NzI3NSI9aHR0cHM6Ly90cGMuZ29vZ2xlc3luZGljYXRpb24uY29tL3BpbWdhZC8xMzE1NDMzNTQxNTEzMDU5NzI3NVABWCGiBskBCsYBCikKJwjpnfT1iAkSHkNvcHkgb2YgRG9jSW41XzQoOTYweDEyMDApLmpwZyKWAQiAgICQ8q29rpwBIP6BDTqCAQjhEhCBDxo8aHR0cHM6Ly90cGMuZ29vZ2xlc3luZGljYXRpb24uY29tL3NpbWdhZC8yMTc2MjUwMDEzNzY0MjE2ODg5IjxodHRwczovL3RwYy5nb29nbGVzeW5kaWNhdGlvbi5jb20vcGltZ2FkLzIxNzYyNTAwMTM3NjQyMTY4ODlQAVghogbHAQrEAQopCicIktb39YgJEh5Db3B5IG9mIERvY0luNV81KDk2MHgxMjAwKS5qcGcilAEIgICAkPKt_cXkASC7vQs6gAEI4RIQgQ8aO2h0dHBzOi8vdHBjLmdvb2dsZXN5bmRpY2F0aW9uLmNvbS9zaW1nYWQvMzI5OTI3MzQxNDk0ODUzMTU3IjtodHRwczovL3RwYy5nb29nbGVzeW5kaWNhdGlvbi5jb20vcGltZ2FkLzMyOTkyNzM0MTQ5NDg1MzE1N1ABWCGiBrsBCrgBChgKFgiGo4P4jgkqDQoLeGJZMlpJZm1LUm86mQEKG0RvY3RvciBpbiA1IE1pbnMsIE5vIFRyYXZlbBDVdRowaHR0cHM6Ly9pLnl0aW1nLmNvbS92aS94YlkyWklmbUtSby9ocWRlZmF1bHQuanBnIQAAAAAAAOI_Og9Eb2N0b3IgQW55d2hlcmVCK2h0dHBzOi8vd3d3LnlvdXR1YmUuY29tL3dhdGNoP3Y9eGJZMlpJZm1LUm9YDKIGuwEKuAEKGAoWCImjg_iOCSoNCgt6T2VKbWpLZzhsVTqZAQobRG9jdG9yIGluIDUgTWlucywgTm8gVHJhdmVsEN11GjBodHRwczovL2kueXRpbWcuY29tL3ZpL3pPZUptaktnOGxVL2hxZGVmYXVsdC5qcGchHMdxHMdx_D86D0RvY3RvciBBbnl3aGVyZUIraHR0cHM6Ly93d3cueW91dHViZS5jb20vd2F0Y2g_dj16T2VKbWpLZzhsVVgMoga7AQq4AQoYChYIjKOD-I4JKg0KC2dzX3h1dVRQSThROpkBChtEb2N0b3IgaW4gNSBNaW5zLCBObyBUcmF2ZWwQ1XUaMGh0dHBzOi8vaS55dGltZy5jb20vdmkvZ3NfeHV1VFBJOFEvaHFkZWZhdWx0LmpwZyEAAAAAAADwPzoPRG9jdG9yIEFueXdoZXJlQitodHRwczovL3d3dy55b3V0dWJlLmNvbS93YXRjaD92PWdzX3h1dVRQSThRWAyiBg0KCwoHCgWCAgIIB1googbJAQrGAQopCicI5f3KnIkJEh5Db3B5IG9mIERvY0luNV82KDEyMDB4NjI4KS5qcGcilgEIgICAkPKtw6vfASDnyAg6ggEI6QkQ4RIaPGh0dHBzOi8vdHBjLmdvb2dsZXN5bmRpY2F0aW9uLmNvbS9zaW1nYWQvNTQ0NjAyODk3MDM1NjMzNzE5OCI8aHR0cHM6Ly90cGMuZ29vZ2xlc3luZGljYXRpb24uY29tL3BpbWdhZC81NDQ2MDI4OTcwMzU2MzM3MTk4UAFYO6IGyQEKxgEKKQonCLidypyJCRIeQ29weSBvZiBEb2NJbjVfNygxMjAweDYyOCkuanBnIpYBCICAgJDyrd21owEgy6IIOoIBCOkJEOESGjxodHRwczovL3RwYy5nb29nbGVzeW5kaWNhdGlvbi5jb20vc2ltZ2FkLzcxODAxNzAzNDEwOTI0MTg4OTgiPGh0dHBzOi8vdHBjLmdvb2dsZXN5bmRpY2F0aW9uLmNvbS9waW1nYWQvNzE4MDE3MDM0MTA5MjQxODg5OFABWDuiBsgBCsUBCikKJwiRkPT1iAkSHkNvcHkgb2YgRG9jSW41XzQoMTIwMHg2MjgpLmpwZyKVAQiAgICQ8q2DnBIgsJUIOoIBCOkJEOESGjxodHRwczovL3RwYy5nb29nbGVzeW5kaWNhdGlvbi5jb20vc2ltZ2FkLzkzODg3OTI3NTI3MzI3MTE5MTUiPGh0dHBzOi8vdHBjLmdvb2dsZXN5bmRpY2F0aW9uLmNvbS9waW1nYWQvOTM4ODc5Mjc1MjczMjcxMTkxNVABWDuiBskBCsYBCikKJwjO4MqciQkSHkNvcHkgb2YgRG9jSW41XzUoMTIwMHg2MjgpLmpwZyKWAQiAgICQ8q3dzMwBINyxCDqCAQjpCRDhEho8aHR0cHM6Ly90cGMuZ29vZ2xlc3luZGljYXRpb24uY29tL3NpbWdhZC81Mjk3OTY2NDU4ODUxNDEzMTE4IjxodHRwczovL3RwYy5nb29nbGVzeW5kaWNhdGlvbi5jb20vcGltZ2FkLzUyOTc5NjY0NTg4NTE0MTMxMThQAVg7ogbLAQrIAQoqCigIsdfMnIkJEh9Db3B5IG9mIERvY0luNV81KDEyMDB4MTIwMCkuanBnIpcBCICAgJDyrcO1OCCXwQ06hAEI4RIQ4RIaPWh0dHBzOi8vdHBjLmdvb2dsZXN5bmRpY2F0aW9uLmNvbS9zaW1nYWQvMTA5NzMzMjE1Mzk3OTY2NTQ1MTciPWh0dHBzOi8vdHBjLmdvb2dsZXN5bmRpY2F0aW9uLmNvbS9waW1nYWQvMTA5NzMzMjE1Mzk3OTY2NTQ1MTdQAVg7ogbMAQrJAQoqCigIlNjMnIkJEh9Db3B5IG9mIERvY0luNV82KDEyMDB4MTIwMCkuanBnIpgBCICAgJDyrd3bgwEg4ZUPOoQBCOESEOESGj1odHRwczovL3RwYy5nb29nbGVzeW5kaWNhdGlvbi5jb20vc2ltZ2FkLzEzNDIyNTI3NzY5MjA3NTQ2OTQwIj1odHRwczovL3RwYy5nb29nbGVzeW5kaWNhdGlvbi5jb20vcGltZ2FkLzEzNDIyNTI3NzY5MjA3NTQ2OTQwUAFYO6IGyQEKxgEKKgooCJfYzJyJCRIfQ29weSBvZiBEb2NJbjVfNygxMjAweDEyMDApLmpwZyKVAQiAgICQ8q3d3CAg3_oMOoIBCOESEOESGjxodHRwczovL3RwYy5nb29nbGVzeW5kaWNhdGlvbi5jb20vc2ltZ2FkLzQzNzYyMzgyNzI2ODQwMjcyNjgiPGh0dHBzOi8vdHBjLmdvb2dsZXN5bmRpY2F0aW9uLmNvbS9waW1nYWQvNDM3NjIzODI3MjY4NDAyNzI2OFABWDuiBsoBCscBCioKKAip2MyciQkSH0NvcHkgb2YgRG9jSW41XzQoMTIwMHgxMjAwKS5qcGcilgEIgICAkPKt_feeASD2yA46ggEI4RIQ4RIaPGh0dHBzOi8vdHBjLmdvb2dsZXN5bmRpY2F0aW9uLmNvbS9zaW1nYWQvMzUwMzk0MjIwMjQzNzE1NTY0MyI8aHR0cHM6Ly90cGMuZ29vZ2xlc3luZGljYXRpb24uY29tL3BpbWdhZC8zNTAzOTQyMjAyNDM3MTU1NjQzUAFYOwoGCAESAjIACrEOCAESrA4KKAj46Yr_VeAHDfIIGQoAEgAaACIRUm9ib3RvOm5vcm1hbDo0MDD4CAGiBigKJgoiCiAI4dK628wIygEWChRQYWVkaWF0cmljIEZvcm11bGFyeVggogYmCiQKIAoeCOTSutvMCMoBFAoSQXZhaWxhYmxlIDI0IEhvdXJzWCCiBioKKAokCiIIz_zqnM0IygEYChZJZGVhbCBmb3IgYnVzeSBwYXJlbnRzWCCiBpYBCpMBCo4BCosBCMLc-eLMCGonaHR0cHM6Ly9kb2N0b3Jhbnl3aGVyZS5jb20va2lkcy1jbGluaWMvqgFYChVTZWUgQSBLaWQtRnJpZW5kbHkgR1ASHjI0LzcgY2FyZSBmb3IgeW91ciBsaXR0bGUgb25lcxofTm8gbmVlZCB0byB0cmF2ZWwgdG8gdGhlIGNsaW5pY1gfogagAQqdAQqYAQqVAQjF3PnizAhqLmh0dHBzOi8vZG9jdG9yYW55d2hlcmUuY29tL2NoaWxkLXZhY2NpbmF0aW9ucy-qAVsKEUNoaWxkIFZhY2NpbmF0aW9uEiNQcm90ZWN0IHlvdXIgY2hpbGQgYWdhaW5zdCBkaXNlYXNlcxohRnVsbHkgc3Vic2lkaXNlZCBmb3IgU2luZ2Fwb3JlYW5zWB-iBqABCp0BCpgBCpUBCPSZhoDNCGouaHR0cHM6Ly9kb2N0b3Jhbnl3aGVyZS5jb20vY2hpbGQtdmFjY2luYXRpb25zL6oBWwoRQ2hpbGQgVmFjY2luYXRpb24SI1Byb3RlY3QgeW91ciBjaGlsZCBhZ2FpbnN0IGRpc2Vhc2VzGiFGdWxseSBzdWJzaWRpc2VkIGZvciBTaW5nYXBvcmVhbnNYH6IG5gIK4wIK3gIK2wII8pPAmb8JavkBaHR0cHM6Ly93d3cuY29nbml0b2Zvcm1zLmNvbS9Eb2N0b3JBbnl3aGVyZS9Eb2N0b3JBbnl3aGVyZURvY3RvckhvdXNlQ2FsbHNBbmRIb21lTnVyc2luZ1Byb2NlZHVyZXM_X2dsPTEqb3QweXVyKl9nY2xfYXUqTVRBeU9EVTVORFkzTWk0eE56WTVOREEyTXpBMypfZ2EqTWpBNU9USXhPREk0TWk0eE56WTVOREEyTXpBNCpfZ2FfMUQ0VzlLTlZTWCpjekUzTmprMk1EVXdNVElrYnpJa1p6RWtkREUzTmprMk1EVXhNeklrYWpZd0pHd3dKR2d3qgFVChhCb29rIGEgaG91c2UgY2FsbCBkb2N0b3ISGUNhcmUgZnJvbSBsaWNlbnNlZCBkb2N0b3IaHllvdXIgZG9jdG9yLCBhdCB5b3VyIGRvb3JzdGVwLlgfogZiCmAKXApaCIn10-LMCKIBUAoPU2VydmljZSBjYXRhbG9nEhUyNC83IFRlbGVjb25zdWx0YXRpb24SE1ZhY2NpbmF0aW9uIGF0IEhvbWUSEUhvdXNlIENhbGwgRG9jdG9yWB6iBiEKHwobChkIoqHaoAQaEQoPRG9jdG9yIEFueXdoZXJlWCmiBuEBCt4BCi0KKwiZx_WJiQkSIkRBIFN0YWNrIENvbG91ciAxMjAweDEyMDAgY29weS5wbmciqgEIgICAkPLt2ZoMIPSTBCgDOosBCOESEOASGjxodHRwczovL3RwYy5nb29nbGVzeW5kaWNhdGlvbi5jb20vc2ltZ2FkLzI3MDAyNzE1NTcxOTU0OTE4NDYiPGh0dHBzOi8vdHBjLmdvb2dsZXN5bmRpY2F0aW9uLmNvbS9waW1nYWQvMjcwMDI3MTU1NzE5NTQ5MTg0NinQYPSMlvzvP0DIqr7F-MPw5wdQAVgGogbeAQrbAQonCiUIh6n9sIkJEhxEQSBMYW5kc2NhcGUgQ29sb3VyIGNvcHkucG5nIq0BCICAgJDy7Zm3ayCBqgEoAzqNAQjZBBDgEho9aHR0cHM6Ly90cGMuZ29vZ2xlc3luZGljYXRpb24uY29tL3NpbWdhZC8xODMzOTY5Njc2NjEwMDE1MDk5MyI9aHR0cHM6Ly90cGMuZ29vZ2xlc3luZGljYXRpb24uY29tL3BpbWdhZC8xODMzOTY5Njc2NjEwMDE1MDk5MylIL_mPXvIPQECGrYK1vqyR0fsBUAFYB6IG4QEK3gEKLQorCJnH9YmJCRIiREEgU3RhY2sgQ29sb3VyIDEyMDB4MTIwMCBjb3B5LnBuZyKqAQiAgICQ8u3Zmgwg9JMEKAM6iwEI4RIQ4BIaPGh0dHBzOi8vdHBjLmdvb2dsZXN5bmRpY2F0aW9uLmNvbS9zaW1nYWQvMjcwMDI3MTU1NzE5NTQ5MTg0NiI8aHR0cHM6Ly90cGMuZ29vZ2xlc3luZGljYXRpb24uY29tL3BpbWdhZC8yNzAwMjcxNTU3MTk1NDkxODQ2KdBg9IyW_O8_QMiqvsX4w_DnB1ABWDgKiwQIARKGBCoAogaeAQqbAQqWAQqTAQjcoO3VVaIBiQEKD1NlcnZpY2UgY2F0YWxvZxIUR2VuZXJhbCBQcmFjdGl0aW9uZXISFExhY3RhdGlvbiBDb25zdWx0YW50EhRTZXh1YWwgSGVhbHRoIEFkdmljZRITTWVkaWNhdGlvbiBEZWxpdmVyeRIJUmVmZXJyYWxzEhRTcGVjaWFsaXN0cyBSZWZlcnJhbFgeoga5AQq2AQqxAQquAQjfoO3VVaIBpAEKD1NlcnZpY2UgY2F0YWxvZxIMSGVhbHRoaWVyIFNHEglHUCBEb2N0b3ISC1NwZWNpYWxpc3RzEhNOdXRyaXRpb24gJiBGaXRuZXNzEhBIZWFsdGggU2NyZWVuaW5nEg9NZW50YWwgV2VsbG5lc3MSDFZhY2NpbmF0aW9ucxIPQ2hpbGRyZW4gQ2xpbmljEhRNZW4gJiBXb21lbidzIEhlYWx0aFgeogYwIi4KDzE4IFlpc2h1biBBdmUgORIAGhJEQSBDbGluaWMgQCBZaXNodW4gyoXltZ0DogYzIjEKEDQ2MCBBbGV4YW5kcmEgUmQSABoUQWRlcHQgSGVhbHRoIFB0ZSBMdGQgzYXltZ0DogY5IjcKEjE0MCBDb3Jwb3JhdGlvbiBEchIAGhhEQSBDbGluaWMgQCBUYW1hbiBKdXJvbmcg0IXltZ0DqAENEkxBQkMyenViaDF2bklSUnNZWnFwUVNhVWRydUw3anFhei11dUdrbjR3bVZMNFkzT3pLcFRsdWRIa1NqR3pnNjV2LV9WQXhNUzJBcmt1IhYSDEgBUAF4AJABAKABASgBOgEBQgECKIH21-rxMzCAkPvTCToIEAEoHjAEOABCDkFXTl9DTV9FRElUSU5H" TargetMode="External"/><Relationship Id="rId33" Type="http://schemas.openxmlformats.org/officeDocument/2006/relationships/hyperlink" Target="https://docs.google.com/presentation/d/18-k84Z1UhipZIYjGKVaAeP9ovAzXwuhS/edit?usp=sharing&amp;ouid=114278448906923092405&amp;rtpof=true&amp;sd=true" TargetMode="External"/><Relationship Id="rId10" Type="http://schemas.openxmlformats.org/officeDocument/2006/relationships/hyperlink" Target="https://ads.google.com/aw_cm/ExternalPreview?ocid=243625884&amp;euid=6504451576&amp;pt=CqhMCJzflXQQ-JvInRgaBWVuX1VTYpNMCq8tCAESqi0iAKIGowI6oAIKJXNnLmRvY3RvcmFueXdoZXJlLmNvbS90ZWxlY29uc3VsdC9hcHASF09ubGluZSBEb2N0b3IgU2luZ2Fwb3JlGhNEb2N0b3IgQW55d2hlcmUgQXBwIhhZb3VyIFRlbGVoZWFsdGggUHJvdmlkZXIqWFlvdXIgaGVhbHRoIGFuZCB3ZWxsbmVzcyBhcHAuIFNraXAgdGhlIHF1ZXVlIGFuZCBnZXQgZWZmZWN0aXZlIHN5bXB0b20gcmVsaWVmIGZyb20gaG9tZS4yU1NraXAgdGhlIHF1ZXVlIHdpdGggRG9jdG9yIEFueXdoZXJlIEFwcCBhbmQgZ2V0IGVmZmVjdGl2ZSBzeW1wdG9tIHJlbGllZiBmcm9tIGhvbWUuOAGiBqsCOqgCCiVzZy5kb2N0b3Jhbnl3aGVyZS5jb20vdGVsZWNvbnN1bHQvYXBwEhtEb2N0b3IgVGVsZWNvbnN1bHRhdGlvbiBBcHAaGU9ubGluZSBEb2N0b3IgQm9va2luZyBBcHAiGFlvdXIgVGVsZWhlYWx0aCBQcm92aWRlcipYWW91ciBoZWFsdGggYW5kIHdlbGxuZXNzIGFwcC4gU2tpcCB0aGUgcXVldWUgYW5kIGdldCBlZmZlY3RpdmUgc3ltcHRvbSByZWxpZWYgZnJvbSBob21lLjJRJDI3LjI1IGZsYXQgY29uc3VsdGF0aW9uIGZlZS4gR2V0IGNvbm5lY3RlZCB0byBhIEdQIGluIG1pbnV0ZXMuIERvd25sb2FkIGFwcCBub3cuOAGiBqICOp8CCiVzZy5kb2N0b3Jhbnl3aGVyZS5jb20vdGVsZWNvbnN1bHQvYXBwEhoyNC83IE9ubGluZSBEb2N0b3IgQ29uc3VsdBoXVmlkZW8tY29uc3VsdCBhIEdQIDI0LzciFVJlbW90ZSBUZWxlRG9jdG9yIEFwcCpVVmlkZW8tY2FsbCBvdXIgcXVhbGlmaWVkIHBhbmVsIG9mIGRvY3RvcnMgZm9yIGNvbW1vbiBpbGxuZXNzZXMgb3IgY2hyb25pYyBjb25kaXRpb25zLjJRJDI3LjI1IGZsYXQgY29uc3VsdGF0aW9uIGZlZS4gR2V0IGNvbm5lY3RlZCB0byBhIEdQIGluIG1pbnV0ZXMuIERvd25sb2FkIGFwcCBub3cuOAGiBq0COqoCCiVzZy5kb2N0b3Jhbnl3aGVyZS5jb20vdGVsZWNvbnN1bHQvYXBwEhtEb2N0b3IgVGVsZWNvbnN1bHRhdGlvbiBBcHAaFjMtaHIgRG9vcnN0ZXAgRGVsaXZlcnkiGU9ubGluZSBEb2N0b3IgQm9va2luZyBBcHAqVVZpZGVvLWNhbGwgb3VyIHF1YWxpZmllZCBwYW5lbCBvZiBkb2N0b3JzIGZvciBjb21tb24gaWxsbmVzc2VzIG9yIGNocm9uaWMgY29uZGl0aW9ucy4yWFlvdXIgaGVhbHRoIGFuZCB3ZWxsbmVzcyBhcHAuIFNraXAgdGhlIHF1ZXVlIGFuZCBnZXQgZWZmZWN0aXZlIHN5bXB0b20gcmVsaWVmIGZyb20gaG9tZS44AaIGogI6nwIKJXNnLmRvY3RvcmFueXdoZXJlLmNvbS90ZWxlY29uc3VsdC9hcHASE0RvY3RvciBBbnl3aGVyZSBBcHAaFlNhZmUgJiBTZWN1cmUgUGxhdGZvcm0iGFlvdXIgVGVsZWhlYWx0aCBQcm92aWRlcipTU2tpcCB0aGUgcXVldWUgd2l0aCBEb2N0b3IgQW55d2hlcmUgQXBwIGFuZCBnZXQgZWZmZWN0aXZlIHN5bXB0b20gcmVsaWVmIGZyb20gaG9tZS4yWFlvdXIgaGVhbHRoIGFuZCB3ZWxsbmVzcyBhcHAuIFNraXAgdGhlIHF1ZXVlIGFuZCBnZXQgZWZmZWN0aXZlIHN5bXB0b20gcmVsaWVmIGZyb20gaG9tZS44AaIGqwI6qAIKJXNnLmRvY3RvcmFueXdoZXJlLmNvbS90ZWxlY29uc3VsdC9hcHASG0RvY3RvciBUZWxlY29uc3VsdGF0aW9uIEFwcBoYQ29uc3VsdCBTRyBEb2N0b3IgT25saW5lIhlPbmxpbmUgRG9jdG9yIEJvb2tpbmcgQXBwKlhZb3VyIGhlYWx0aCBhbmQgd2VsbG5lc3MgYXBwLiBTa2lwIHRoZSBxdWV1ZSBhbmQgZ2V0IGVmZmVjdGl2ZSBzeW1wdG9tIHJlbGllZiBmcm9tIGhvbWUuMlEkMjcuMjUgZmxhdCBjb25zdWx0YXRpb24gZmVlLiBHZXQgY29ubmVjdGVkIHRvIGEgR1AgaW4gbWludXRlcy4gRG93bmxvYWQgYXBwIG5vdy44AaIGrQI6qgIKJXNnLmRvY3RvcmFueXdoZXJlLmNvbS90ZWxlY29uc3VsdC9hcHASG0RvY3RvciBUZWxlY29uc3VsdGF0aW9uIEFwcBoYQ29uc3VsdCBTRyBEb2N0b3IgT25saW5lIhlPbmxpbmUgRG9jdG9yIEJvb2tpbmcgQXBwKlhZb3VyIGhlYWx0aCBhbmQgd2VsbG5lc3MgYXBwLiBTa2lwIHRoZSBxdWV1ZSBhbmQgZ2V0IGVmZmVjdGl2ZSBzeW1wdG9tIHJlbGllZiBmcm9tIGhvbWUuMlNTa2lwIHRoZSBxdWV1ZSB3aXRoIERvY3RvciBBbnl3aGVyZSBBcHAgYW5kIGdldCBlZmZlY3RpdmUgc3ltcHRvbSByZWxpZWYgZnJvbSBob21lLjgBogapAjqmAgolc2cuZG9jdG9yYW55d2hlcmUuY29tL3RlbGVjb25zdWx0L2FwcBIaMjQvNyBPbmxpbmUgRG9jdG9yIENvbnN1bHQaF1ZpZGVvLWNvbnN1bHQgYSBHUCAyNC83IhVSZW1vdGUgVGVsZURvY3RvciBBcHAqVVZpZGVvLWNhbGwgb3VyIHF1YWxpZmllZCBwYW5lbCBvZiBkb2N0b3JzIGZvciBjb21tb24gaWxsbmVzc2VzIG9yIGNocm9uaWMgY29uZGl0aW9ucy4yWFlvdXIgaGVhbHRoIGFuZCB3ZWxsbmVzcyBhcHAuIFNraXAgdGhlIHF1ZXVlIGFuZCBnZXQgZWZmZWN0aXZlIHN5bXB0b20gcmVsaWVmIGZyb20gaG9tZS44AaIGrQI6qgIKJXNnLmRvY3RvcmFueXdoZXJlLmNvbS90ZWxlY29uc3VsdC9hcHASG0RvY3RvciBUZWxlY29uc3VsdGF0aW9uIEFwcBobVGhlIERvY3RvciBXaWxsIFNlZSBZb3UgTm93IhhZb3VyIFRlbGVoZWFsdGggUHJvdmlkZXIqWFlvdXIgaGVhbHRoIGFuZCB3ZWxsbmVzcyBhcHAuIFNraXAgdGhlIHF1ZXVlIGFuZCBnZXQgZWZmZWN0aXZlIHN5bXB0b20gcmVsaWVmIGZyb20gaG9tZS4yUSQyNy4yNSBmbGF0IGNvbnN1bHRhdGlvbiBmZWUuIEdldCBjb25uZWN0ZWQgdG8gYSBHUCBpbiBtaW51dGVzLiBEb3dubG9hZCBhcHAgbm93LjgBogamAjqjAgolc2cuZG9jdG9yYW55d2hlcmUuY29tL3RlbGVjb25zdWx0L2FwcBIbRG9jdG9yIFRlbGVjb25zdWx0YXRpb24gQXBwGhYzLWhyIERvb3JzdGVwIERlbGl2ZXJ5IhlPbmxpbmUgRG9jdG9yIEJvb2tpbmcgQXBwKlVWaWRlby1jYWxsIG91ciBxdWFsaWZpZWQgcGFuZWwgb2YgZG9jdG9ycyBmb3IgY29tbW9uIGlsbG5lc3NlcyBvciBjaHJvbmljIGNvbmRpdGlvbnMuMlEkMjcuMjUgZmxhdCBjb25zdWx0YXRpb24gZmVlLiBHZXQgY29ubmVjdGVkIHRvIGEgR1AgaW4gbWludXRlcy4gRG93bmxvYWQgYXBwIG5vdy44AaIGowI6oAIKJXNnLmRvY3RvcmFueXdoZXJlLmNvbS90ZWxlY29uc3VsdC9hcHASF09ubGluZSBEb2N0b3IgU2luZ2Fwb3JlGhNEb2N0b3IgQW55d2hlcmUgQXBwIhhZb3VyIFRlbGVoZWFsdGggUHJvdmlkZXIqWFlvdXIgaGVhbHRoIGFuZCB3ZWxsbmVzcyBhcHAuIFNraXAgdGhlIHF1ZXVlIGFuZCBnZXQgZWZmZWN0aXZlIHN5bXB0b20gcmVsaWVmIGZyb20gaG9tZS4yU1NraXAgdGhlIHF1ZXVlIHdpdGggRG9jdG9yIEFueXdoZXJlIEFwcCBhbmQgZ2V0IGVmZmVjdGl2ZSBzeW1wdG9tIHJlbGllZiBmcm9tIGhvbWUuOACiBpECOo4CCiVzZy5kb2N0b3Jhbnl3aGVyZS5jb20vdGVsZWNvbnN1bHQvYXBwEhtEb2N0b3IgVGVsZWNvbnN1bHRhdGlvbiBBcHAaGU9ubGluZSBEb2N0b3IgQm9va2luZyBBcHAqWFlvdXIgaGVhbHRoIGFuZCB3ZWxsbmVzcyBhcHAuIFNraXAgdGhlIHF1ZXVlIGFuZCBnZXQgZWZmZWN0aXZlIHN5bXB0b20gcmVsaWVmIGZyb20gaG9tZS4yUSQyNy4yNSBmbGF0IGNvbnN1bHRhdGlvbiBmZWUuIEdldCBjb25uZWN0ZWQgdG8gYSBHUCBpbiBtaW51dGVzLiBEb3dubG9hZCBhcHAgbm93LjgAogaLAjqIAgolc2cuZG9jdG9yYW55d2hlcmUuY29tL3RlbGVjb25zdWx0L2FwcBIaMjQvNyBPbmxpbmUgRG9jdG9yIENvbnN1bHQaF1ZpZGVvLWNvbnN1bHQgYSBHUCAyNC83KlVWaWRlby1jYWxsIG91ciBxdWFsaWZpZWQgcGFuZWwgb2YgZG9jdG9ycyBmb3IgY29tbW9uIGlsbG5lc3NlcyBvciBjaHJvbmljIGNvbmRpdGlvbnMuMlEkMjcuMjUgZmxhdCBjb25zdWx0YXRpb24gZmVlLiBHZXQgY29ubmVjdGVkIHRvIGEgR1AgaW4gbWludXRlcy4gRG93bmxvYWQgYXBwIG5vdy44AKIGkgI6jwIKJXNnLmRvY3RvcmFueXdoZXJlLmNvbS90ZWxlY29uc3VsdC9hcHASG0RvY3RvciBUZWxlY29uc3VsdGF0aW9uIEFwcBoWMy1ociBEb29yc3RlcCBEZWxpdmVyeSpVVmlkZW8tY2FsbCBvdXIgcXVhbGlmaWVkIHBhbmVsIG9mIGRvY3RvcnMgZm9yIGNvbW1vbiBpbGxuZXNzZXMgb3IgY2hyb25pYyBjb25kaXRpb25zLjJYWW91ciBoZWFsdGggYW5kIHdlbGxuZXNzIGFwcC4gU2tpcCB0aGUgcXVldWUgYW5kIGdldCBlZmZlY3RpdmUgc3ltcHRvbSByZWxpZWYgZnJvbSBob21lLjgAogaiAjqfAgolc2cuZG9jdG9yYW55d2hlcmUuY29tL3RlbGVjb25zdWx0L2FwcBITRG9jdG9yIEFueXdoZXJlIEFwcBoWU2FmZSAmIFNlY3VyZSBQbGF0Zm9ybSIYWW91ciBUZWxlaGVhbHRoIFByb3ZpZGVyKlNTa2lwIHRoZSBxdWV1ZSB3aXRoIERvY3RvciBBbnl3aGVyZSBBcHAgYW5kIGdldCBlZmZlY3RpdmUgc3ltcHRvbSByZWxpZWYgZnJvbSBob21lLjJYWW91ciBoZWFsdGggYW5kIHdlbGxuZXNzIGFwcC4gU2tpcCB0aGUgcXVldWUgYW5kIGdldCBlZmZlY3RpdmUgc3ltcHRvbSByZWxpZWYgZnJvbSBob21lLjgAogaQAjqNAgolc2cuZG9jdG9yYW55d2hlcmUuY29tL3RlbGVjb25zdWx0L2FwcBIbRG9jdG9yIFRlbGVjb25zdWx0YXRpb24gQXBwGhhDb25zdWx0IFNHIERvY3RvciBPbmxpbmUqWFlvdXIgaGVhbHRoIGFuZCB3ZWxsbmVzcyBhcHAuIFNraXAgdGhlIHF1ZXVlIGFuZCBnZXQgZWZmZWN0aXZlIHN5bXB0b20gcmVsaWVmIGZyb20gaG9tZS4yUSQyNy4yNSBmbGF0IGNvbnN1bHRhdGlvbiBmZWUuIEdldCBjb25uZWN0ZWQgdG8gYSBHUCBpbiBtaW51dGVzLiBEb3dubG9hZCBhcHAgbm93LjgAogaSAjqPAgolc2cuZG9jdG9yYW55d2hlcmUuY29tL3RlbGVjb25zdWx0L2FwcBIbRG9jdG9yIFRlbGVjb25zdWx0YXRpb24gQXBwGhhDb25zdWx0IFNHIERvY3RvciBPbmxpbmUqWFlvdXIgaGVhbHRoIGFuZCB3ZWxsbmVzcyBhcHAuIFNraXAgdGhlIHF1ZXVlIGFuZCBnZXQgZWZmZWN0aXZlIHN5bXB0b20gcmVsaWVmIGZyb20gaG9tZS4yU1NraXAgdGhlIHF1ZXVlIHdpdGggRG9jdG9yIEFueXdoZXJlIEFwcCBhbmQgZ2V0IGVmZmVjdGl2ZSBzeW1wdG9tIHJlbGllZiBmcm9tIGhvbWUuOACiBpICOo8CCiVzZy5kb2N0b3Jhbnl3aGVyZS5jb20vdGVsZWNvbnN1bHQvYXBwEhoyNC83IE9ubGluZSBEb2N0b3IgQ29uc3VsdBoXVmlkZW8tY29uc3VsdCBhIEdQIDI0LzcqVVZpZGVvLWNhbGwgb3VyIHF1YWxpZmllZCBwYW5lbCBvZiBkb2N0b3JzIGZvciBjb21tb24gaWxsbmVzc2VzIG9yIGNocm9uaWMgY29uZGl0aW9ucy4yWFlvdXIgaGVhbHRoIGFuZCB3ZWxsbmVzcyBhcHAuIFNraXAgdGhlIHF1ZXVlIGFuZCBnZXQgZWZmZWN0aXZlIHN5bXB0b20gcmVsaWVmIGZyb20gaG9tZS44AKIGkwI6kAIKJXNnLmRvY3RvcmFueXdoZXJlLmNvbS90ZWxlY29uc3VsdC9hcHASG0RvY3RvciBUZWxlY29uc3VsdGF0aW9uIEFwcBobVGhlIERvY3RvciBXaWxsIFNlZSBZb3UgTm93KlhZb3VyIGhlYWx0aCBhbmQgd2VsbG5lc3MgYXBwLiBTa2lwIHRoZSBxdWV1ZSBhbmQgZ2V0IGVmZmVjdGl2ZSBzeW1wdG9tIHJlbGllZiBmcm9tIGhvbWUuMlEkMjcuMjUgZmxhdCBjb25zdWx0YXRpb24gZmVlLiBHZXQgY29ubmVjdGVkIHRvIGEgR1AgaW4gbWludXRlcy4gRG93bmxvYWQgYXBwIG5vdy44AKIGiwI6iAIKJXNnLmRvY3RvcmFueXdoZXJlLmNvbS90ZWxlY29uc3VsdC9hcHASG0RvY3RvciBUZWxlY29uc3VsdGF0aW9uIEFwcBoWMy1ociBEb29yc3RlcCBEZWxpdmVyeSpVVmlkZW8tY2FsbCBvdXIgcXVhbGlmaWVkIHBhbmVsIG9mIGRvY3RvcnMgZm9yIGNvbW1vbiBpbGxuZXNzZXMgb3IgY2hyb25pYyBjb25kaXRpb25zLjJRJDI3LjI1IGZsYXQgY29uc3VsdGF0aW9uIGZlZS4gR2V0IGNvbm5lY3RlZCB0byBhIEdQIGluIG1pbnV0ZXMuIERvd25sb2FkIGFwcCBub3cuOAAKBggBEgIyAAq-GAgBErkYCgYIlq-6vFCiBiEKHwobChkIssDFzlXKARAKDkF2YWlsYWJsZSAyNC83WCCiBiIKIAocChoIh8qTqOAEygEQCg5Ta2lwIFRoZSBRdWV1ZVggogYpCicKIwohCIrKk6jgBMoBFwoVU0ctUmVnaXN0ZXJlZCBEb2N0b3JzWCCiBigKJgoiCiAIjcqTqOAEygEWChQkMCBEb29yc3RlcCBEZWxpdmVyeVggogYsCioKJgokCJDKk6jgBMoBGgoYUHJpdmF0ZSBhbmQgQ29uZmlkZW50aWFsWCCiBt8BCtwBCisKKQiCr5GHKRIhQ29udHJhY2VwdGl2ZUFkX0xvZ28xMjAweDEyMDAuanBnIqoBCICAgKDXiLX3FiCcyAwoATqLAQiwCRCwCRo8aHR0cHM6Ly90cGMuZ29vZ2xlc3luZGljYXRpb24uY29tL3NpbWdhZC8yMzI1ODUzMzYwMjEzMDk1MDc2IjxodHRwczovL3RwYy5nb29nbGVzeW5kaWNhdGlvbi5jb20vcGltZ2FkLzIzMjU4NTMzNjAyMTMwOTUwNzYpAAAAAAAA8D9A7dTKqP_j5OACUAFYOKIG4A0K3Q0KCQoHCNzjwcS5AVgx2gHMDQp2aHR0cHM6Ly9saDMuZ29vZ2xldXNlcmNvbnRlbnQuY29tL1Y3NGNWVFRpaVd0dHRYRlNFcmhhT0Zxa1FOS0doQ1hMRlZfNGRMcElJNUVJZmtNS0RHaUp6X09ja3JuVlNmaENPVk5fN2xqZlN3PXc1MTItaDUxMhIbRG9jdG9yIEFueXdoZXJlOiBIZWFsdGhjYXJlGgJlbiABKiQKBWFyX1NBEhtEb2N0b3IgQW55d2hlcmU6IEhlYWx0aGNhcmUqJAoFY2FfRVMSG0RvY3RvciBBbnl3aGVyZTogSGVhbHRoY2FyZSokCgVjc19DWhIbRG9jdG9yIEFueXdoZXJlOiBIZWFsdGhjYXJlKiQKBWRhX0RLEhtEb2N0b3IgQW55d2hlcmU6IEhlYWx0aGNhcmUqJAoFZGVfREUSG0RvY3RvciBBbnl3aGVyZTogSGVhbHRoY2FyZSokCgVlbF9HUhIbRG9jdG9yIEFueXdoZXJlOiBIZWFsdGhjYXJlKiEKAmVuEhtEb2N0b3IgQW55d2hlcmU6IEhlYWx0aGNhcmUqJAoFZW5fQVUSG0RvY3RvciBBbnl3aGVyZTogSGVhbHRoY2FyZSokCgVlbl9DQRIbRG9jdG9yIEFueXdoZXJlOiBIZWFsdGhjYXJlKiQKBWVuX0dCEhtEb2N0b3IgQW55d2hlcmU6IEhlYWx0aGNhcmUqJAoFZW5fVVMSG0RvY3RvciBBbnl3aGVyZTogSGVhbHRoY2FyZSokCgVlc19FUxIbRG9jdG9yIEFueXdoZXJlOiBIZWFsdGhjYXJlKiQKBWVzX01YEhtEb2N0b3IgQW55d2hlcmU6IEhlYWx0aGNhcmUqJAoFZmlfRkkSG0RvY3RvciBBbnl3aGVyZTogSGVhbHRoY2FyZSokCgVmcl9DQRIbRG9jdG9yIEFueXdoZXJlOiBIZWFsdGhjYXJlKiQKBWZyX0ZSEhtEb2N0b3IgQW55d2hlcmU6IEhlYWx0aGNhcmUqJAoFaGlfSU4SG0RvY3RvciBBbnl3aGVyZTogSGVhbHRoY2FyZSokCgVocl9IUhIbRG9jdG9yIEFueXdoZXJlOiBIZWFsdGhjYXJlKiQKBWh1X0hVEhtEb2N0b3IgQW55d2hlcmU6IEhlYWx0aGNhcmUqJQoFaWRfSUQSHERvY3RvciBBbnl3aGVyZSAtIFRlbGVoZWFsdGgqJAoFaXRfSVQSG0RvY3RvciBBbnl3aGVyZTogSGVhbHRoY2FyZSokCgVpd19JTBIbRG9jdG9yIEFueXdoZXJlOiBIZWFsdGhjYXJlKiQKBWphX0pQEhtEb2N0b3IgQW55d2hlcmU6IEhlYWx0aGNhcmUqJAoFa29fS1ISG0RvY3RvciBBbnl3aGVyZTogSGVhbHRoY2FyZSolCgVtc19NWRIcRG9jdG9yIEFueXdoZXJlIC0gVGVsZWhlYWx0aCokCgVuYl9OTxIbRG9jdG9yIEFueXdoZXJlOiBIZWFsdGhjYXJlKiQKBW5sX05MEhtEb2N0b3IgQW55d2hlcmU6IEhlYWx0aGNhcmUqJAoFbm9fTk8SG0RvY3RvciBBbnl3aGVyZTogSGVhbHRoY2FyZSokCgVwbF9QTBIbRG9jdG9yIEFueXdoZXJlOiBIZWFsdGhjYXJlKiQKBXB0X0JSEhtEb2N0b3IgQW55d2hlcmU6IEhlYWx0aGNhcmUqJAoFcHRfUFQSG0RvY3RvciBBbnl3aGVyZTogSGVhbHRoY2FyZSokCgVyb19STxIbRG9jdG9yIEFueXdoZXJlOiBIZWFsdGhjYXJlKiQKBXJ1X1JVEhtEb2N0b3IgQW55d2hlcmU6IEhlYWx0aGNhcmUqJAoFc2tfU0sSG0RvY3RvciBBbnl3aGVyZTogSGVhbHRoY2FyZSokCgVzdl9TRRIbRG9jdG9yIEFueXdoZXJlOiBIZWFsdGhjYXJlKj8KBXRoX1RIEjZEb2N0b3IgQW55d2hlcmUgLSDguYHguJ7guJfguKLguYzguK3guK3guJnguYTguKXguJnguYwqJAoFdHJfVFISG0RvY3RvciBBbnl3aGVyZTogSGVhbHRoY2FyZSokCgV1a19VQRIbRG9jdG9yIEFueXdoZXJlOiBIZWFsdGhjYXJlKiUKBXZpX1ZOEhxEb2N0b3IgQW55d2hlcmUgLSBUZWxlaGVhbHRoKiQKBXpoX0NOEhtEb2N0b3IgQW55d2hlcmU6IEhlYWx0aGNhcmUqJAoFemhfVFcSG0RvY3RvciBBbnl3aGVyZTogSGVhbHRoY2FyZaIG8wYK8AYKCQoHCJvCg93MCFgx2gHfBgp3aHR0cHM6Ly9saDMuZ29vZ2xldXNlcmNvbnRlbnQuY29tL2Q3MW5MeWN4Z3hnTUQyM2ZRSWhqSnpLZXJCTENxZDZrcGxIWVcxMEdodlJzSV9rTzNxTERsckd4eWRvNjhhemF4Zmo3MUp4bnZWdz13NTEyLWg1MTISHERvY3RvciBBbnl3aGVyZSAtIEhlYWx0aGNhcmUaBWVuX1NHIAIqKwoCaWQKBWlkX0lEEh5Eb2N0b3IgQW55d2hlcmUgLSBUZWxlbWVkaWNpbmUqKQoCbXMKBW1zX01ZEhxEb2N0b3IgQW55d2hlcmUgLSBUZWxlaGVhbHRoKkMKAnRoCgV0aF9USBI2RG9jdG9yIEFueXdoZXJlIC0g4LmB4Lie4LiX4Lii4LmM4Lit4Lit4LiZ4LmE4Lil4LiZ4LmMKhwKAnZpCgV2aV9WThIPRG9jdG9yIEFueXdoZXJlKjEKAnpoCgV6aF9DThIk5Lu75L2V5Zyw5pa555qE5Yy755SfIC0g6L-c56iL5Yy755aXKmEKAmVuCgVlbl9BVQoFZW5fQ0EKBWVuX0dCCgVlbl9JRQoFZW5fSU4KBWVuX05aCgVlbl9TRwoFZW5fVVMKBWVuX1pBEhxEb2N0b3IgQW55d2hlcmUgLSBIZWFsdGhjYXJlKmEKAmVuCgVlbl9BVQoFZW5fQ0EKBWVuX0dCCgVlbl9JRQoFZW5fSU4KBWVuX05aCgVlbl9TRwoFZW5fVVMKBWVuX1pBEhxEb2N0b3IgQW55d2hlcmUgLSBUZWxlaGVhbHRoKmEKAmVuCgVlbl9BVQoFZW5fQ0EKBWVuX0dCCgVlbl9JRQoFZW5fSU4KBWVuX05aCgVlbl9TRwoFZW5fVVMKBWVuX1pBEhxEb2N0b3IgQW55d2hlcmUgLSBUZWxlaGVhbHRoKmEKAmVuCgVlbl9BVQoFZW5fQ0EKBWVuX0dCCgVlbl9JRQoFZW5fSU4KBWVuX05aCgVlbl9TRwoFZW5fVVMKBWVuX1pBEhxEb2N0b3IgQW55d2hlcmUgLSBUZWxlaGVhbHRoKkMKAnRoCgV0aF9USBI2RG9jdG9yIEFueXdoZXJlIC0g4LmB4Lie4LiX4Lii4LmM4Lit4Lit4LiZ4LmE4Lil4LiZ4LmMogYhCh8KGwoZCKKh2qAEGhEKD0RvY3RvciBBbnl3aGVyZVgpCpIGCAESjQYqAKIGngEKmwEKlgEKkwEI3KDt1VWiAYkBCg9TZXJ2aWNlIGNhdGFsb2cSFEdlbmVyYWwgUHJhY3RpdGlvbmVyEhRMYWN0YXRpb24gQ29uc3VsdGFudBIUU2V4dWFsIEhlYWx0aCBBZHZpY2USE01lZGljYXRpb24gRGVsaXZlcnkSCVJlZmVycmFscxIUU3BlY2lhbGlzdHMgUmVmZXJyYWxYHqIGuQEKtgEKsQEKrgEI36Dt1VWiAaQBCg9TZXJ2aWNlIGNhdGFsb2cSDEhlYWx0aGllciBTRxIJR1AgRG9jdG9yEgtTcGVjaWFsaXN0cxITTnV0cml0aW9uICYgRml0bmVzcxIQSGVhbHRoIFNjcmVlbmluZxIPTWVudGFsIFdlbGxuZXNzEgxWYWNjaW5hdGlvbnMSD0NoaWxkcmVuIENsaW5pYxIUTWVuICYgV29tZW4ncyBIZWFsdGhYHqIGIQofChsKGQiiodqgBBoRCg9Eb2N0b3IgQW55d2hlcmVYKaIG3wEK3AEKKwopCIKvkYcpEiFDb250cmFjZXB0aXZlQWRfTG9nbzEyMDB4MTIwMC5qcGciqgEIgICAoNeItfcWIJzIDCgBOosBCLAJELAJGjxodHRwczovL3RwYy5nb29nbGVzeW5kaWNhdGlvbi5jb20vc2ltZ2FkLzIzMjU4NTMzNjAyMTMwOTUwNzYiPGh0dHBzOi8vdHBjLmdvb2dsZXN5bmRpY2F0aW9uLmNvbS9waW1nYWQvMjMyNTg1MzM2MDIxMzA5NTA3NikAAAAAAADwP0Dt1Mqo_-Pk4AJQAVg4ogYwIi4KDzE4IFlpc2h1biBBdmUgORIAGhJEQSBDbGluaWMgQCBZaXNodW4gyoXltZ0DogYzIjEKEDQ2MCBBbGV4YW5kcmEgUmQSABoUQWRlcHQgSGVhbHRoIFB0ZSBMdGQgzYXltZ0DogY5IjcKEjE0MCBDb3Jwb3JhdGlvbiBEchIAGhhEQSBDbGluaWMgQCBUYW1hbiBKdXJvbmcg0IXltZ0DoAEkEkxBQkMyenVaUl9CVkFOUVBoUm5xM0doNnFJbjN1LTZUbnoxOWdQOUd3Y2x1eV9OWDJkb1lWTnpGLXVVZjFuNUpjV2JBc09UdjB5b0Q3IhMSDEgBUAFYAWABaABwACgBQgECKK7ixOrxMzCAkPvTCToIEAEoHjAEOABCDkFXTl9DTV9FRElUSU5H" TargetMode="External"/><Relationship Id="rId32" Type="http://schemas.openxmlformats.org/officeDocument/2006/relationships/hyperlink" Target="https://docs.google.com/presentation/d/14MjPQPDPyF20RXLf8xzhitVq8DuKdSiLkvYPB3O7BHA/edit?usp=sharing" TargetMode="External"/><Relationship Id="rId13" Type="http://schemas.openxmlformats.org/officeDocument/2006/relationships/hyperlink" Target="https://ads.google.com/aw_cm/ExternalPreview?ocid=243625884&amp;euid=6504451576&amp;pt=CvRVCJzflXQQ-JvInRgaBWVuX1VTYt9VCvQsCAES7ywiAKIGlgI6kwIKI2RvY3RvcmFueXdoZXJlLmNvbS9oZWFsdGgvc2NyZWVuaW5nEh5FQ0csIEJsb29kIFRlc3QsIENhbmNlciBNYXJrZXIaHUN1c3RvbWlzYWJsZSBQYWNrYWdlcy9BZGQtT25zKk5JbmNsdWRlcyBhIGNvbXByZWhlbnNpdmUgaGVhbHRoIHJlcG9ydCBhbmQgZG9jdG9yIHJldmlldy4gTm8gZmFzdGluZyByZXF1aXJlZC4yW0FkZC1vbiBoZWFsdGggY2hlY2tzIGFzIG5lZWRlZDogRUNHLCBDYW5jZXIgTWFya2VyLCBCbG9vZCBUZXN0LCBJbWFnaW5nICYgVWx0cmFzb3VuZCBUZXN0cy44AaIGlgI6kwIKI2RvY3RvcmFueXdoZXJlLmNvbS9oZWFsdGgvc2NyZWVuaW5nEh5FQ0csIEJsb29kIFRlc3QsIENhbmNlciBNYXJrZXIaHUN1c3RvbWlzYWJsZSBQYWNrYWdlcy9BZGQtT25zKltFc3NlbnRpYWwgJiBjb21wcmVoZW5zaXZlIGhlYWx0aCBjaGVja3MuIEJvb2sgeW91ciBhbm51YWwgaGVhbHRoIGNoZWNrdXAgZm9yIHBlYWNlIG9mIG1pbmQuMk5JbmNsdWRlcyBhIGNvbXByZWhlbnNpdmUgaGVhbHRoIHJlcG9ydCBhbmQgZG9jdG9yIHJldmlldy4gTm8gZmFzdGluZyByZXF1aXJlZC44AaIGswI6sAIKI2RvY3RvcmFueXdoZXJlLmNvbS9oZWFsdGgvc2NyZWVuaW5nEh1HZXQgU2NyZWVuZWQgQXQgSG9tZSBmci4gJDEyORocSW4tQ2xpbmljIEhlYWx0aCBDaGVja3VwICQ4NiITRWFzeSBPbmxpbmUgQm9va2luZypYR2V0IHNjcmVlbmVkIGNvbnZlbmllbnRseSBhdCBob21lLCBvciBhdCBhbnkgb2YgREEgY2xpbmljcyBpc2xhbmR3aWRlLiBCb29rIGFwcG9pbnRtZW50LjJbQWRkLW9uIGhlYWx0aCBjaGVja3MgYXMgbmVlZGVkOiBFQ0csIENhbmNlciBNYXJrZXIsIEJsb29kIFRlc3QsIEltYWdpbmcgJiBVbHRyYXNvdW5kIFRlc3RzLjgBogabAjqYAgojZG9jdG9yYW55d2hlcmUuY29tL2hlYWx0aC9zY3JlZW5pbmcSHUN1c3RvbWlzYWJsZSBQYWNrYWdlcy9BZGQtT25zGhlCb29rIEFuIEFwcG9pbnRtZW50IFRvZGF5KlhHZXQgc2NyZWVuZWQgY29udmVuaWVudGx5IGF0IGhvbWUsIG9yIGF0IGFueSBvZiBEQSBjbGluaWNzIGlzbGFuZHdpZGUuIEJvb2sgYXBwb2ludG1lbnQuMltBZGQtb24gaGVhbHRoIGNoZWNrcyBhcyBuZWVkZWQ6IEVDRywgQ2FuY2VyIE1hcmtlciwgQmxvb2QgVGVzdCwgSW1hZ2luZyAmIFVsdHJhc291bmQgVGVzdHMuOAGiBrQCOrECCiNkb2N0b3Jhbnl3aGVyZS5jb20vaGVhbHRoL3NjcmVlbmluZxIWSW5jbHVkZXMgMS0xIEdQIFJldmlldxocSW4tQ2xpbmljIEhlYWx0aCBDaGVja3VwICQ4NiIbTm9uLUZhc3RpbmcgSGVhbHRoIENoZWNrdXBzKlhHZXQgc2NyZWVuZWQgY29udmVuaWVudGx5IGF0IGhvbWUsIG9yIGF0IGFueSBvZiBEQSBjbGluaWNzIGlzbGFuZHdpZGUuIEJvb2sgYXBwb2ludG1lbnQuMltBZGQtb24gaGVhbHRoIGNoZWNrcyBhcyBuZWVkZWQ6IEVDRywgQ2FuY2VyIE1hcmtlciwgQmxvb2QgVGVzdCwgSW1hZ2luZyAmIFVsdHJhc291bmQgVGVzdHMuOAGiBpMCOpACCiNkb2N0b3Jhbnl3aGVyZS5jb20vaGVhbHRoL3NjcmVlbmluZxIbSGVhbHRoIFNjcmVlbmluZ3MgU2luZ2Fwb3JlGh1HZXQgU2NyZWVuZWQgQXQgSG9tZSBmci4gJDEyOSpOSW5jbHVkZXMgYSBjb21wcmVoZW5zaXZlIGhlYWx0aCByZXBvcnQgYW5kIGRvY3RvciByZXZpZXcuIE5vIGZhc3RpbmcgcmVxdWlyZWQuMltFc3NlbnRpYWwgJiBjb21wcmVoZW5zaXZlIGhlYWx0aCBjaGVja3MuIEJvb2sgeW91ciBhbm51YWwgaGVhbHRoIGNoZWNrdXAgZm9yIHBlYWNlIG9mIG1pbmQuOAGiBpMCOpACCiNkb2N0b3Jhbnl3aGVyZS5jb20vaGVhbHRoL3NjcmVlbmluZxIeRUNHLCBCbG9vZCBUZXN0LCBDYW5jZXIgTWFya2VyGh1DdXN0b21pc2FibGUgUGFja2FnZXMvQWRkLU9ucypOSW5jbHVkZXMgYSBjb21wcmVoZW5zaXZlIGhlYWx0aCByZXBvcnQgYW5kIGRvY3RvciByZXZpZXcuIE5vIGZhc3RpbmcgcmVxdWlyZWQuMlhHZXQgc2NyZWVuZWQgY29udmVuaWVudGx5IGF0IGhvbWUsIG9yIGF0IGFueSBvZiBEQSBjbGluaWNzIGlzbGFuZHdpZGUuIEJvb2sgYXBwb2ludG1lbnQuOAGiBqkCOqYCCiNkb2N0b3Jhbnl3aGVyZS5jb20vaGVhbHRoL3NjcmVlbmluZxIcU3Vic2lkaXNlZCBIZWFsdGggU2NyZWVuaW5ncxodQ3VzdG9taXNlZCBQYWNrYWdlcyAmIEFkZC1PbnMiE0Vhc3kgT25saW5lIEJvb2tpbmcqTkluY2x1ZGVzIGEgY29tcHJlaGVuc2l2ZSBoZWFsdGggcmVwb3J0IGFuZCBkb2N0b3IgcmV2aWV3LiBObyBmYXN0aW5nIHJlcXVpcmVkLjJbRXNzZW50aWFsICYgY29tcHJlaGVuc2l2ZSBoZWFsdGggY2hlY2tzLiBCb29rIHlvdXIgYW5udWFsIGhlYWx0aCBjaGVja3VwIGZvciBwZWFjZSBvZiBtaW5kLjgBogadAjqaAgojZG9jdG9yYW55d2hlcmUuY29tL2hlYWx0aC9zY3JlZW5pbmcSG0NvbG9yZWN0YWwgQ2FuY2VyIFNjcmVlbmluZxodQ3VzdG9taXNhYmxlIFBhY2thZ2VzL0FkZC1PbnMqW0Vzc2VudGlhbCAmIGNvbXByZWhlbnNpdmUgaGVhbHRoIGNoZWNrcy4gQm9vayB5b3VyIGFubnVhbCBoZWFsdGggY2hlY2t1cCBmb3IgcGVhY2Ugb2YgbWluZC4yWEdldCBzY3JlZW5lZCBjb252ZW5pZW50bHkgYXQgaG9tZSwgb3IgYXQgYW55IG9mIERBIGNsaW5pY3MgaXNsYW5kd2lkZS4gQm9vayBhcHBvaW50bWVudC44AaIGmAI6lQIKI2RvY3RvcmFueXdoZXJlLmNvbS9oZWFsdGgvc2NyZWVuaW5nEhhTdWJzaWRpc2VkIEhlYWx0aCBDaGVja3MaG0NvbG9yZWN0YWwgQ2FuY2VyIFNjcmVlbmluZypYR2V0IHNjcmVlbmVkIGNvbnZlbmllbnRseSBhdCBob21lLCBvciBhdCBhbnkgb2YgREEgY2xpbmljcyBpc2xhbmR3aWRlLiBCb29rIGFwcG9pbnRtZW50LjJbRXNzZW50aWFsICYgY29tcHJlaGVuc2l2ZSBoZWFsdGggY2hlY2tzLiBCb29rIHlvdXIgYW5udWFsIGhlYWx0aCBjaGVja3VwIGZvciBwZWFjZSBvZiBtaW5kLjgBogaWAjqTAgojZG9jdG9yYW55d2hlcmUuY29tL2hlYWx0aC9zY3JlZW5pbmcSHkVDRywgQmxvb2QgVGVzdCwgQ2FuY2VyIE1hcmtlchodQ3VzdG9taXNhYmxlIFBhY2thZ2VzL0FkZC1PbnMqTkluY2x1ZGVzIGEgY29tcHJlaGVuc2l2ZSBoZWFsdGggcmVwb3J0IGFuZCBkb2N0b3IgcmV2aWV3LiBObyBmYXN0aW5nIHJlcXVpcmVkLjJbQWRkLW9uIGhlYWx0aCBjaGVja3MgYXMgbmVlZGVkOiBFQ0csIENhbmNlciBNYXJrZXIsIEJsb29kIFRlc3QsIEltYWdpbmcgJiBVbHRyYXNvdW5kIFRlc3RzLjgAogaWAjqTAgojZG9jdG9yYW55d2hlcmUuY29tL2hlYWx0aC9zY3JlZW5pbmcSHkVDRywgQmxvb2QgVGVzdCwgQ2FuY2VyIE1hcmtlchodQ3VzdG9taXNhYmxlIFBhY2thZ2VzL0FkZC1PbnMqW0Vzc2VudGlhbCAmIGNvbXByZWhlbnNpdmUgaGVhbHRoIGNoZWNrcy4gQm9vayB5b3VyIGFubnVhbCBoZWFsdGggY2hlY2t1cCBmb3IgcGVhY2Ugb2YgbWluZC4yTkluY2x1ZGVzIGEgY29tcHJlaGVuc2l2ZSBoZWFsdGggcmVwb3J0IGFuZCBkb2N0b3IgcmV2aWV3LiBObyBmYXN0aW5nIHJlcXVpcmVkLjgAogaeAjqbAgojZG9jdG9yYW55d2hlcmUuY29tL2hlYWx0aC9zY3JlZW5pbmcSHUdldCBTY3JlZW5lZCBBdCBIb21lIGZyLiAkMTI5GhxJbi1DbGluaWMgSGVhbHRoIENoZWNrdXAgJDg2KlhHZXQgc2NyZWVuZWQgY29udmVuaWVudGx5IGF0IGhvbWUsIG9yIGF0IGFueSBvZiBEQSBjbGluaWNzIGlzbGFuZHdpZGUuIEJvb2sgYXBwb2ludG1lbnQuMltBZGQtb24gaGVhbHRoIGNoZWNrcyBhcyBuZWVkZWQ6IEVDRywgQ2FuY2VyIE1hcmtlciwgQmxvb2QgVGVzdCwgSW1hZ2luZyAmIFVsdHJhc291bmQgVGVzdHMuOACiBpsCOpgCCiNkb2N0b3Jhbnl3aGVyZS5jb20vaGVhbHRoL3NjcmVlbmluZxIdQ3VzdG9taXNhYmxlIFBhY2thZ2VzL0FkZC1PbnMaGUJvb2sgQW4gQXBwb2ludG1lbnQgVG9kYXkqWEdldCBzY3JlZW5lZCBjb252ZW5pZW50bHkgYXQgaG9tZSwgb3IgYXQgYW55IG9mIERBIGNsaW5pY3MgaXNsYW5kd2lkZS4gQm9vayBhcHBvaW50bWVudC4yW0FkZC1vbiBoZWFsdGggY2hlY2tzIGFzIG5lZWRlZDogRUNHLCBDYW5jZXIgTWFya2VyLCBCbG9vZCBUZXN0LCBJbWFnaW5nICYgVWx0cmFzb3VuZCBUZXN0cy44AKIGlwI6lAIKI2RvY3RvcmFueXdoZXJlLmNvbS9oZWFsdGgvc2NyZWVuaW5nEhZJbmNsdWRlcyAxLTEgR1AgUmV2aWV3GhxJbi1DbGluaWMgSGVhbHRoIENoZWNrdXAgJDg2KlhHZXQgc2NyZWVuZWQgY29udmVuaWVudGx5IGF0IGhvbWUsIG9yIGF0IGFueSBvZiBEQSBjbGluaWNzIGlzbGFuZHdpZGUuIEJvb2sgYXBwb2ludG1lbnQuMltBZGQtb24gaGVhbHRoIGNoZWNrcyBhcyBuZWVkZWQ6IEVDRywgQ2FuY2VyIE1hcmtlciwgQmxvb2QgVGVzdCwgSW1hZ2luZyAmIFVsdHJhc291bmQgVGVzdHMuOACiBpMCOpACCiNkb2N0b3Jhbnl3aGVyZS5jb20vaGVhbHRoL3NjcmVlbmluZxIbSGVhbHRoIFNjcmVlbmluZ3MgU2luZ2Fwb3JlGh1HZXQgU2NyZWVuZWQgQXQgSG9tZSBmci4gJDEyOSpOSW5jbHVkZXMgYSBjb21wcmVoZW5zaXZlIGhlYWx0aCByZXBvcnQgYW5kIGRvY3RvciByZXZpZXcuIE5vIGZhc3RpbmcgcmVxdWlyZWQuMltFc3NlbnRpYWwgJiBjb21wcmVoZW5zaXZlIGhlYWx0aCBjaGVja3MuIEJvb2sgeW91ciBhbm51YWwgaGVhbHRoIGNoZWNrdXAgZm9yIHBlYWNlIG9mIG1pbmQuOACiBpMCOpACCiNkb2N0b3Jhbnl3aGVyZS5jb20vaGVhbHRoL3NjcmVlbmluZxIeRUNHLCBCbG9vZCBUZXN0LCBDYW5jZXIgTWFya2VyGh1DdXN0b21pc2FibGUgUGFja2FnZXMvQWRkLU9ucypOSW5jbHVkZXMgYSBjb21wcmVoZW5zaXZlIGhlYWx0aCByZXBvcnQgYW5kIGRvY3RvciByZXZpZXcuIE5vIGZhc3RpbmcgcmVxdWlyZWQuMlhHZXQgc2NyZWVuZWQgY29udmVuaWVudGx5IGF0IGhvbWUsIG9yIGF0IGFueSBvZiBEQSBjbGluaWNzIGlzbGFuZHdpZGUuIEJvb2sgYXBwb2ludG1lbnQuOACiBpQCOpECCiNkb2N0b3Jhbnl3aGVyZS5jb20vaGVhbHRoL3NjcmVlbmluZxIcU3Vic2lkaXNlZCBIZWFsdGggU2NyZWVuaW5ncxodQ3VzdG9taXNlZCBQYWNrYWdlcyAmIEFkZC1PbnMqTkluY2x1ZGVzIGEgY29tcHJlaGVuc2l2ZSBoZWFsdGggcmVwb3J0IGFuZCBkb2N0b3IgcmV2aWV3LiBObyBmYXN0aW5nIHJlcXVpcmVkLjJbRXNzZW50aWFsICYgY29tcHJlaGVuc2l2ZSBoZWFsdGggY2hlY2tzLiBCb29rIHlvdXIgYW5udWFsIGhlYWx0aCBjaGVja3VwIGZvciBwZWFjZSBvZiBtaW5kLjgAogadAjqaAgojZG9jdG9yYW55d2hlcmUuY29tL2hlYWx0aC9zY3JlZW5pbmcSG0NvbG9yZWN0YWwgQ2FuY2VyIFNjcmVlbmluZxodQ3VzdG9taXNhYmxlIFBhY2thZ2VzL0FkZC1PbnMqW0Vzc2VudGlhbCAmIGNvbXByZWhlbnNpdmUgaGVhbHRoIGNoZWNrcy4gQm9vayB5b3VyIGFubnVhbCBoZWFsdGggY2hlY2t1cCBmb3IgcGVhY2Ugb2YgbWluZC4yWEdldCBzY3JlZW5lZCBjb252ZW5pZW50bHkgYXQgaG9tZSwgb3IgYXQgYW55IG9mIERBIGNsaW5pY3MgaXNsYW5kd2lkZS4gQm9vayBhcHBvaW50bWVudC44AKIGmAI6lQIKI2RvY3RvcmFueXdoZXJlLmNvbS9oZWFsdGgvc2NyZWVuaW5nEhhTdWJzaWRpc2VkIEhlYWx0aCBDaGVja3MaG0NvbG9yZWN0YWwgQ2FuY2VyIFNjcmVlbmluZypYR2V0IHNjcmVlbmVkIGNvbnZlbmllbnRseSBhdCBob21lLCBvciBhdCBhbnkgb2YgREEgY2xpbmljcyBpc2xhbmR3aWRlLiBCb29rIGFwcG9pbnRtZW50LjJbRXNzZW50aWFsICYgY29tcHJlaGVuc2l2ZSBoZWFsdGggY2hlY2tzLiBCb29rIHlvdXIgYW5udWFsIGhlYWx0aCBjaGVja3VwIGZvciBwZWFjZSBvZiBtaW5kLjgACgYIARICMgAKxSIIARLAIgoGCKfQxfNCogYtCisKJwolCM-Bte-sAcoBGwoZR2V0IFNjcmVlbmVkIENvbnZlbmllbnRseVggogYnCiUKIQofCNKBte-sAcoBFQoTTm8gRmFzdGluZyBSZXF1aXJlZFggogYpCicKIwohCNWBte-sAcoBFwoVREEgQ2xpbmljcyBJc2xhbmR3aWRlWCCiBisKKQolCiMI2IG176wBygEZChdFc3NlbnRpYWwgSGVhbHRoIENoZWNrc1ggogbtAwrqAwrlAwriAwiymfH62gGiA9cDCAcQARoCZW4ibQoEQ29yZRIORm9yIGFnZXMgMjAtMzAaCgoDU0dEEOCaxSgqSWh0dHBzOi8vZG9jdG9yYW55d2hlcmUuY29tL2hlYWx0aC1zY3JlZW5pbmdzLyMxNjM0NjI3NTAyNTY1LWQ5MjA1ZTY2LWI5NGQibwoGU2VsZWN0Eg5Gb3IgYWdlcyAzMC00MBoKCgNTR0QQgNDDQipJaHR0cHM6Ly9kb2N0b3Jhbnl3aGVyZS5jb20vaGVhbHRoLXNjcmVlbmluZ3MvIzE2MzQ2Mjc1MDI1NjUtZDkyMDVlNjYtYjk0ZCJuCgVFbGl0ZRIOQWJvdmUgNDAgeWVhcnMaCgoDU0dEEKCFwlwqSWh0dHBzOi8vZG9jdG9yYW55d2hlcmUuY29tL2hlYWx0aC1zY3JlZW5pbmdzLyMxNjM0NjI3NTAyNTY1LWQ5MjA1ZTY2LWI5NGQifQoIUHJlc3RpZ2USGU1vc3QgQ29tcHJlaGVuc2l2ZSBTY3JlZW4aCwoDU0dEEIClvaoBKklodHRwczovL2RvY3RvcmFueXdoZXJlLmNvbS9oZWFsdGgtc2NyZWVuaW5ncy8jMTYzNDYyNzUwMjU2NS1kOTIwNWU2Ni1iOTRkWDKiBtIBCs8BCsoBCscBCI2p5r5VanVodHRwczovL21hcmtldHBsYWNlLmRvY3RvcmFueXdoZXJlLmNvbS9jYXRlZ29yaWVzL3Byb2R1Y3QvaGVhbHRoLXNjcmVlbmluZy9kYS1oZWFsdGgtc2NyZWVuaW5nP3R5cGU9JmlkPTE1Nzgmc3ViPTEwNDmqAUcKGUhlYWx0aCBTY3JlZW5pbmcgUGFja2FnZXMSF0luLWNsaW5pYyBvciBob21lLWJhc2VkGhFWaWV3IGFsbCBwYWNrYWdlc1gfogahAQqeAQqZAQqWAQiKvMjk2gFqMWh0dHBzOi8vZG9jdG9yYW55d2hlcmUuY29tL2hlYWx0aC1zY3JlZW5pbmdzLyNtZW6qAVkKGU1lbuKAmXMgSGVhbHRoIFNjcmVlbmluZ3MSHFN1YnNpZGlzZWQgaGVhbHRoIHNjcmVlbmluZ3MaHkRBIGNsaW5pY3MgYXJlIENIQVMtYWNjcmVkaXRlZFgfogafAQqcAQqXAQqUAQiNvMjk2gFqLWh0dHBzOi8vZG9jdG9yYW55d2hlcmUuY29tL2hlYWx0aC1zY3JlZW5pbmdzL6oBWwobV29tZW7igJlzIEhlYWx0aCBTY3JlZW5pbmdzEhxTdWJzaWRpc2VkIGhlYWx0aCBzY3JlZW5pbmdzGh5EQSBjbGluaWNzIGFyZSBDSEFTLWFjY3JlZGl0ZWRYH6IGiQEKhgEKgQEKfwiCoOPDtANqJWh0dHBzOi8vZG9jdG9yYW55d2hlcmUuY29tL2RhLWNsaW5pYy-qAU4KD1NjcmVlbiBmb3IgTGlmZRIiTGVhcm4gbW9yZSBhYm91dCBzdWJzaWRpc2VkIGhlYWx0aBoXc2NyZWVuaW5ncyBpbiBTaW5nYXBvcmVYH6IG3wEK3AEKKwopCIKvkYcpEiFDb250cmFjZXB0aXZlQWRfTG9nbzEyMDB4MTIwMC5qcGciqgEIgICAoNeItfcWIJzIDCgBOosBCLAJELAJGjxodHRwczovL3RwYy5nb29nbGVzeW5kaWNhdGlvbi5jb20vc2ltZ2FkLzIzMjU4NTMzNjAyMTMwOTUwNzYiPGh0dHBzOi8vdHBjLmdvb2dsZXN5bmRpY2F0aW9uLmNvbS9waW1nYWQvMjMyNTg1MzM2MDIxMzA5NTA3NikAAAAAAADwP0Dt1Mqo_-Pk4AJQAVg4ogbzBgrwBgoJCgcI9-PBxLkBWDHaAd8GCndodHRwczovL2xoMy5nb29nbGV1c2VyY29udGVudC5jb20vZDcxbkx5Y3hneGdNRDIzZlFJaGpKektlckJMQ3FkNmtwbEhZVzEwR2h2UnNJX2tPM3FMRGxyR3h5ZG82OGF6YXhmajcxSnhudlZ3PXc1MTItaDUxMhIcRG9jdG9yIEFueXdoZXJlIC0gSGVhbHRoY2FyZRoFZW5fU0cgAiorCgJpZAoFaWRfSUQSHkRvY3RvciBBbnl3aGVyZSAtIFRlbGVtZWRpY2luZSopCgJtcwoFbXNfTVkSHERvY3RvciBBbnl3aGVyZSAtIFRlbGVoZWFsdGgqQwoCdGgKBXRoX1RIEjZEb2N0b3IgQW55d2hlcmUgLSDguYHguJ7guJfguKLguYzguK3guK3guJnguYTguKXguJnguYwqHAoCdmkKBXZpX1ZOEg9Eb2N0b3IgQW55d2hlcmUqMQoCemgKBXpoX0NOEiTku7vkvZXlnLDmlrnnmoTljLvnlJ8gLSDov5znqIvljLvnlpcqYQoCZW4KBWVuX0FVCgVlbl9DQQoFZW5fR0IKBWVuX0lFCgVlbl9JTgoFZW5fTloKBWVuX1NHCgVlbl9VUwoFZW5fWkESHERvY3RvciBBbnl3aGVyZSAtIEhlYWx0aGNhcmUqYQoCZW4KBWVuX0FVCgVlbl9DQQoFZW5fR0IKBWVuX0lFCgVlbl9JTgoFZW5fTloKBWVuX1NHCgVlbl9VUwoFZW5fWkESHERvY3RvciBBbnl3aGVyZSAtIFRlbGVoZWFsdGgqYQoCZW4KBWVuX0FVCgVlbl9DQQoFZW5fR0IKBWVuX0lFCgVlbl9JTgoFZW5fTloKBWVuX1NHCgVlbl9VUwoFZW5fWkESHERvY3RvciBBbnl3aGVyZSAtIFRlbGVoZWFsdGgqYQoCZW4KBWVuX0FVCgVlbl9DQQoFZW5fR0IKBWVuX0lFCgVlbl9JTgoFZW5fTloKBWVuX1NHCgVlbl9VUwoFZW5fWkESHERvY3RvciBBbnl3aGVyZSAtIFRlbGVoZWFsdGgqQwoCdGgKBXRoX1RIEjZEb2N0b3IgQW55d2hlcmUgLSDguYHguJ7guJfguKLguYzguK3guK3guJnguYTguKXguJnguYyiBuANCt0NCgkKBwiD5MHEuQFYMdoBzA0Kdmh0dHBzOi8vbGgzLmdvb2dsZXVzZXJjb250ZW50LmNvbS9WNzRjVlRUaWlXdHR0WEZTRXJoYU9GcWtRTktHaENYTEZWXzRkTHBJSTVFSWZrTUtER2lKel9PY2tyblZTZmhDT1ZOXzdsamZTdz13NTEyLWg1MTISG0RvY3RvciBBbnl3aGVyZTogSGVhbHRoY2FyZRoCZW4gASokCgVhcl9TQRIbRG9jdG9yIEFueXdoZXJlOiBIZWFsdGhjYXJlKiQKBWNhX0VTEhtEb2N0b3IgQW55d2hlcmU6IEhlYWx0aGNhcmUqJAoFY3NfQ1oSG0RvY3RvciBBbnl3aGVyZTogSGVhbHRoY2FyZSokCgVkYV9ESxIbRG9jdG9yIEFueXdoZXJlOiBIZWFsdGhjYXJlKiQKBWRlX0RFEhtEb2N0b3IgQW55d2hlcmU6IEhlYWx0aGNhcmUqJAoFZWxfR1ISG0RvY3RvciBBbnl3aGVyZTogSGVhbHRoY2FyZSohCgJlbhIbRG9jdG9yIEFueXdoZXJlOiBIZWFsdGhjYXJlKiQKBWVuX0FVEhtEb2N0b3IgQW55d2hlcmU6IEhlYWx0aGNhcmUqJAoFZW5fQ0ESG0RvY3RvciBBbnl3aGVyZTogSGVhbHRoY2FyZSokCgVlbl9HQhIbRG9jdG9yIEFueXdoZXJlOiBIZWFsdGhjYXJlKiQKBWVuX1VTEhtEb2N0b3IgQW55d2hlcmU6IEhlYWx0aGNhcmUqJAoFZXNfRVMSG0RvY3RvciBBbnl3aGVyZTogSGVhbHRoY2FyZSokCgVlc19NWBIbRG9jdG9yIEFueXdoZXJlOiBIZWFsdGhjYXJlKiQKBWZpX0ZJEhtEb2N0b3IgQW55d2hlcmU6IEhlYWx0aGNhcmUqJAoFZnJfQ0ESG0RvY3RvciBBbnl3aGVyZTogSGVhbHRoY2FyZSokCgVmcl9GUhIbRG9jdG9yIEFueXdoZXJlOiBIZWFsdGhjYXJlKiQKBWhpX0lOEhtEb2N0b3IgQW55d2hlcmU6IEhlYWx0aGNhcmUqJAoFaHJfSFISG0RvY3RvciBBbnl3aGVyZTogSGVhbHRoY2FyZSokCgVodV9IVRIbRG9jdG9yIEFueXdoZXJlOiBIZWFsdGhjYXJlKiUKBWlkX0lEEhxEb2N0b3IgQW55d2hlcmUgLSBUZWxlaGVhbHRoKiQKBWl0X0lUEhtEb2N0b3IgQW55d2hlcmU6IEhlYWx0aGNhcmUqJAoFaXdfSUwSG0RvY3RvciBBbnl3aGVyZTogSGVhbHRoY2FyZSokCgVqYV9KUBIbRG9jdG9yIEFueXdoZXJlOiBIZWFsdGhjYXJlKiQKBWtvX0tSEhtEb2N0b3IgQW55d2hlcmU6IEhlYWx0aGNhcmUqJQoFbXNfTVkSHERvY3RvciBBbnl3aGVyZSAtIFRlbGVoZWFsdGgqJAoFbmJfTk8SG0RvY3RvciBBbnl3aGVyZTogSGVhbHRoY2FyZSokCgVubF9OTBIbRG9jdG9yIEFueXdoZXJlOiBIZWFsdGhjYXJlKiQKBW5vX05PEhtEb2N0b3IgQW55d2hlcmU6IEhlYWx0aGNhcmUqJAoFcGxfUEwSG0RvY3RvciBBbnl3aGVyZTogSGVhbHRoY2FyZSokCgVwdF9CUhIbRG9jdG9yIEFueXdoZXJlOiBIZWFsdGhjYXJlKiQKBXB0X1BUEhtEb2N0b3IgQW55d2hlcmU6IEhlYWx0aGNhcmUqJAoFcm9fUk8SG0RvY3RvciBBbnl3aGVyZTogSGVhbHRoY2FyZSokCgVydV9SVRIbRG9jdG9yIEFueXdoZXJlOiBIZWFsdGhjYXJlKiQKBXNrX1NLEhtEb2N0b3IgQW55d2hlcmU6IEhlYWx0aGNhcmUqJAoFc3ZfU0USG0RvY3RvciBBbnl3aGVyZTogSGVhbHRoY2FyZSo_CgV0aF9USBI2RG9jdG9yIEFueXdoZXJlIC0g4LmB4Lie4LiX4Lii4LmM4Lit4Lit4LiZ4LmE4Lil4LiZ4LmMKiQKBXRyX1RSEhtEb2N0b3IgQW55d2hlcmU6IEhlYWx0aGNhcmUqJAoFdWtfVUESG0RvY3RvciBBbnl3aGVyZTogSGVhbHRoY2FyZSolCgV2aV9WThIcRG9jdG9yIEFueXdoZXJlIC0gVGVsZWhlYWx0aCokCgV6aF9DThIbRG9jdG9yIEFueXdoZXJlOiBIZWFsdGhjYXJlKiQKBXpoX1RXEhtEb2N0b3IgQW55d2hlcmU6IEhlYWx0aGNhcmWiBjkiNwoSMTQwIENvcnBvcmF0aW9uIERyEgAaGERBIENsaW5pYyBAIFRhbWFuIEp1cm9uZyDQheW1nQOiBi4iLAoOMjQ4IFNpbWVpIFN0IDMSABoRREEgQ2xpbmljIEAgU2ltZWkg1oXltZ0DogY6IjgKFTUyNSBBbmcgTW8gS2lvIEF2ZSAxMBIAGhZEQSBDbGluaWMgQCBBbmcgTW8gS2lvINmF5bWdAwqSBggBEo0GKgCiBp4BCpsBCpYBCpMBCNyg7dVVogGJAQoPU2VydmljZSBjYXRhbG9nEhRHZW5lcmFsIFByYWN0aXRpb25lchIUTGFjdGF0aW9uIENvbnN1bHRhbnQSFFNleHVhbCBIZWFsdGggQWR2aWNlEhNNZWRpY2F0aW9uIERlbGl2ZXJ5EglSZWZlcnJhbHMSFFNwZWNpYWxpc3RzIFJlZmVycmFsWB6iBrkBCrYBCrEBCq4BCN-g7dVVogGkAQoPU2VydmljZSBjYXRhbG9nEgxIZWFsdGhpZXIgU0cSCUdQIERvY3RvchILU3BlY2lhbGlzdHMSE051dHJpdGlvbiAmIEZpdG5lc3MSEEhlYWx0aCBTY3JlZW5pbmcSD01lbnRhbCBXZWxsbmVzcxIMVmFjY2luYXRpb25zEg9DaGlsZHJlbiBDbGluaWMSFE1lbiAmIFdvbWVuJ3MgSGVhbHRoWB6iBiEKHwobChkIoqHaoAQaEQoPRG9jdG9yIEFueXdoZXJlWCmiBt8BCtwBCisKKQiCr5GHKRIhQ29udHJhY2VwdGl2ZUFkX0xvZ28xMjAweDEyMDAuanBnIqoBCICAgKDXiLX3FiCcyAwoATqLAQiwCRCwCRo8aHR0cHM6Ly90cGMuZ29vZ2xlc3luZGljYXRpb24uY29tL3NpbWdhZC8yMzI1ODUzMzYwMjEzMDk1MDc2IjxodHRwczovL3RwYy5nb29nbGVzeW5kaWNhdGlvbi5jb20vcGltZ2FkLzIzMjU4NTMzNjAyMTMwOTUwNzYpAAAAAAAA8D9A7dTKqP_j5OACUAFYOKIGMCIuCg8xOCBZaXNodW4gQXZlIDkSABoSREEgQ2xpbmljIEAgWWlzaHVuIMqF5bWdA6IGMyIxChA0NjAgQWxleGFuZHJhIFJkEgAaFEFkZXB0IEhlYWx0aCBQdGUgTHRkIM2F5bWdA6IGOSI3ChIxNDAgQ29ycG9yYXRpb24gRHISABoYREEgQ2xpbmljIEAgVGFtYW4gSnVyb25nINCF5bWdA6ABJBJMQUJDMnp1WmFiMU55czc3RzJHQjJ1V3V4MGswZFZkeG5GYnJ6Rk1tMHNqMm1XRnNXZ2tEb3pXUG9TOGFsc3VhYmNvSWhOVldGWjJMWSITEgxIAVABWAFgAWgBcAAoAUIBAii8j4_r8TMwgJD70wk6CBABKB4wBDgAQg5BV05fQ01fRURJVElORw==" TargetMode="External"/><Relationship Id="rId35" Type="http://schemas.openxmlformats.org/officeDocument/2006/relationships/hyperlink" Target="https://docs.google.com/presentation/d/17qQ9AA1ALuDO3XKPpWQRby4bnEVoEh6U7-i5Fc2DNmE/edit?usp=sharing" TargetMode="External"/><Relationship Id="rId12" Type="http://schemas.openxmlformats.org/officeDocument/2006/relationships/hyperlink" Target="https://ads.google.com/aw_cm/ExternalPreview?ocid=243625884&amp;euid=6504451576&amp;pt=CvdZCJzflXQQ-JvInRgaBWVuX1VTYuJZCpJHCAESjUcSKSonaHR0cHM6Ly9kb2N0b3Jhbnl3aGVyZS5jb20va2lkcy1jbGluaWMvogYnCiUKIQofGh0KGzI0LUhyIE9ubGluZSBLaWRzIENsaW5pYyBHUFgBogYoCiYKIgogGh4KHE5vIE5lZWQgVG8gVHJhdmVsIFRvIENsaW5pY3NYAaIGJwolCiEKHxodChtHZXQgU3ltcHRvbSBSZWxpZWYgZm9yIEtpZHNYAaIGJgokCiAKHhocChpDb25zdWx0IEdQIG92ZXIgdmlkZW8tY2FsbFgBogYnCiUKIQofGh0KG0luY2wuIG9mIDMtaHIgTWVkcyBEZWxpdmVyeVgBogYnCiUKIQofGh0KG1ZpZGVvIENhbGwgS2lkLUZyaWVuZGx5IEdQc1gBogYmCiQKIAoeGhwKGkhvbWUgVmlzaXRzICYgVmFjY2luYXRpb25zWAGiBicKJQohCh8aHQobU2VlIEtpZC1GcmllbmRseSBHUCBmciBIb21lWAGiBiQKIgoeChwaGgoYSG9tZSBHUCBDb25zdWx0IGZvciBLaWRzWAGiBicKJQohCh8aHQobJDM4LjE1L1ZpZGVvIENhbGwgKDZBTS05UE0pWAGiBiYKJAogCh4aHAoaU3VpdGFibGUgZm9yIENvbW1vbiBJc3N1ZXNYAaIGKQonCiMKIRofCh1UZWxlY29uc3VsdCBBIEtpZC1GcmllbmRseSBHUFgBogYoCiYKIgogGh4KHEtpZHMgT25saW5lIENsaW5pYyAoMC02IHkubylYAaIGJwolCiEKHxodChtTaWNrIENoaWxkPyBDb25zdWx0IDI0LzcgR1BYAaIGKAomCiIKIBoeChxObyBUaW1lIFRvIFRyYXZlbCB0byBEb2N0b3I_WAGiBmUKYwpfCl0aWwpZQ29uc3VsdCBhIGtpZC1mcmllbmRseSBHUCBmb3IgeW91ciBraWTigJlzIGhlYWx0aCBpbiB0aGUgY29tZm9ydCBvZiBob21lLiBEb3dubG9hZCBEQSBhcHBYAqIGZApiCl4KXBpaClhLaWRzIHRlbGVjb25zdWx0IGluY2wuIDNociBtZWRzIGRlbGl2ZXJ5IGZyb20gYW4gZXh0ZW5zaXZlIHBhZWRpYXRyaWMgcGhhcm1hY3kvZm9ybXVsYXJ5WAKiBmEKXwpbClkaVwpVT3VyIGRvY3RvcnMgYXJlIGF2YWlsYWJsZSAyNC83LCBvbiBkZW1hbmQuIE5vIG5lZWQgdG8gdHJhdmVsIHRvIG9yIHdhaXQgYXQgdGhlIGNsaW5pY1gCogZiCmAKXApaGlgKVkdldCBzeW1wdG9tIHJlbGllZiB3L28gdHJhdmVsaW5nIG91dCBvZiB0aGUgaG91c2UuIFZpZGVvIGNhbGwgYSBraWQtZnJpZW5kbHkgR1AgJDM4LjE1WAKiBmUKYwpfCl0aWwpZU2ljayBDaGlsZD8gVmlkZW8tY2FsbCBraWQtZnJpZW5kbHkgR1AgZm9yICQzOC4xNSAoNkFNLTlQTSkuICQ2NS40MCAoOVBNLTZBTSkuIE9wZW4gMjQtaHJYAqIGRApCCj4KPBo6CjhWaWRlbyBjYWxsIGEgMjQtaHIga2lkLWZyaWVuZGx5IEdQIGZvciBjb21tb24gY29uZGl0aW9uc1gDogZgCl4KWgpYGlYKVENvbnN1bHQgYSBkb2N0b3Igb3ZlciB2aWRlby1jYWxsIGZvciBtZWRpY2FsIGFkdmljZSAmIHRyZWF0bWVudC4gRnJvbSAkMzguMTUvY29uc3VsdFgDogZhCl8KWwpZGlcKVVdpdGggMjQvNyBraWQtZnJpZW5kbHkgR1AgYWNjZXNzLCBjb25zdWx0IGEgZG9jdG9yIGFueXRpbWUgYW55d2hlcmUgZm9yIGtpZHMgYWdlZCAwLTZYA6IGYApeCloKWBpWClRUYWlsb3JlZCB0byB0aGUgbmVlZHMgb2YgaW5mYW50cywgdG9kZGxlcnMsIGFuZCBwcmVzY2hvb2xlcnMuIElkZWFsIGZvciBidXN5IHBhcmVudHNYA6IGYgpgClwKWhpYClZMZXQgdXMgaGVscCB5b3UgYW5kIHlvdXIgc2ljayBjaGlsZC4gQXZhaWxhYmxlIDI0LzcuIFRhbGsgdG8ga2lkLWZyaWVuZGx5IEdQIGZyb20gaG9tZVgDogbRAQrOAQoyCjAItMS5uqIKEidQTUFYLUtpZHMtQ2xpbmljLTIwMjYtKDEyMDBYNjI4KS0xMC5qcGcilQEIgICAkPaj8fQWIOzZEDqCAQj0BBCwCRo8aHR0cHM6Ly90cGMuZ29vZ2xlc3luZGljYXRpb24uY29tL3NpbWdhZC82MDg4ODc0NTUwNTI2MTIwMzE0IjxodHRwczovL3RwYy5nb29nbGVzeW5kaWNhdGlvbi5jb20vcGltZ2FkLzYwODg4NzQ1NTA1MjYxMjAzMTRQAVgEogbRAQrOAQoyCjAIk7q7uqIKEidQTUFYLUtpZHMtQ2xpbmljLTIwMjYtKDEyMDBYNjI4KS0xMi5qcGcilQEIgICAkPajhfBcIJnPEjqCAQj0BBCwCRo8aHR0cHM6Ly90cGMuZ29vZ2xlc3luZGljYXRpb24uY29tL3NpbWdhZC8zNzUwODU5ODY0NTgxNjg5NzM4IjxodHRwczovL3RwYy5nb29nbGVzeW5kaWNhdGlvbi5jb20vcGltZ2FkLzM3NTA4NTk4NjQ1ODE2ODk3MzhQAVgEogbSAQrPAQoyCjAIhK6q3aIKEidQTUFYLUtpZHMtQ2xpbmljLTIwMjYtKDEyMDBYNjI4KS0xMS5qcGcilgEIgICAkPaj0fnkASDUjBY6ggEI9AQQsAkaPGh0dHBzOi8vdHBjLmdvb2dsZXN5bmRpY2F0aW9uLmNvbS9zaW1nYWQvNTY5OTgxMTAwMDYyMTM3NTI4MiI8aHR0cHM6Ly90cGMuZ29vZ2xlc3luZGljYXRpb24uY29tL3BpbWdhZC81Njk5ODExMDAwNjIxMzc1MjgyUAFYBKIG0wEK0AEKMgowCK-Cm5OiChInUE1BWC1LaWRzLUNsaW5pYy0yMDI2LSgxMjAweDEyMDApLTQuanBnIpcBCICAgJD2o8XxPSDMhSI6hAEIsAkQsAkaPWh0dHBzOi8vdHBjLmdvb2dsZXN5bmRpY2F0aW9uLmNvbS9zaW1nYWQvMTQ1NzMxODk0NDgzODA1NDY3ODkiPWh0dHBzOi8vdHBjLmdvb2dsZXN5bmRpY2F0aW9uLmNvbS9waW1nYWQvMTQ1NzMxODk0NDgzODA1NDY3ODlQAVgFogbRAQrOAQoyCjAI5sqs3aIKEidQTUFYLUtpZHMtQ2xpbmljLTIwMjYtKDEyMDB4MTIwMCktNi5qcGcilQEIgICAkPajocpVINPdHzqCAQiwCRCwCRo8aHR0cHM6Ly90cGMuZ29vZ2xlc3luZGljYXRpb24uY29tL3NpbWdhZC84NjQwNzAyOTg3MTcyNTIxMDU0IjxodHRwczovL3RwYy5nb29nbGVzeW5kaWNhdGlvbi5jb20vcGltZ2FkLzg2NDA3MDI5ODcxNzI1MjEwNTRQAVgFogbQAQrNAQoxCi8I2Mus3aIKEiZQTUFYLUtpZHMtQ2xpbmljLTIwMjYtKDEyMDB4MTIwMCk1LmpwZyKVAQiAgICQ9qOxvRQgjoAjOoIBCLAJELAJGjxodHRwczovL3RwYy5nb29nbGVzeW5kaWNhdGlvbi5jb20vc2ltZ2FkLzM4MzE4MjE4NDk5ODA1MDA4MjciPGh0dHBzOi8vdHBjLmdvb2dsZXN5bmRpY2F0aW9uLmNvbS9waW1nYWQvMzgzMTgyMTg0OTk4MDUwMDgyN1ABWAWiBrYBCrMBChQKEgiI95jTugkSCWNvdmVyLnBuZyKYAQiAgICQqt-G9NwBIMK-GzqEAQi4CBC4CBo9aHR0cHM6Ly90cGMuZ29vZ2xlc3luZGljYXRpb24uY29tL3NpbWdhZC8xMjU2NTQ2NTk2OTMyODMwNzgzMiI9aHR0cHM6Ly90cGMuZ29vZ2xlc3luZGljYXRpb24uY29tL3BpbWdhZC8xMjU2NTQ2NTk2OTMyODMwNzgzMlABWAWiBrIBCq8BChEKDwjltJrTugkSBjAyLnBuZyKXAQiAgICQqt_ms1Ygh_MuOoQBCLgIELgIGj1odHRwczovL3RwYy5nb29nbGVzeW5kaWNhdGlvbi5jb20vc2ltZ2FkLzEzMzM1MjY4NzM0OTU4NDY2NjY3Ij1odHRwczovL3RwYy5nb29nbGVzeW5kaWNhdGlvbi5jb20vcGltZ2FkLzEzMzM1MjY4NzM0OTU4NDY2NjY3UAFYBaIGswEKsAEKEQoPCMC2mtO6CRIGMDUucG5nIpgBCICAgJCq38bLsQEgjqkkOoQBCLgIELgIGj1odHRwczovL3RwYy5nb29nbGVzeW5kaWNhdGlvbi5jb20vc2ltZ2FkLzE0MTEyNDI4NDA5NTM5MzM4NjUzIj1odHRwczovL3RwYy5nb29nbGVzeW5kaWNhdGlvbi5jb20vcGltZ2FkLzE0MTEyNDI4NDA5NTM5MzM4NjUzUAFYBaIGsAEKrQEKEQoPCNa3mtO6CRIGMDQucG5nIpUBCICAgJCq3-b-ESDL7TQ6ggEIuAgQuAgaPGh0dHBzOi8vdHBjLmdvb2dsZXN5bmRpY2F0aW9uLmNvbS9zaW1nYWQvOTI3NzY4OTA3NDU2MDI4NDI4NCI8aHR0cHM6Ly90cGMuZ29vZ2xlc3luZGljYXRpb24uY29tL3BpbWdhZC85Mjc3Njg5MDc0NTYwMjg0Mjg0UAFYBaIGsQEKrgEKEQoPCOSJi_i6CRIGMDEucG5nIpYBCICAgJCq36b0zgEg98krOoIBCLgIELgIGjxodHRwczovL3RwYy5nb29nbGVzeW5kaWNhdGlvbi5jb20vc2ltZ2FkLzQzODE0MDQzNTU3NjkzNDk3MzgiPGh0dHBzOi8vdHBjLmdvb2dsZXN5bmRpY2F0aW9uLmNvbS9waW1nYWQvNDM4MTQwNDM1NTc2OTM0OTczOFABWAWiBrABCq0BChEKDwini4v4ugkSBjAzLnBuZyKVAQiAgICQqt_a6xQgttguOoIBCLgIELgIGjxodHRwczovL3RwYy5nb29nbGVzeW5kaWNhdGlvbi5jb20vc2ltZ2FkLzUyMzUwNDgxODY1MjIxMDcyMTkiPGh0dHBzOi8vdHBjLmdvb2dsZXN5bmRpY2F0aW9uLmNvbS9waW1nYWQvNTIzNTA0ODE4NjUyMjEwNzIxOVABWAWiBtMBCtABCjEKLwjKs7m6ogoSJlBNQVgtS2lkcy1DbGluaWMtMjAyNi0oOTYweDEyMDApLTkuanBnIpgBCICAgJD2o7GjlQEg1rEcOoQBCLAJEMAHGj1odHRwczovL3RwYy5nb29nbGVzeW5kaWNhdGlvbi5jb20vc2ltZ2FkLzE3MzgxMjgwNDU0NjgzNjYxNzAzIj1odHRwczovL3RwYy5nb29nbGVzeW5kaWNhdGlvbi5jb20vcGltZ2FkLzE3MzgxMjgwNDU0NjgzNjYxNzAzUAFYIaIG0AEKzQEKMQovCP-xu7qiChImUE1BWC1LaWRzLUNsaW5pYy0yMDI2LSg5NjB4MTIwMCktNy5qcGcilQEIgICAkPajkb8UIPeZGjqCAQiwCRDABxo8aHR0cHM6Ly90cGMuZ29vZ2xlc3luZGljYXRpb24uY29tL3NpbWdhZC85NTI0Njc1ODYyODUxODkzMzUyIjxodHRwczovL3RwYy5nb29nbGVzeW5kaWNhdGlvbi5jb20vcGltZ2FkLzk1MjQ2NzU4NjI4NTE4OTMzNTJQAVghogbSAQrPAQoxCi8IkbK7uqIKEiZQTUFYLUtpZHMtQ2xpbmljLTIwMjYtKDk2MHgxMjAwKS04LmpwZyKXAQiAgICQ9qPZ9WMgyZ0iOoQBCLAJEMAHGj1odHRwczovL3RwYy5nb29nbGVzeW5kaWNhdGlvbi5jb20vc2ltZ2FkLzEzNDk4NDY5ODk5Nzc2NjA3MzEwIj1odHRwczovL3RwYy5nb29nbGVzeW5kaWNhdGlvbi5jb20vcGltZ2FkLzEzNDk4NDY5ODk5Nzc2NjA3MzEwUAFYIaIG7gEK6wEKGAoWCPmYhKXhCSoNCgs3cGF2OEl2R3dzZzrMAQpORG9jdG9yIEFueXdoZXJlIHwgS2lkJ3MgQ2xpbmljIHwgU2F2ZSBwbGF5dGltZSBmb3IgeW91ciBraWRzIEtpZCdzIENsaW5pYyA5OjE2EJV2GjBodHRwczovL2kueXRpbWcuY29tL3ZpLzdwYXY4SXZHd3NnL2hxZGVmYXVsdC5qcGchAAAAAAAA4j86D0RvY3RvciBBbnl3aGVyZUIraHR0cHM6Ly93d3cueW91dHViZS5jb20vd2F0Y2g_dj03cGF2OEl2R3dzZ1gMogbgAQrdAQoYChYI_JiEpeEJKg0KC05PZTE1SWpKT2xnOr4BCkBEb2N0b3IgQW55d2hlcmUgfCBLaWQncyBDbGluaWMgfCBTYXZlIHBsYXl0aW1lIGZvciB5b3VyIGtpZHMgMToxENF2GjBodHRwczovL2kueXRpbWcuY29tL3ZpL05PZTE1SWpKT2xnL2hxZGVmYXVsdC5qcGchAAAAAAAA8D86D0RvY3RvciBBbnl3aGVyZUIraHR0cHM6Ly93d3cueW91dHViZS5jb20vd2F0Y2g_dj1OT2UxNUlqSk9sZ1gMogbhAQreAQoYChYI_5iEpeEJKg0KC3pmVHFsdjJDSnBROr8BCkFEb2N0b3IgQW55d2hlcmUgfCBLaWQncyBDbGluaWMgfCBTYXZlIHBsYXl0aW1lIGZvciB5b3VyIGtpZHMgMTY6ORCVdhowaHR0cHM6Ly9pLnl0aW1nLmNvbS92aS96ZlRxbHYyQ0pwUS9ocWRlZmF1bHQuanBnIRzHcRzHcfw_Og9Eb2N0b3IgQW55d2hlcmVCK2h0dHBzOi8vd3d3LnlvdXR1YmUuY29tL3dhdGNoP3Y9emZUcWx2MkNKcFFYDKIG3QEK2gEKGAoWCKvojfi2CioNCgt2ZHlXZTdiREdvSTq7AQo9RG9jdG9yIEFueXdoZXJlIHwgS2lkcyBDbGluaWMgfCBLaWQtZnJpZW5kbHkgR1AgY2FyZSwgYW55dGltZRCVdhowaHR0cHM6Ly9pLnl0aW1nLmNvbS92aS92ZHlXZTdiREdvSS9ocWRlZmF1bHQuanBnIQAAAAAAAOI_Og9Eb2N0b3IgQW55d2hlcmVCK2h0dHBzOi8vd3d3LnlvdXR1YmUuY29tL3dhdGNoP3Y9dmR5V2U3YkRHb0lYDKIG3QEK2gEKGAoWCK7ojfi2CioNCgt2NVpLcmtZMWJYODq7AQo9RG9jdG9yIEFueXdoZXJlIHwgS2lkcyBDbGluaWMgfCBLaWQtZnJpZW5kbHkgR1AgY2FyZSwgYW55dGltZRCVdxowaHR0cHM6Ly9pLnl0aW1nLmNvbS92aS92NVpLcmtZMWJYOC9ocWRlZmF1bHQuanBnIQAAAAAAAPA_Og9Eb2N0b3IgQW55d2hlcmVCK2h0dHBzOi8vd3d3LnlvdXR1YmUuY29tL3dhdGNoP3Y9djVaS3JrWTFiWDhYDKIG3QEK2gEKGAoWCLHojfi2CioNCgt0SjVXRVNRMi1Kbzq7AQo9RG9jdG9yIEFueXdoZXJlIHwgS2lkcyBDbGluaWMgfCBLaWQtZnJpZW5kbHkgR1AgY2FyZSwgYW55dGltZRCXdxowaHR0cHM6Ly9pLnl0aW1nLmNvbS92aS90SjVXRVNRMi1Kby9ocWRlZmF1bHQuanBnIRzHcRzHcfw_Og9Eb2N0b3IgQW55d2hlcmVCK2h0dHBzOi8vd3d3LnlvdXR1YmUuY29tL3dhdGNoP3Y9dEo1V0VTUTItSm9YDKIG3AEK2QEKGAoWCLTojfi2CioNCgtCSjlSVkEySzBCbzq6AQo8RG9jdG9yIEFueXdoZXJlIHwgS2lkcyBDbGluaWMgfCBHZW50bGUgY2FyZSBmb3IgZ3Jvd2luZyBraWRzENV1GjBodHRwczovL2kueXRpbWcuY29tL3ZpL0JKOVJWQTJLMEJvL2hxZGVmYXVsdC5qcGchAAAAAAAA4j86D0RvY3RvciBBbnl3aGVyZUIraHR0cHM6Ly93d3cueW91dHViZS5jb20vd2F0Y2g_dj1CSjlSVkEySzBCb1gMogbcAQrZAQoYChYIt-iN-LYKKg0KCzREUmdzS0dOdEtvOroBCjxEb2N0b3IgQW55d2hlcmUgfCBLaWRzIENsaW5pYyB8IEdlbnRsZSBjYXJlIGZvciBncm93aW5nIGtpZHMQo3YaMGh0dHBzOi8vaS55dGltZy5jb20vdmkvNERSZ3NLR050S28vaHFkZWZhdWx0LmpwZyEAAAAAAADwPzoPRG9jdG9yIEFueXdoZXJlQitodHRwczovL3d3dy55b3V0dWJlLmNvbS93YXRjaD92PTREUmdzS0dOdEtvWAyiBtwBCtkBChgKFgi66I34tgoqDQoLTW8wVlB6NnQ3WDg6ugEKPERvY3RvciBBbnl3aGVyZSB8IEtpZHMgQ2xpbmljIHwgR2VudGxlIGNhcmUgZm9yIGdyb3dpbmcga2lkcxDddRowaHR0cHM6Ly9pLnl0aW1nLmNvbS92aS9NbzBWUHo2dDdYOC9ocWRlZmF1bHQuanBnIRzHcRzHcfw_Og9Eb2N0b3IgQW55d2hlcmVCK2h0dHBzOi8vd3d3LnlvdXR1YmUuY29tL3dhdGNoP3Y9TW8wVlB6NnQ3WDhYDKIGDQoLCgcKBYICAggBWCiiBtEBCs4BCjIKMAi0xLm6ogoSJ1BNQVgtS2lkcy1DbGluaWMtMjAyNi0oMTIwMFg2MjgpLTEwLmpwZyKVAQiAgICQ9qPx9BYg7NkQOoIBCPQEELAJGjxodHRwczovL3RwYy5nb29nbGVzeW5kaWNhdGlvbi5jb20vc2ltZ2FkLzYwODg4NzQ1NTA1MjYxMjAzMTQiPGh0dHBzOi8vdHBjLmdvb2dsZXN5bmRpY2F0aW9uLmNvbS9waW1nYWQvNjA4ODg3NDU1MDUyNjEyMDMxNFABWDuiBtEBCs4BCjIKMAiTuru6ogoSJ1BNQVgtS2lkcy1DbGluaWMtMjAyNi0oMTIwMFg2MjgpLTEyLmpwZyKVAQiAgICQ9qOF8Fwgmc8SOoIBCPQEELAJGjxodHRwczovL3RwYy5nb29nbGVzeW5kaWNhdGlvbi5jb20vc2ltZ2FkLzM3NTA4NTk4NjQ1ODE2ODk3MzgiPGh0dHBzOi8vdHBjLmdvb2dsZXN5bmRpY2F0aW9uLmNvbS9waW1nYWQvMzc1MDg1OTg2NDU4MTY4OTczOFABWDuiBtIBCs8BCjIKMAiErqrdogoSJ1BNQVgtS2lkcy1DbGluaWMtMjAyNi0oMTIwMFg2MjgpLTExLmpwZyKWAQiAgICQ9qPR-eQBINSMFjqCAQj0BBCwCRo8aHR0cHM6Ly90cGMuZ29vZ2xlc3luZGljYXRpb24uY29tL3NpbWdhZC81Njk5ODExMDAwNjIxMzc1MjgyIjxodHRwczovL3RwYy5nb29nbGVzeW5kaWNhdGlvbi5jb20vcGltZ2FkLzU2OTk4MTEwMDA2MjEzNzUyODJQAVg7ogbTAQrQAQoyCjAIr4Kbk6IKEidQTUFYLUtpZHMtQ2xpbmljLTIwMjYtKDEyMDB4MTIwMCktNC5qcGcilwEIgICAkPajxfE9IMyFIjqEAQiwCRCwCRo9aHR0cHM6Ly90cGMuZ29vZ2xlc3luZGljYXRpb24uY29tL3NpbWdhZC8xNDU3MzE4OTQ0ODM4MDU0Njc4OSI9aHR0cHM6Ly90cGMuZ29vZ2xlc3luZGljYXRpb24uY29tL3BpbWdhZC8xNDU3MzE4OTQ0ODM4MDU0Njc4OVABWDuiBtEBCs4BCjIKMAjmyqzdogoSJ1BNQVgtS2lkcy1DbGluaWMtMjAyNi0oMTIwMHgxMjAwKS02LmpwZyKVAQiAgICQ9qOhylUg090fOoIBCLAJELAJGjxodHRwczovL3RwYy5nb29nbGVzeW5kaWNhdGlvbi5jb20vc2ltZ2FkLzg2NDA3MDI5ODcxNzI1MjEwNTQiPGh0dHBzOi8vdHBjLmdvb2dsZXN5bmRpY2F0aW9uLmNvbS9waW1nYWQvODY0MDcwMjk4NzE3MjUyMTA1NFABWDuiBtABCs0BCjEKLwjYy6zdogoSJlBNQVgtS2lkcy1DbGluaWMtMjAyNi0oMTIwMHgxMjAwKTUuanBnIpUBCICAgJD2o7G9FCCOgCM6ggEIsAkQsAkaPGh0dHBzOi8vdHBjLmdvb2dsZXN5bmRpY2F0aW9uLmNvbS9zaW1nYWQvMzgzMTgyMTg0OTk4MDUwMDgyNyI8aHR0cHM6Ly90cGMuZ29vZ2xlc3luZGljYXRpb24uY29tL3BpbWdhZC8zODMxODIxODQ5OTgwNTAwODI3UAFYO6IGtgEKswEKFAoSCIj3mNO6CRIJY292ZXIucG5nIpgBCICAgJCq34b03AEgwr4bOoQBCLgIELgIGj1odHRwczovL3RwYy5nb29nbGVzeW5kaWNhdGlvbi5jb20vc2ltZ2FkLzEyNTY1NDY1OTY5MzI4MzA3ODMyIj1odHRwczovL3RwYy5nb29nbGVzeW5kaWNhdGlvbi5jb20vcGltZ2FkLzEyNTY1NDY1OTY5MzI4MzA3ODMyUAFYO6IGsgEKrwEKEQoPCOW0mtO6CRIGMDIucG5nIpcBCICAgJCq3-azViCH8y46hAEIuAgQuAgaPWh0dHBzOi8vdHBjLmdvb2dsZXN5bmRpY2F0aW9uLmNvbS9zaW1nYWQvMTMzMzUyNjg3MzQ5NTg0NjY2NjciPWh0dHBzOi8vdHBjLmdvb2dsZXN5bmRpY2F0aW9uLmNvbS9waW1nYWQvMTMzMzUyNjg3MzQ5NTg0NjY2NjdQAVg7ogazAQqwAQoRCg8IwLaa07oJEgYwNS5wbmcimAEIgICAkKrfxsuxASCOqSQ6hAEIuAgQuAgaPWh0dHBzOi8vdHBjLmdvb2dsZXN5bmRpY2F0aW9uLmNvbS9zaW1nYWQvMTQxMTI0Mjg0MDk1MzkzMzg2NTMiPWh0dHBzOi8vdHBjLmdvb2dsZXN5bmRpY2F0aW9uLmNvbS9waW1nYWQvMTQxMTI0Mjg0MDk1MzkzMzg2NTNQAVg7ogawAQqtAQoRCg8I1rea07oJEgYwNC5wbmcilQEIgICAkKrf5v4RIMvtNDqCAQi4CBC4CBo8aHR0cHM6Ly90cGMuZ29vZ2xlc3luZGljYXRpb24uY29tL3NpbWdhZC85Mjc3Njg5MDc0NTYwMjg0Mjg0IjxodHRwczovL3RwYy5nb29nbGVzeW5kaWNhdGlvbi5jb20vcGltZ2FkLzkyNzc2ODkwNzQ1NjAyODQyODRQAVg7ogaxAQquAQoRCg8I5ImL-LoJEgYwMS5wbmcilgEIgICAkKrfpvTOASD3ySs6ggEIuAgQuAgaPGh0dHBzOi8vdHBjLmdvb2dsZXN5bmRpY2F0aW9uLmNvbS9zaW1nYWQvNDM4MTQwNDM1NTc2OTM0OTczOCI8aHR0cHM6Ly90cGMuZ29vZ2xlc3luZGljYXRpb24uY29tL3BpbWdhZC80MzgxNDA0MzU1NzY5MzQ5NzM4UAFYO6IGsAEKrQEKEQoPCKeLi_i6CRIGMDMucG5nIpUBCICAgJCq39rrFCC22C46ggEIuAgQuAgaPGh0dHBzOi8vdHBjLmdvb2dsZXN5bmRpY2F0aW9uLmNvbS9zaW1nYWQvNTIzNTA0ODE4NjUyMjEwNzIxOSI8aHR0cHM6Ly90cGMuZ29vZ2xlc3luZGljYXRpb24uY29tL3BpbWdhZC81MjM1MDQ4MTg2NTIyMTA3MjE5UAFYOwoGCAESAjIACrEOCAESrA4KKAj46Yr_VeAHDfIIGQoAEgAaACIRUm9ib3RvOm5vcm1hbDo0MDD4CAGiBigKJgoiCiAI4dK628wIygEWChRQYWVkaWF0cmljIEZvcm11bGFyeVggogYmCiQKIAoeCOTSutvMCMoBFAoSQXZhaWxhYmxlIDI0IEhvdXJzWCCiBioKKAokCiIIz_zqnM0IygEYChZJZGVhbCBmb3IgYnVzeSBwYXJlbnRzWCCiBpYBCpMBCo4BCosBCMLc-eLMCGonaHR0cHM6Ly9kb2N0b3Jhbnl3aGVyZS5jb20va2lkcy1jbGluaWMvqgFYChVTZWUgQSBLaWQtRnJpZW5kbHkgR1ASHjI0LzcgY2FyZSBmb3IgeW91ciBsaXR0bGUgb25lcxofTm8gbmVlZCB0byB0cmF2ZWwgdG8gdGhlIGNsaW5pY1gfogagAQqdAQqYAQqVAQjF3PnizAhqLmh0dHBzOi8vZG9jdG9yYW55d2hlcmUuY29tL2NoaWxkLXZhY2NpbmF0aW9ucy-qAVsKEUNoaWxkIFZhY2NpbmF0aW9uEiNQcm90ZWN0IHlvdXIgY2hpbGQgYWdhaW5zdCBkaXNlYXNlcxohRnVsbHkgc3Vic2lkaXNlZCBmb3IgU2luZ2Fwb3JlYW5zWB-iBqABCp0BCpgBCpUBCPSZhoDNCGouaHR0cHM6Ly9kb2N0b3Jhbnl3aGVyZS5jb20vY2hpbGQtdmFjY2luYXRpb25zL6oBWwoRQ2hpbGQgVmFjY2luYXRpb24SI1Byb3RlY3QgeW91ciBjaGlsZCBhZ2FpbnN0IGRpc2Vhc2VzGiFGdWxseSBzdWJzaWRpc2VkIGZvciBTaW5nYXBvcmVhbnNYH6IG5gIK4wIK3gIK2wII8pPAmb8JavkBaHR0cHM6Ly93d3cuY29nbml0b2Zvcm1zLmNvbS9Eb2N0b3JBbnl3aGVyZS9Eb2N0b3JBbnl3aGVyZURvY3RvckhvdXNlQ2FsbHNBbmRIb21lTnVyc2luZ1Byb2NlZHVyZXM_X2dsPTEqb3QweXVyKl9nY2xfYXUqTVRBeU9EVTVORFkzTWk0eE56WTVOREEyTXpBMypfZ2EqTWpBNU9USXhPREk0TWk0eE56WTVOREEyTXpBNCpfZ2FfMUQ0VzlLTlZTWCpjekUzTmprMk1EVXdNVElrYnpJa1p6RWtkREUzTmprMk1EVXhNeklrYWpZd0pHd3dKR2d3qgFVChhCb29rIGEgaG91c2UgY2FsbCBkb2N0b3ISGUNhcmUgZnJvbSBsaWNlbnNlZCBkb2N0b3IaHllvdXIgZG9jdG9yLCBhdCB5b3VyIGRvb3JzdGVwLlgfogZiCmAKXApaCIn10-LMCKIBUAoPU2VydmljZSBjYXRhbG9nEhUyNC83IFRlbGVjb25zdWx0YXRpb24SE1ZhY2NpbmF0aW9uIGF0IEhvbWUSEUhvdXNlIENhbGwgRG9jdG9yWB6iBiEKHwobChkIoqHaoAQaEQoPRG9jdG9yIEFueXdoZXJlWCmiBuEBCt4BCi0KKwiZx_WJiQkSIkRBIFN0YWNrIENvbG91ciAxMjAweDEyMDAgY29weS5wbmciqgEIgICAkPLt2ZoMIPSTBCgDOosBCOESEOASGjxodHRwczovL3RwYy5nb29nbGVzeW5kaWNhdGlvbi5jb20vc2ltZ2FkLzI3MDAyNzE1NTcxOTU0OTE4NDYiPGh0dHBzOi8vdHBjLmdvb2dsZXN5bmRpY2F0aW9uLmNvbS9waW1nYWQvMjcwMDI3MTU1NzE5NTQ5MTg0NinQYPSMlvzvP0DIqr7F-MPw5wdQAVgGogbeAQrbAQonCiUIh6n9sIkJEhxEQSBMYW5kc2NhcGUgQ29sb3VyIGNvcHkucG5nIq0BCICAgJDy7Zm3ayCBqgEoAzqNAQjZBBDgEho9aHR0cHM6Ly90cGMuZ29vZ2xlc3luZGljYXRpb24uY29tL3NpbWdhZC8xODMzOTY5Njc2NjEwMDE1MDk5MyI9aHR0cHM6Ly90cGMuZ29vZ2xlc3luZGljYXRpb24uY29tL3BpbWdhZC8xODMzOTY5Njc2NjEwMDE1MDk5MylIL_mPXvIPQECGrYK1vqyR0fsBUAFYB6IG4QEK3gEKLQorCJnH9YmJCRIiREEgU3RhY2sgQ29sb3VyIDEyMDB4MTIwMCBjb3B5LnBuZyKqAQiAgICQ8u3Zmgwg9JMEKAM6iwEI4RIQ4BIaPGh0dHBzOi8vdHBjLmdvb2dsZXN5bmRpY2F0aW9uLmNvbS9zaW1nYWQvMjcwMDI3MTU1NzE5NTQ5MTg0NiI8aHR0cHM6Ly90cGMuZ29vZ2xlc3luZGljYXRpb24uY29tL3BpbWdhZC8yNzAwMjcxNTU3MTk1NDkxODQ2KdBg9IyW_O8_QMiqvsX4w_DnB1ABWDgKiwQIARKGBCoAogaeAQqbAQqWAQqTAQjcoO3VVaIBiQEKD1NlcnZpY2UgY2F0YWxvZxIUR2VuZXJhbCBQcmFjdGl0aW9uZXISFExhY3RhdGlvbiBDb25zdWx0YW50EhRTZXh1YWwgSGVhbHRoIEFkdmljZRITTWVkaWNhdGlvbiBEZWxpdmVyeRIJUmVmZXJyYWxzEhRTcGVjaWFsaXN0cyBSZWZlcnJhbFgeoga5AQq2AQqxAQquAQjfoO3VVaIBpAEKD1NlcnZpY2UgY2F0YWxvZxIMSGVhbHRoaWVyIFNHEglHUCBEb2N0b3ISC1NwZWNpYWxpc3RzEhNOdXRyaXRpb24gJiBGaXRuZXNzEhBIZWFsdGggU2NyZWVuaW5nEg9NZW50YWwgV2VsbG5lc3MSDFZhY2NpbmF0aW9ucxIPQ2hpbGRyZW4gQ2xpbmljEhRNZW4gJiBXb21lbidzIEhlYWx0aFgeogYwIi4KDzE4IFlpc2h1biBBdmUgORIAGhJEQSBDbGluaWMgQCBZaXNodW4gyoXltZ0DogYzIjEKEDQ2MCBBbGV4YW5kcmEgUmQSABoUQWRlcHQgSGVhbHRoIFB0ZSBMdGQgzYXltZ0DogY5IjcKEjE0MCBDb3Jwb3JhdGlvbiBEchIAGhhEQSBDbGluaWMgQCBUYW1hbiBKdXJvbmcg0IXltZ0DqAENEkxBQkMyenVZNjhBV1dSOXoySHBlSk5qMlN1X2NXNmt3RnF5TG92dTZ2dzVxWlZLVTdGcEpCdnd6eXdOQWZKSHBfbjljVHhYa01pdU4xIhYSDEgBUAF4AJABAKABASgBOgEBQgECKPyI3-rxMzCAkPvTCToIEAEoHjAEOABCDkFXTl9DTV9FRElUSU5H" TargetMode="External"/><Relationship Id="rId34" Type="http://schemas.openxmlformats.org/officeDocument/2006/relationships/hyperlink" Target="https://docs.google.com/presentation/d/1_Fr-Z_FDfmQP24a5FC5RQuj6tsK4wxbVxWc794CAVTE/edit?usp=sharing" TargetMode="External"/><Relationship Id="rId15" Type="http://schemas.openxmlformats.org/officeDocument/2006/relationships/hyperlink" Target="https://ads.google.com/aw_cm/ExternalPreview?ocid=243625884&amp;euid=6504451576&amp;pt=Cqs7CJzflXQQ-JvInRgaBWVuX1VTYpY7Cu8zCAES6jMSQiotaHR0cHM6Ly9kb2N0b3Jhbnl3aGVyZS5jb20vaGVhbHRoLXNjcmVlbmluZ3MvQgZoZWFsdGhKCXNjcmVlbmluZ6IGIgogChwKGhoYChZDZXJ0YWludHkgZmVlbHMgYmV0dGVyWAGiBiYKJAogCh4aHAoaSGVhbHRoIHNjcmVlbmluZyBmb3Igd29tZW5YAaIGHQobChcKFRoTChFUcmFjayB5b3VyIGhlYWx0aFgBogYhCh8KGwoZGhcKFVByZXZlbnRpb24gc3RhcnRzIG5vd1gBogYgCh4KGgoYGhYKFEhlYWx0aCBjbGFyaXR5IHRvZGF5WAGiBh4KHAoYChYaFAoSRGVzaWduZWQgZm9yIHdvbWVuWAGiBiIKIAocChoaGAoWWW91ciBoZWFsdGguIFlvdXIgZGF0YVgBogYnCiUKIQofGh0KG1ByZXR0eSBoZWFsdGh5PyBUaGluayBhZ2FpblgBogYqCigKJAoiGiAKHkNvbXByZWhlbnNpdmUgaGVhbHRoIHNjcmVlbmluZ1gBogYiCiAKHAoaGhgKFldvbWVuJ3MgaGVhbHRoIG1hdHRlcnNYAaIGIAoeChoKGBoWChRHZXQgaGVhbHRoIHNjcmVlbmluZ1gBogYkCiIKHgocGhoKGEhlYWx0aCBzY3JlZW5pbmcgZm9yIHlvdVgBogYdChsKFwoVGhMKEUtub3cgeW91ciBudW1iZXJzWAGiBh8KHQoZChcaFQoTQ29uZmlkZW50bHkgaGVhbHRoeVgBogYiCiAKHAoaGhgKFkhlYWx0aCBmaXJzdCBmb3Igd29tZW5YAaIGUwpRCk0KSxpJCkdQcmV0dHkgaGVhbHRoeSBpc24ndCB0aGUgc2FtZSBhcyBjb25maWRlbnRseSBoZWFsdGh5LiBLbm93IGZvciBjZXJ0YWluLlgCogZcCloKVgpUGlIKUEZyb20gcHJldHR5IGhlYWx0aHkgdG8gY29uZmlkZW50bHkgaGVhbHRoeSDigJQgb25lIHNjcmVlbmluZyBjaGFuZ2VzIGV2ZXJ5dGhpbmcuWAKiBlUKUwpPCk0aSwpJUHJldmVudGlvbiBzdGFydHMgd2l0aCBjbGFyaXR5LiBHZXQgc2NyZWVuZWQgYmVmb3JlIHN5bXB0b21zIHRlbGwgeW91IHRvLlgCogZQCk4KSgpIGkYKRFByZXR0eSBoZWFsdGh5IGlzIGEgc3RhcnQuIEJ1dCB5b3VyIGJvZHkgZGVzZXJ2ZXMgbW9yZSB0aGFuIGEgZ3Vlc3MuWAKiBlYKVApQCk4aTApKU3RvcCB3b25kZXJpbmcuIFN0YXJ0IGtub3dpbmcuIENvbXByZWhlbnNpdmUgc2NyZWVuaW5nIGRlc2lnbmVkIGZvciB3b21lbi5YAqIGXQpbClcKVRpTClFFYXJseSBkZXRlY3Rpb24uIENvbXByZWhlbnNpdmUgcmVzdWx0cy4gSGVhbHRoIHNjcmVlbmluZyBkZXNpZ25lZCAxMDAlIGZvciB3b21lbi5YA6IGYApeCloKWBpWClRJcm9uLCBob3Jtb25lcywgY2hvbGVzdGVyb2wsIGNhbmNlciBtYXJrZXJzIGFuZCBtb3JlIOKAlCBhbGwgaW4gb25lIGhlYWx0aCBzY3JlZW5pbmdYA6IGUgpQCkwKShpICkZCb29rIGEgaGVhbHRoIHNjcmVlbmluZyBkZXNpZ25lZCBmb3Igd29tZW4uIEdldCBjbGFyaXR5LiBGZWVsIGNlcnRhaW4uWAOiBlAKTgpKCkgaRgpEQmlvbWFya2Vycy4gSGVhcnQsIGhvcm1vbmVzLCBibG9vZCwgY2FuY2VyIG1hcmtlcnMuIE9uZSBhcHBvaW50bWVudC5YA6IGZApiCl4KXBpaClhIb3Jtb25lcy4gRmVydGlsaXR5IG1hcmtlcnMuIEJvbmUgZGVuc2l0eS4gSGVhcnQgaGVhbHRoLiBGb3IgV29tZW4uIEJvb2sgeW91ciBzY3JlZW5pbmcuWAOiBsMBCsABCiQKIgiqhKqg6QkSGVBNQVggLSBIU18xMjAweDYyOC0wMy5qcGcilQEIgICAkLqGiZxMIM3pCzqCAQj0BBCwCRo8aHR0cHM6Ly90cGMuZ29vZ2xlc3luZGljYXRpb24uY29tL3NpbWdhZC8zMzU4OTc3Njc2NjQwNzM2NTc3IjxodHRwczovL3RwYy5nb29nbGVzeW5kaWNhdGlvbi5jb20vcGltZ2FkLzMzNTg5Nzc2NzY2NDA3MzY1NzdQAVgEogbDAQrAAQokCiIIlcHu3egJEhlQTUFYIC0gSFNfMTIwMHg2MjgtMDIuanBnIpUBCICAgJC6hsnEJSDRzAw6ggEI9AQQsAkaPGh0dHBzOi8vdHBjLmdvb2dsZXN5bmRpY2F0aW9uLmNvbS9zaW1nYWQvMTMwNTQyMTcxNzMzNjIwMjAxNyI8aHR0cHM6Ly90cGMuZ29vZ2xlc3luZGljYXRpb24uY29tL3BpbWdhZC8xMzA1NDIxNzE3MzM2MjAyMDE3UAFYBKIGxAEKwQEKJAoiCPHeqKDpCRIZUE1BWCAtIEhTXzEyMDB4NjI4LTAxLmpwZyKWAQiAgICQuoaJna8BII6CDjqCAQj0BBCwCRo8aHR0cHM6Ly90cGMuZ29vZ2xlc3luZGljYXRpb24uY29tL3NpbWdhZC81NTY3NDY3MDI0ODg0MjkwOTc3IjxodHRwczovL3RwYy5nb29nbGVzeW5kaWNhdGlvbi5jb20vcGltZ2FkLzU1Njc0NjcwMjQ4ODQyOTA5NzdQAVgEogbFAQrCAQolCiMI6fqooOkJEhpQTUFYIC0gSFNfMTIwMHgxMjAwLTA0LmpwZyKWAQiAgICQuobRoZ4BIOaDFjqCAQiwCRCwCRo8aHR0cHM6Ly90cGMuZ29vZ2xlc3luZGljYXRpb24uY29tL3NpbWdhZC85OTQ5MDc5MjQ4ODY1Mzk5NjExIjxodHRwczovL3RwYy5nb29nbGVzeW5kaWNhdGlvbi5jb20vcGltZ2FkLzk5NDkwNzkyNDg4NjUzOTk2MTFQAVgFogbHAQrEAQolCiMIq6eooOkJEhpQTUFYIC0gSFNfMTIwMHgxMjAwLTA1LmpwZyKYAQiAgICQuoaR8O4BINexEjqEAQiwCRCwCRo9aHR0cHM6Ly90cGMuZ29vZ2xlc3luZGljYXRpb24uY29tL3NpbWdhZC8xODA0MDYzMDAyMzIwNDgwNzc2NSI9aHR0cHM6Ly90cGMuZ29vZ2xlc3luZGljYXRpb24uY29tL3BpbWdhZC8xODA0MDYzMDAyMzIwNDgwNzc2NVABWAWiBsUBCsIBCiUKIwi_1-zd6AkSGlBNQVggLSBIU18xMjAweDEyMDAtMDYuanBnIpYBCICAgJC6honSvgEggYcOOoIBCLAJELAJGjxodHRwczovL3RwYy5nb29nbGVzeW5kaWNhdGlvbi5jb20vc2ltZ2FkLzc5NzM0NjQwODIxNjUzNjUwNTEiPGh0dHBzOi8vdHBjLmdvb2dsZXN5bmRpY2F0aW9uLmNvbS9waW1nYWQvNzk3MzQ2NDA4MjE2NTM2NTA1MVABWAWiBscBCsQBCigKJgiQutyg6QkSHVBNQVggLSBIU185MjB4MTIwMC0xMF80OjUuanBnIpUBCICAgJC6hsmDTiCa1Aw6ggEI_ggQmAcaPGh0dHBzOi8vdHBjLmdvb2dsZXN5bmRpY2F0aW9uLmNvbS9zaW1nYWQvODQwMzA4MDkyMjExOTUyMDM2MiI8aHR0cHM6Ly90cGMuZ29vZ2xlc3luZGljYXRpb24uY29tL3BpbWdhZC84NDAzMDgwOTIyMTE5NTIwMzYyUAFYIaIGyAEKxQEKKAomCKjP36DpCRIdUE1BWCAtIEhTXzkyMHgxMjAwLTEyXzQ6NS5qcGcilgEIgICAkLqGydTeASDmvwg6ggEI_ggQmAcaPGh0dHBzOi8vdHBjLmdvb2dsZXN5bmRpY2F0aW9uLmNvbS9zaW1nYWQvMTQ4MTk0ODUyNzM5NzY0NDc2NSI8aHR0cHM6Ly90cGMuZ29vZ2xlc3luZGljYXRpb24uY29tL3BpbWdhZC8xNDgxOTQ4NTI3Mzk3NjQ0NzY1UAFYIaIGxwEKxAEKKAomCPnq1qDpCRIdUE1BWCAtIEhTXzkyMHgxMjAwLTExXzQ6NS5qcGcilQEIgICAkLqGyZEvINKjCjqCAQj-CBCYBxo8aHR0cHM6Ly90cGMuZ29vZ2xlc3luZGljYXRpb24uY29tL3NpbWdhZC8zMzM4NDM4Njc3NTI0NzEyOTc1IjxodHRwczovL3RwYy5nb29nbGVzeW5kaWNhdGlvbi5jb20vcGltZ2FkLzMzMzg0Mzg2Nzc1MjQ3MTI5NzVQAVghogaqAQqnAQoJCgcIzfGahpIBIpcBCICAgODYrJWjiQEgvnY6hAEIgAQQgAQaPWh0dHBzOi8vdHBjLmdvb2dsZXN5bmRpY2F0aW9uLmNvbS9zaW1nYWQvMTMxMjUwNDc5Njk2NzE3NTIzNjIiPWh0dHBzOi8vdHBjLmdvb2dsZXN5bmRpY2F0aW9uLmNvbS9waW1nYWQvMTMxMjUwNDc5Njk2NzE3NTIzNjJQAVgGogbGAQrDAQokCiIIma6GtOwDEhlEQSBMb2dvICgxMjAwIHggMTIwMCkucG5nIpgBCICAgOCT-prcwgEgz6UCOoQBCLAJELAJGj1odHRwczovL3RwYy5nb29nbGVzeW5kaWNhdGlvbi5jb20vc2ltZ2FkLzE2NjkzNjM3MTI2MzM3NDczMzI3Ij1odHRwczovL3RwYy5nb29nbGVzeW5kaWNhdGlvbi5jb20vcGltZ2FkLzE2NjkzNjM3MTI2MzM3NDczMzI3UAFYBqIG2QEK1gEKOgo4CMHI5Ne_CRIvV2Vic2l0ZSBpbWFnZSAtIDIwMjYtMDEtMjggMTk6NDU6MDMuMjI0ICgxKS5wbmcilQEIgICAkOqcmL03IPmyATqCAQiABBCABBo8aHR0cHM6Ly90cGMuZ29vZ2xlc3luZGljYXRpb24uY29tL3NpbWdhZC82MzI4MjEzODkyODk2Mjg2NDcyIjxodHRwczovL3RwYy5nb29nbGVzeW5kaWNhdGlvbi5jb20vcGltZ2FkLzYzMjgyMTM4OTI4OTYyODY0NzJQAVgGoga-AQq7AQofCh0Ig7LR_JEFEhREQV9Mb2dvXzEyMDB4MzAwLnBuZyKVAQiAgIDgz_vDgsEBIK5aOoIBCKwCELAJGjxodHRwczovL3RwYy5nb29nbGVzeW5kaWNhdGlvbi5jb20vc2ltZ2FkLzk0MDUxNTA3MzEzOTk3NDAwNDMiPGh0dHBzOi8vdHBjLmdvb2dsZXN5bmRpY2F0aW9uLmNvbS9waW1nYWQvOTQwNTE1MDczMTM5OTc0MDA0M1ABWAeiBtgBCtUBChgKFgjjlsaL6QkqDQoLSXRpVEdraVEtMjg6tgEKOERvY3RvciBBbnl3aGVyZSB8IEhlYWx0aCBTY3JlZW5pbmcgfCBQcmV0dHkgSGVhbHRoeT8gMXgxEJVvGjBodHRwczovL2kueXRpbWcuY29tL3ZpL0l0aVRHa2lRLTI4L2hxZGVmYXVsdC5qcGchAAAAAAAA8D86D0RvY3RvciBBbnl3aGVyZUIraHR0cHM6Ly93d3cueW91dHViZS5jb20vd2F0Y2g_dj1JdGlUR2tpUS0yOFgMogbZAQrWAQoYChYI5pbGi-kJKg0KC1h5b01jWVdGSWFROrcBCjlEb2N0b3IgQW55d2hlcmUgfCBIZWFsdGggU2NyZWVuaW5nIHwgUHJldHR5IEhlYWx0aHk_IDl4MTYQlW8aMGh0dHBzOi8vaS55dGltZy5jb20vdmkvWHlvTWNZV0ZJYVEvaHFkZWZhdWx0LmpwZyEAAAAAAADiPzoPRG9jdG9yIEFueXdoZXJlQitodHRwczovL3d3dy55b3V0dWJlLmNvbS93YXRjaD92PVh5b01jWVdGSWFRWAyiBtQBCtEBChgKFgjglsaL6QkqDQoLZ1Q5SDB1VWdHbDg6sgEKNERvY3RvciBBbnl3aGVyZSB8IEhlYWx0aCBTY3JlZW5pbmcgfCBQcmV0dHkgSGVhbHRoeT8QmW8aMGh0dHBzOi8vaS55dGltZy5jb20vdmkvZ1Q5SDB1VWdHbDgvaHFkZWZhdWx0LmpwZyEcx3Ecx3H8PzoPRG9jdG9yIEFueXdoZXJlQitodHRwczovL3d3dy55b3V0dWJlLmNvbS93YXRjaD92PWdUOUgwdVVnR2w4WAyiBg0KCwoHCgWCAgIIAVgoogbDAQrAAQokCiIIqoSqoOkJEhlQTUFYIC0gSFNfMTIwMHg2MjgtMDMuanBnIpUBCICAgJC6homcTCDN6Qs6ggEI9AQQsAkaPGh0dHBzOi8vdHBjLmdvb2dsZXN5bmRpY2F0aW9uLmNvbS9zaW1nYWQvMzM1ODk3NzY3NjY0MDczNjU3NyI8aHR0cHM6Ly90cGMuZ29vZ2xlc3luZGljYXRpb24uY29tL3BpbWdhZC8zMzU4OTc3Njc2NjQwNzM2NTc3UAFYO6IGwwEKwAEKJAoiCJXB7t3oCRIZUE1BWCAtIEhTXzEyMDB4NjI4LTAyLmpwZyKVAQiAgICQuobJxCUg0cwMOoIBCPQEELAJGjxodHRwczovL3RwYy5nb29nbGVzeW5kaWNhdGlvbi5jb20vc2ltZ2FkLzEzMDU0MjE3MTczMzYyMDIwMTciPGh0dHBzOi8vdHBjLmdvb2dsZXN5bmRpY2F0aW9uLmNvbS9waW1nYWQvMTMwNTQyMTcxNzMzNjIwMjAxN1ABWDuiBsQBCsEBCiQKIgjx3qig6QkSGVBNQVggLSBIU18xMjAweDYyOC0wMS5qcGcilgEIgICAkLqGiZ2vASCOgg46ggEI9AQQsAkaPGh0dHBzOi8vdHBjLmdvb2dsZXN5bmRpY2F0aW9uLmNvbS9zaW1nYWQvNTU2NzQ2NzAyNDg4NDI5MDk3NyI8aHR0cHM6Ly90cGMuZ29vZ2xlc3luZGljYXRpb24uY29tL3BpbWdhZC81NTY3NDY3MDI0ODg0MjkwOTc3UAFYO6IGxQEKwgEKJQojCOn6qKDpCRIaUE1BWCAtIEhTXzEyMDB4MTIwMC0wNC5qcGcilgEIgICAkLqG0aGeASDmgxY6ggEIsAkQsAkaPGh0dHBzOi8vdHBjLmdvb2dsZXN5bmRpY2F0aW9uLmNvbS9zaW1nYWQvOTk0OTA3OTI0ODg2NTM5OTYxMSI8aHR0cHM6Ly90cGMuZ29vZ2xlc3luZGljYXRpb24uY29tL3BpbWdhZC85OTQ5MDc5MjQ4ODY1Mzk5NjExUAFYO6IGxwEKxAEKJQojCKunqKDpCRIaUE1BWCAtIEhTXzEyMDB4MTIwMC0wNS5qcGcimAEIgICAkLqGkfDuASDXsRI6hAEIsAkQsAkaPWh0dHBzOi8vdHBjLmdvb2dsZXN5bmRpY2F0aW9uLmNvbS9zaW1nYWQvMTgwNDA2MzAwMjMyMDQ4MDc3NjUiPWh0dHBzOi8vdHBjLmdvb2dsZXN5bmRpY2F0aW9uLmNvbS9waW1nYWQvMTgwNDA2MzAwMjMyMDQ4MDc3NjVQAVg7ogbFAQrCAQolCiMIv9fs3egJEhpQTUFYIC0gSFNfMTIwMHgxMjAwLTA2LmpwZyKWAQiAgICQuoaJ0r4BIIGHDjqCAQiwCRCwCRo8aHR0cHM6Ly90cGMuZ29vZ2xlc3luZGljYXRpb24uY29tL3NpbWdhZC83OTczNDY0MDgyMTY1MzY1MDUxIjxodHRwczovL3RwYy5nb29nbGVzeW5kaWNhdGlvbi5jb20vcGltZ2FkLzc5NzM0NjQwODIxNjUzNjUwNTFQAVg7ogaqAQqnAQoJCgcIzfGahpIBIpcBCICAgODYrJWjiQEgvnY6hAEIgAQQgAQaPWh0dHBzOi8vdHBjLmdvb2dsZXN5bmRpY2F0aW9uLmNvbS9zaW1nYWQvMTMxMjUwNDc5Njk2NzE3NTIzNjIiPWh0dHBzOi8vdHBjLmdvb2dsZXN5bmRpY2F0aW9uLmNvbS9waW1nYWQvMTMxMjUwNDc5Njk2NzE3NTIzNjJQAVg4ogbGAQrDAQokCiIIma6GtOwDEhlEQSBMb2dvICgxMjAwIHggMTIwMCkucG5nIpgBCICAgOCT-prcwgEgz6UCOoQBCLAJELAJGj1odHRwczovL3RwYy5nb29nbGVzeW5kaWNhdGlvbi5jb20vc2ltZ2FkLzE2NjkzNjM3MTI2MzM3NDczMzI3Ij1odHRwczovL3RwYy5nb29nbGVzeW5kaWNhdGlvbi5jb20vcGltZ2FkLzE2NjkzNjM3MTI2MzM3NDczMzI3UAFYOKIG2QEK1gEKOgo4CMHI5Ne_CRIvV2Vic2l0ZSBpbWFnZSAtIDIwMjYtMDEtMjggMTk6NDU6MDMuMjI0ICgxKS5wbmcilQEIgICAkOqcmL03IPmyATqCAQiABBCABBo8aHR0cHM6Ly90cGMuZ29vZ2xlc3luZGljYXRpb24uY29tL3NpbWdhZC82MzI4MjEzODkyODk2Mjg2NDcyIjxodHRwczovL3RwYy5nb29nbGVzeW5kaWNhdGlvbi5jb20vcGltZ2FkLzYzMjgyMTM4OTI4OTYyODY0NzJQAVg4ogYbChkKFQoTGhEKD0RvY3RvciBBbnl3aGVyZVgpCgYIARICMgAKiAMIARKDAwoXCKap64FY4AcN8ggICgASABoAIgD4CAGiBuYCCuMCCt4CCtsCCPKTwJm_CWr5AWh0dHBzOi8vd3d3LmNvZ25pdG9mb3Jtcy5jb20vRG9jdG9yQW55d2hlcmUvRG9jdG9yQW55d2hlcmVEb2N0b3JIb3VzZUNhbGxzQW5kSG9tZU51cnNpbmdQcm9jZWR1cmVzP19nbD0xKm90MHl1cipfZ2NsX2F1Kk1UQXlPRFU1TkRZM01pNHhOelk1TkRBMk16QTMqX2dhKk1qQTVPVEl4T0RJNE1pNHhOelk1TkRBMk16QTQqX2dhXzFENFc5S05WU1gqY3pFM05qazJNRFV3TVRJa2J6SWtaekVrZERFM05qazJNRFV4TXpJa2FqWXdKR3d3Skdnd6oBVQoYQm9vayBhIGhvdXNlIGNhbGwgZG9jdG9yEhlDYXJlIGZyb20gbGljZW5zZWQgZG9jdG9yGh5Zb3VyIGRvY3RvciwgYXQgeW91ciBkb29yc3RlcC5YHwqLBAgBEoYEKgCiBp4BCpsBCpYBCpMBCNyg7dVVogGJAQoPU2VydmljZSBjYXRhbG9nEhRHZW5lcmFsIFByYWN0aXRpb25lchIUTGFjdGF0aW9uIENvbnN1bHRhbnQSFFNleHVhbCBIZWFsdGggQWR2aWNlEhNNZWRpY2F0aW9uIERlbGl2ZXJ5EglSZWZlcnJhbHMSFFNwZWNpYWxpc3RzIFJlZmVycmFsWB6iBrkBCrYBCrEBCq4BCN-g7dVVogGkAQoPU2VydmljZSBjYXRhbG9nEgxIZWFsdGhpZXIgU0cSCUdQIERvY3RvchILU3BlY2lhbGlzdHMSE051dHJpdGlvbiAmIEZpdG5lc3MSEEhlYWx0aCBTY3JlZW5pbmcSD01lbnRhbCBXZWxsbmVzcxIMVmFjY2luYXRpb25zEg9DaGlsZHJlbiBDbGluaWMSFE1lbiAmIFdvbWVuJ3MgSGVhbHRoWB6iBjAiLgoPMTggWWlzaHVuIEF2ZSA5EgAaEkRBIENsaW5pYyBAIFlpc2h1biDKheW1nQOiBjMiMQoQNDYwIEFsZXhhbmRyYSBSZBIAGhRBZGVwdCBIZWFsdGggUHRlIEx0ZCDNheW1nQOiBjkiNwoSMTQwIENvcnBvcmF0aW9uIERyEgAaGERBIENsaW5pYyBAIFRhbWFuIEp1cm9uZyDQheW1nQOoAQ0STEFCQzJ6dWF5R0dGUTM1OTlBRjJXeVpHRGNtbGhBVjRFb0xrTnRxdDJkUkJFYWV4cmwzeUF0OGlwcGt0bEtYX2g3aUdGRWxVeGlXb0kiFhIMSAFQAXgAkAEAoAEBKAE6AQFCAQIowcWc6_EzMICQ-9MJOggQASgeMAQ4AEIOQVdOX0NNX0VESVRJTkc=" TargetMode="External"/><Relationship Id="rId37" Type="http://schemas.openxmlformats.org/officeDocument/2006/relationships/hyperlink" Target="https://drive.google.com/drive/folders/1J0uRhqebH60ubp99HAeYvJzgbLzHP_Ou" TargetMode="External"/><Relationship Id="rId14" Type="http://schemas.openxmlformats.org/officeDocument/2006/relationships/hyperlink" Target="https://ads.google.com/aw_cm/ExternalPreview?ocid=243625884&amp;euid=6504451576&amp;pt=CrhnCJzflXQQ-JvInRgaBWVuX1VTYqNnCt1KCAES2EoSOiopaHR0cHM6Ly9kb2N0b3Jhbnl3aGVyZS5jb20vNm1lLXNjcmVlbmluZy9CDTZNRS1TY3JlZW5pbmeiBikKJwojCiEaHwodRG9tZXN0aWMgSGVscGVyIDZNRSBTY3JlZW5pbmdYAaIGHgocChgKFhoUChJBcyBSZXF1aXJlZCBieSBNT01YAaIGJQojCh8KHRobChk2TUUgU2NyZWVuaW5nICQzMi43MCBuZXR0WAGiBh4KHAoYChYaFAoSQnkgRG9jdG9yIEFueXdoZXJlWAGiBioKKAokCiIaIAoeNk1FICYgUHJlLXBsYWNlbWVudCBTY3JlZW5pbmdzWAGiBiYKJAogCh4aHAoaSGVscGVyIDYtbW9udGhseSBTY3JlZW5pbmdYAaIGJwolCiEKHxodChtNZWRpY2FsIFNjcmVlbmluZyBmb3IgTWFpZHNYAaIGJQojCh8KHRobChlDb252ZW5pZW50IE9ubGluZSBCb29raW5nWAGiBiEKHwobChkaFwoVREEgQ2xpbmljcyBJc2xhbmR3aWRlWAGiBigKJgoiCiAaHgocUmVzdWx0cyBzZW50IHRvIE1PTSBkaXJlY3RseVgBogYgCh4KGgoYGhYKFEJvb2sgQXBwb2ludG1lbnQgTm93WAGiBiQKIgoeChwaGgoYRnVzcy1mcmVlIGFuZCBBZmZvcmRhYmxlWAGiBicKJQohCh8aHQobRmluZCBZb3VyIE5lYXJlc3QgREEgQ2xpbmljWAGiBiUKIwofCh0aGwoZU3RheSBDb21wbGlhbnQgYW5kIENhcmluZ1gBogYoCiYKIgogGh4KHFRlc3QgZm9yIFN5cGhpbGlzLCBQcmVnbmFuY3lYAaIGYwphCl0KWxpZClc2LW1vbnRobHkgaGVhbHRoIGNoZWNrcyBhbmQgcHJlLWVtcGxveW1lbnQgc2NyZWVuaW5ncyBmb3IgbWFpZHMvaGVscGVycyBhcyBtYW5kYXRlZCBNT01YAqIGZApiCl4KXBpaClhXZSBtYWtlIHRoZSBzY3JlZW5pbmcgcHJvY2VzcyBlYXN5IGFuZCBmdXNzLWZyZWUsIGZvciBib3RoIHlvdSBhbmQgeW91ciBoZWxwZXIuIEJvb2sgbm93WAKiBmEKXwpbClkaVwpVNk1FIEhlYWx0aCBDaGVja3MsIFJlc3VsdHMgc2VudCBkaXJlY3RseSB0byBNT00gJiBhdmFpbGFibGUgZm9yIHBpY2stdXAgYXQgdGhlIGNsaW5pY1gCogZGCkQKQAo-GjwKOkJvb2sgYSA2LU1vbnRobHkgTWVkaWNhbCBDaGVjay1VcCBmb3IgWW91ciBEb21lc3RpYyBXb3JrZXJYAqIGWQpXClMKURpPCk02TUUgRm9yZWlnbiBEb21lc3RpYyBXb3JrZXIgSGVhbHRoIFNjcmVlbmluZy4gRWFzeSBPbmxpbmUgQXBwb2ludG1lbnQgQm9va2luZ1gCogZECkIKPgo8GjoKOFByb3RlY3QgeW91ciBob21lICYgeW91ciBoZWxwZXIuIFN0YXkgY29tcGxpYW50ICYgY2FyaW5nWAOiBmAKXgpaClgaVgpURG9tZXN0aWMgaGVscGVyIDZNRSBzY3JlZW5pbmcgZnJvbSAkMzIuNzAgbmV0dCwgaW5jbHVkZXMgc3lwaGlsaXMgJiBwcmVnbmFuY3kgc2NyZWVuWAOiBl4KXApYClYaVApSTWVkaWNhbCBleGFtaW5hdGlvbiBmb3IgZG9tZXN0aWMgaGVscGVycyBhcyByZXF1aXJlZCBieSBNaW5pc3RyeSBvZiBNYW5wb3dlciAoTU9NKVgDogZlCmMKXwpdGlsKWU1hbmRhdG9yeSBoZWFsdGggc2NyZWVuaW5nIGZvciBkb21lc3RpYyBoZWxwZXJzIGV2ZXJ5IDYgbW9udGhzLiBCb29rIGFuIGFwcG9pbnRtZW50IHRvZGF5WAOiBlwKWgpWClQaUgpQQm9vayBvbmxpbmUgd2l0aCB5b3VyIHByZWZlcnJlZCBkYXRlIGFuZCB0aW1lIGF0IGFueSBvZiBvdXIgOCBjbGluaWNzIGlzbGFuZHdpZGVYA6IGzQEKygEKLgosCM2568zsAxIjSGVhbHRoY2FyZSBwcm92aWRlciAobGFuZHNjYXBlKS5wbmcilQEIgICA4JP62tA4ILquKjqCAQj0BBCwCRo8aHR0cHM6Ly90cGMuZ29vZ2xlc3luZGljYXRpb24uY29tL3NpbWdhZC80MDg3NzA4MDM5ODMyNDc3Mjg0IjxodHRwczovL3RwYy5nb29nbGVzeW5kaWNhdGlvbi5jb20vcGltZ2FkLzQwODc3MDgwMzk4MzI0NzcyODRQAVgEogbaAQrXAQo7CjkIl6G4uewDEjBkb21lc3RpYyBoZWxwZXIgZ29pbmcgdGhyb3VnaCBIUyB3aXRoIGRvY3Rvci5wbmcilQEIgICA4JP62pRFIOXXQzqCAQj0BBCwCRo8aHR0cHM6Ly90cGMuZ29vZ2xlc3luZGljYXRpb24uY29tL3NpbWdhZC8xODEzMDEzNzkxNDU4MTkyMDgxIjxodHRwczovL3RwYy5nb29nbGVzeW5kaWNhdGlvbi5jb20vcGltZ2FkLzE4MTMwMTM3OTE0NTgxOTIwODFQAVgEogbJAQrGAQonCiUIseC7tOwDEhxEb2MgZG9pbmcgaHMgd2l0aCBoZWxwZXIucG5nIpgBCICAgOCT-uq-lAEgvc45OoQBCPQEELAJGj1odHRwczovL3RwYy5nb29nbGVzeW5kaWNhdGlvbi5jb20vc2ltZ2FkLzEwMTM1MzAwNzk5MjU2NzE3MDM0Ij1odHRwczovL3RwYy5nb29nbGVzeW5kaWNhdGlvbi5jb20vcGltZ2FkLzEwMTM1MzAwNzk5MjU2NzE3MDM0UAFYBKIG4gEK3wEKQQo_CK6juLnsAxI2RG9jdG9yIGRvaW5nIGhlYWx0aCBzY3JlZW5pbmcgd2l0aCBkb21lc3RpYyBoZWxwZXIucG5nIpcBCICAgOCT-prcUyCYojk6hAEI9AQQsAkaPWh0dHBzOi8vdHBjLmdvb2dsZXN5bmRpY2F0aW9uLmNvbS9zaW1nYWQvMTc3MDYxNjg1MDE3MTk3MDA1MjYiPWh0dHBzOi8vdHBjLmdvb2dsZXN5bmRpY2F0aW9uLmNvbS9waW1nYWQvMTc3MDYxNjg1MDE3MTk3MDA1MjZQAVgEogbKAQrHAQopCicIrf63uewDEh5Eb2MgYW5kIEhlbHBlciAobGFuZHNjYXBlKS5wbmcilwEIgICA4JP6mrd_IKqPSDqEAQj0BBCwCRo9aHR0cHM6Ly90cGMuZ29vZ2xlc3luZGljYXRpb24uY29tL3NpbWdhZC8xMTc4ODg5NDQzMjQ4Nzc2MTUzNSI9aHR0cHM6Ly90cGMuZ29vZ2xlc3luZGljYXRpb24uY29tL3BpbWdhZC8xMTc4ODg5NDQzMjQ4Nzc2MTUzNVABWASiBuABCt0BCj4KPAjPxt75kQUSMzZNRSAocmVtaW5kZXIgMilfMjAyNC0xMC0xMCAxNjoxMjo1Ny41NDRfMS45MToxLmpwZyKYAQiAgIDgz_vR284BIOGpDDqEAQifBhCADBo9aHR0cHM6Ly90cGMuZ29vZ2xlc3luZGljYXRpb24uY29tL3NpbWdhZC8xODE4MTEwODI0OTMxOTMyMTAyNyI9aHR0cHM6Ly90cGMuZ29vZ2xlc3luZGljYXRpb24uY29tL3BpbWdhZC8xODE4MTEwODI0OTMxOTMyMTAyN1ABWASiBt8BCtwBCj8KPQi67t7xkQUSNEdlbmVyYXRlZCBpbWFnZSAtIDIwMjQtMTAtMTAgMTQ6NDA6NDlfMS45MToxLjU2NiAoMikilgEIgICA4M-7l8_tASCkkgY6ggEIpAYQgAwaPGh0dHBzOi8vdHBjLmdvb2dsZXN5bmRpY2F0aW9uLmNvbS9zaW1nYWQvNDg3ODc0MjA0NDUwMzgyMjY1MCI8aHR0cHM6Ly90cGMuZ29vZ2xlc3luZGljYXRpb24uY29tL3BpbWdhZC80ODc4NzQyMDQ0NTAzODIyNjUwUAFYBKIG0QEKzgEKMAouCNykuLnsAxIlRG9jIGRvaW5nIEhTIHdpdGggaGVscGVyIChzcXVhcmUpLnBuZyKXAQiAgIDgk_qql3cglvpkOoQBCLAJELAJGj1odHRwczovL3RwYy5nb29nbGVzeW5kaWNhdGlvbi5jb20vc2ltZ2FkLzEwOTgxODI5MTI4NjA3NDA0ODEwIj1odHRwczovL3RwYy5nb29nbGVzeW5kaWNhdGlvbi5jb20vcGltZ2FkLzEwOTgxODI5MTI4NjA3NDA0ODEwUAFYBaIGyQEKxgEKKgooCMKb58zsAxIfSGVhdGxoY2FyZSBwcm92aWRlcihzcWF1cmUpLnBuZyKVAQiAgIDgk_qa7H8guKxZOoIBCLAJELAJGjxodHRwczovL3RwYy5nb29nbGVzeW5kaWNhdGlvbi5jb20vc2ltZ2FkLzQ1NzY4ODQ0OTM5MjEyNDAyMzEiPGh0dHBzOi8vdHBjLmdvb2dsZXN5bmRpY2F0aW9uLmNvbS9waW1nYWQvNDU3Njg4NDQ5MzkyMTI0MDIzMVABWAWiBtEBCs4BCi8KLQiyrOfM7AMSJGRvYyBkb2luZyBocyB3aXRoIGhlbHBlcihzcXVhcmUpLnBuZyKYAQiAgIDgk_qajJYBIMKbXzqEAQiwCRCwCRo9aHR0cHM6Ly90cGMuZ29vZ2xlc3luZGljYXRpb24uY29tL3NpbWdhZC8xMDE1MjEwMTczNjY2NTM5MzQ1OCI9aHR0cHM6Ly90cGMuZ29vZ2xlc3luZGljYXRpb24uY29tL3BpbWdhZC8xMDE1MjEwMTczNjY2NTM5MzQ1OFABWAWiBsUBCsIBCiUKIwjlrOfM7AMSGkRvYyBhbmQgSGVscGVyKHNxdWFyZSkucG5nIpYBCICAgOCT-ppmILyyfzqEAQiwCRCwCRo9aHR0cHM6Ly90cGMuZ29vZ2xlc3luZGljYXRpb24uY29tL3NpbWdhZC8xNDAxODQ0MTQxOTk0MTg5NjYzMiI9aHR0cHM6Ly90cGMuZ29vZ2xlc3luZGljYXRpb24uY29tL3BpbWdhZC8xNDAxODQ0MTQxOTk0MTg5NjYzMlABWAWiBuIBCt8BCkEKPwjmgbi57AMSNmRvbWVzdGljIGhlbHBlciBnb2luZyB0aHJvdWdoIEhTIHdpdGggZG9jIChzcXVhcmUpLnBuZyKXAQiAgIDgk_raqFcg5LhuOoQBCLAJELAJGj1odHRwczovL3RwYy5nb29nbGVzeW5kaWNhdGlvbi5jb20vc2ltZ2FkLzE0MDcxMjAzOTcwMTA1NzA3ODk0Ij1odHRwczovL3RwYy5nb29nbGVzeW5kaWNhdGlvbi5jb20vcGltZ2FkLzE0MDcxMjAzOTcwMTA1NzA3ODk0UAFYBaIGyQEKxgEKKgooCNXHq-qRBRIfNk1FXzIwMjQtMTAtMTAgMTY6MDQ6NTcuMzgyLmpwZyKVAQiAgIDgz_vysGkgiLMPOoIBCIAMEIAMGjxodHRwczovL3RwYy5nb29nbGVzeW5kaWNhdGlvbi5jb20vc2ltZ2FkLzUwMzUzMTI5MzkyMDQ2ODY1NzUiPGh0dHBzOi8vdHBjLmdvb2dsZXN5bmRpY2F0aW9uLmNvbS9waW1nYWQvNTAzNTMxMjkzOTIwNDY4NjU3NVABWAWiBtcBCtQBCjcKNQjQro_rkQUSLDZNRSAocmVtaW5kZXIgMilfMjAyNC0xMC0xMCAxNjoxMjo1Ny41NDQuanBnIpYBCICAgODP-7q3wgEg-64YOoIBCIAMEIAMGjxodHRwczovL3RwYy5nb29nbGVzeW5kaWNhdGlvbi5jb20vc2ltZ2FkLzg1OTE3NDUyMjk2NTEyMTM3MzAiPGh0dHBzOi8vdHBjLmdvb2dsZXN5bmRpY2F0aW9uLmNvbS9waW1nYWQvODU5MTc0NTIyOTY1MTIxMzczMFABWAWiBtUBCtIBCjgKNgij89nvkQUSLUdlbmVyYXRlZCBpbWFnZSAtIDIwMjQtMTAtMTAgMTQ6NDA6NDkuNTY2ICgyKSKTAQiAgIDgz7vn4Akg9aUIOoABCIAMEIAMGjtodHRwczovL3RwYy5nb29nbGVzeW5kaWNhdGlvbi5jb20vc2ltZ2FkLzUxOTQwMDEyMjE0MzY2MjM3MyI7aHR0cHM6Ly90cGMuZ29vZ2xlc3luZGljYXRpb24uY29tL3BpbWdhZC81MTk0MDAxMjIxNDM2NjIzNzNQAVgFogbZAQrWAQo4CjYIksvr45EFEi1HZW5lcmF0ZWQgaW1hZ2UgLSAyMDI0LTEwLTEwIDE0OjMzOjE4LjkzMCAoNikilwEIgICA4NfsrIA7IP23DTqEAQiADBCADBo9aHR0cHM6Ly90cGMuZ29vZ2xlc3luZGljYXRpb24uY29tL3NpbWdhZC8xNTUzMDQ0OTM1NTQxNTM1MzQ0NyI9aHR0cHM6Ly90cGMuZ29vZ2xlc3luZGljYXRpb24uY29tL3BpbWdhZC8xNTUzMDQ0OTM1NTQxNTM1MzQ0N1ABWAWiBrMBCrABChYKFAjex6vqkQUSCzZNRV80OjUuanBnIpMBCICAgODP-4qxSSCQzg86gAEIgAwQzQkaO2h0dHBzOi8vdHBjLmdvb2dsZXN5bmRpY2F0aW9uLmNvbS9zaW1nYWQvMzUxNTYxNDgxMzMzNjE4MzM5IjtodHRwczovL3RwYy5nb29nbGVzeW5kaWNhdGlvbi5jb20vcGltZ2FkLzM1MTU2MTQ4MTMzMzYxODMzOVABWCGiBsIBCr8BCiMKIQjZro_rkQUSGDZNRSAocmVtaW5kZXIgMilfNDo1LmpwZyKVAQiAgIDgz_umnR4g6u8TOoIBCIAMEM0JGjxodHRwczovL3RwYy5nb29nbGVzeW5kaWNhdGlvbi5jb20vc2ltZ2FkLzc5MDUyMDA3ODAyMDcxMTc1NjgiPGh0dHBzOi8vdHBjLmdvb2dsZXN5bmRpY2F0aW9uLmNvbS9waW1nYWQvNzkwNTIwMDc4MDIwNzExNzU2OFABWCGiBtsBCtgBCjwKOgi0yt7xkQUSMUdlbmVyYXRlZCBpbWFnZSAtIDIwMjQtMTAtMTAgMTQ6NDA6NDlfMC44LjU2NiAoMikilQEIgICA4M-7l6B0IIroBzqCAQiADBDNCRo8aHR0cHM6Ly90cGMuZ29vZ2xlc3luZGljYXRpb24uY29tL3NpbWdhZC80ODA4Mjk0MTY2NTY3NzMzMTI0IjxodHRwczovL3RwYy5nb29nbGVzeW5kaWNhdGlvbi5jb20vcGltZ2FkLzQ4MDgyOTQxNjY1Njc3MzMxMjRQAVghogbbAQrYAQo8CjoI4pHs7ZEFEjFHZW5lcmF0ZWQgaW1hZ2UgLSAyMDI0LTEwLTEwIDE0OjMzOjE4XzQ6NS45MzAgKDYpIpUBCICAgODP-8HlTSCe5gw6ggEIgAwQzAkaPGh0dHBzOi8vdHBjLmdvb2dsZXN5bmRpY2F0aW9uLmNvbS9zaW1nYWQvNzc3MTg1Nzc0MTc4MjY1MTIyMiI8aHR0cHM6Ly90cGMuZ29vZ2xlc3luZGljYXRpb24uY29tL3BpbWdhZC83NzcxODU3NzQxNzgyNjUxMjIyUAFYIaIG2wEK2AEKGAoWCITI-_mRBSoNCgtaMi1iaGExNU1Sbzq5AQo6Nk1FIEhlYWx0aCBTY3JlZW5pbmc6IEhvdyBhIDZNRSBjaGVjayB3b3JrcyBhdCBhIERBIENsaW5pYxD1nAEaMGh0dHBzOi8vaS55dGltZy5jb20vdmkvWjItYmhhMTVNUm8vaHFkZWZhdWx0LmpwZyEcx3Ecx3H8PzoPRG9jdG9yIEFueXdoZXJlQitodHRwczovL3d3dy55b3V0dWJlLmNvbS93YXRjaD92PVoyLWJoYTE1TVJvWAyiBg0KCwoHCgWCAgIICFgoogbNAQrKAQouCiwIzbnrzOwDEiNIZWFsdGhjYXJlIHByb3ZpZGVyIChsYW5kc2NhcGUpLnBuZyKVAQiAgIDgk_ra0Dgguq4qOoIBCPQEELAJGjxodHRwczovL3RwYy5nb29nbGVzeW5kaWNhdGlvbi5jb20vc2ltZ2FkLzQwODc3MDgwMzk4MzI0NzcyODQiPGh0dHBzOi8vdHBjLmdvb2dsZXN5bmRpY2F0aW9uLmNvbS9waW1nYWQvNDA4NzcwODAzOTgzMjQ3NzI4NFABWDuiBtoBCtcBCjsKOQiXobi57AMSMGRvbWVzdGljIGhlbHBlciBnb2luZyB0aHJvdWdoIEhTIHdpdGggZG9jdG9yLnBuZyKVAQiAgIDgk_ralEUg5ddDOoIBCPQEELAJGjxodHRwczovL3RwYy5nb29nbGVzeW5kaWNhdGlvbi5jb20vc2ltZ2FkLzE4MTMwMTM3OTE0NTgxOTIwODEiPGh0dHBzOi8vdHBjLmdvb2dsZXN5bmRpY2F0aW9uLmNvbS9waW1nYWQvMTgxMzAxMzc5MTQ1ODE5MjA4MVABWDuiBskBCsYBCicKJQix4Lu07AMSHERvYyBkb2luZyBocyB3aXRoIGhlbHBlci5wbmcimAEIgICA4JP66r6UASC9zjk6hAEI9AQQsAkaPWh0dHBzOi8vdHBjLmdvb2dsZXN5bmRpY2F0aW9uLmNvbS9zaW1nYWQvMTAxMzUzMDA3OTkyNTY3MTcwMzQiPWh0dHBzOi8vdHBjLmdvb2dsZXN5bmRpY2F0aW9uLmNvbS9waW1nYWQvMTAxMzUzMDA3OTkyNTY3MTcwMzRQAVg7ogbiAQrfAQpBCj8IrqO4uewDEjZEb2N0b3IgZG9pbmcgaGVhbHRoIHNjcmVlbmluZyB3aXRoIGRvbWVzdGljIGhlbHBlci5wbmcilwEIgICA4JP6mtxTIJiiOTqEAQj0BBCwCRo9aHR0cHM6Ly90cGMuZ29vZ2xlc3luZGljYXRpb24uY29tL3NpbWdhZC8xNzcwNjE2ODUwMTcxOTcwMDUyNiI9aHR0cHM6Ly90cGMuZ29vZ2xlc3luZGljYXRpb24uY29tL3BpbWdhZC8xNzcwNjE2ODUwMTcxOTcwMDUyNlABWDuiBsoBCscBCikKJwit_re57AMSHkRvYyBhbmQgSGVscGVyIChsYW5kc2NhcGUpLnBuZyKXAQiAgIDgk_qat38gqo9IOoQBCPQEELAJGj1odHRwczovL3RwYy5nb29nbGVzeW5kaWNhdGlvbi5jb20vc2ltZ2FkLzExNzg4ODk0NDMyNDg3NzYxNTM1Ij1odHRwczovL3RwYy5nb29nbGVzeW5kaWNhdGlvbi5jb20vcGltZ2FkLzExNzg4ODk0NDMyNDg3NzYxNTM1UAFYO6IG4AEK3QEKPgo8CM_G3vmRBRIzNk1FIChyZW1pbmRlciAyKV8yMDI0LTEwLTEwIDE2OjEyOjU3LjU0NF8xLjkxOjEuanBnIpgBCICAgODP-9HbzgEg4akMOoQBCJ8GEIAMGj1odHRwczovL3RwYy5nb29nbGVzeW5kaWNhdGlvbi5jb20vc2ltZ2FkLzE4MTgxMTA4MjQ5MzE5MzIxMDI3Ij1odHRwczovL3RwYy5nb29nbGVzeW5kaWNhdGlvbi5jb20vcGltZ2FkLzE4MTgxMTA4MjQ5MzE5MzIxMDI3UAFYO6IG3wEK3AEKPwo9CLru3vGRBRI0R2VuZXJhdGVkIGltYWdlIC0gMjAyNC0xMC0xMCAxNDo0MDo0OV8xLjkxOjEuNTY2ICgyKSKWAQiAgIDgz7uXz-0BIKSSBjqCAQikBhCADBo8aHR0cHM6Ly90cGMuZ29vZ2xlc3luZGljYXRpb24uY29tL3NpbWdhZC80ODc4NzQyMDQ0NTAzODIyNjUwIjxodHRwczovL3RwYy5nb29nbGVzeW5kaWNhdGlvbi5jb20vcGltZ2FkLzQ4Nzg3NDIwNDQ1MDM4MjI2NTBQAVg7ogbRAQrOAQowCi4I3KS4uewDEiVEb2MgZG9pbmcgSFMgd2l0aCBoZWxwZXIgKHNxdWFyZSkucG5nIpcBCICAgOCT-qqXdyCW-mQ6hAEIsAkQsAkaPWh0dHBzOi8vdHBjLmdvb2dsZXN5bmRpY2F0aW9uLmNvbS9zaW1nYWQvMTA5ODE4MjkxMjg2MDc0MDQ4MTAiPWh0dHBzOi8vdHBjLmdvb2dsZXN5bmRpY2F0aW9uLmNvbS9waW1nYWQvMTA5ODE4MjkxMjg2MDc0MDQ4MTBQAVg7ogbJAQrGAQoqCigIwpvnzOwDEh9IZWF0bGhjYXJlIHByb3ZpZGVyKHNxYXVyZSkucG5nIpUBCICAgOCT-prsfyC4rFk6ggEIsAkQsAkaPGh0dHBzOi8vdHBjLmdvb2dsZXN5bmRpY2F0aW9uLmNvbS9zaW1nYWQvNDU3Njg4NDQ5MzkyMTI0MDIzMSI8aHR0cHM6Ly90cGMuZ29vZ2xlc3luZGljYXRpb24uY29tL3BpbWdhZC80NTc2ODg0NDkzOTIxMjQwMjMxUAFYO6IG0QEKzgEKLwotCLKs58zsAxIkZG9jIGRvaW5nIGhzIHdpdGggaGVscGVyKHNxdWFyZSkucG5nIpgBCICAgOCT-pqMlgEgwptfOoQBCLAJELAJGj1odHRwczovL3RwYy5nb29nbGVzeW5kaWNhdGlvbi5jb20vc2ltZ2FkLzEwMTUyMTAxNzM2NjY1MzkzNDU4Ij1odHRwczovL3RwYy5nb29nbGVzeW5kaWNhdGlvbi5jb20vcGltZ2FkLzEwMTUyMTAxNzM2NjY1MzkzNDU4UAFYO6IGxQEKwgEKJQojCOWs58zsAxIaRG9jIGFuZCBIZWxwZXIoc3F1YXJlKS5wbmcilgEIgICA4JP6mmYgvLJ_OoQBCLAJELAJGj1odHRwczovL3RwYy5nb29nbGVzeW5kaWNhdGlvbi5jb20vc2ltZ2FkLzE0MDE4NDQxNDE5OTQxODk2NjMyIj1odHRwczovL3RwYy5nb29nbGVzeW5kaWNhdGlvbi5jb20vcGltZ2FkLzE0MDE4NDQxNDE5OTQxODk2NjMyUAFYO6IG4gEK3wEKQQo_COaBuLnsAxI2ZG9tZXN0aWMgaGVscGVyIGdvaW5nIHRocm91Z2ggSFMgd2l0aCBkb2MgKHNxdWFyZSkucG5nIpcBCICAgOCT-tqoVyDkuG46hAEIsAkQsAkaPWh0dHBzOi8vdHBjLmdvb2dsZXN5bmRpY2F0aW9uLmNvbS9zaW1nYWQvMTQwNzEyMDM5NzAxMDU3MDc4OTQiPWh0dHBzOi8vdHBjLmdvb2dsZXN5bmRpY2F0aW9uLmNvbS9waW1nYWQvMTQwNzEyMDM5NzAxMDU3MDc4OTRQAVg7ogbJAQrGAQoqCigI1cer6pEFEh82TUVfMjAyNC0xMC0xMCAxNjowNDo1Ny4zODIuanBnIpUBCICAgODP-_KwaSCIsw86ggEIgAwQgAwaPGh0dHBzOi8vdHBjLmdvb2dsZXN5bmRpY2F0aW9uLmNvbS9zaW1nYWQvNTAzNTMxMjkzOTIwNDY4NjU3NSI8aHR0cHM6Ly90cGMuZ29vZ2xlc3luZGljYXRpb24uY29tL3BpbWdhZC81MDM1MzEyOTM5MjA0Njg2NTc1UAFYO6IG1wEK1AEKNwo1CNCuj-uRBRIsNk1FIChyZW1pbmRlciAyKV8yMDI0LTEwLTEwIDE2OjEyOjU3LjU0NC5qcGcilgEIgICA4M_7urfCASD7rhg6ggEIgAwQgAwaPGh0dHBzOi8vdHBjLmdvb2dsZXN5bmRpY2F0aW9uLmNvbS9zaW1nYWQvODU5MTc0NTIyOTY1MTIxMzczMCI8aHR0cHM6Ly90cGMuZ29vZ2xlc3luZGljYXRpb24uY29tL3BpbWdhZC84NTkxNzQ1MjI5NjUxMjEzNzMwUAFYO6IG1QEK0gEKOAo2CKPz2e-RBRItR2VuZXJhdGVkIGltYWdlIC0gMjAyNC0xMC0xMCAxNDo0MDo0OS41NjYgKDIpIpMBCICAgODPu-fgCSD1pQg6gAEIgAwQgAwaO2h0dHBzOi8vdHBjLmdvb2dsZXN5bmRpY2F0aW9uLmNvbS9zaW1nYWQvNTE5NDAwMTIyMTQzNjYyMzczIjtodHRwczovL3RwYy5nb29nbGVzeW5kaWNhdGlvbi5jb20vcGltZ2FkLzUxOTQwMDEyMjE0MzY2MjM3M1ABWDuiBtkBCtYBCjgKNgiSy-vjkQUSLUdlbmVyYXRlZCBpbWFnZSAtIDIwMjQtMTAtMTAgMTQ6MzM6MTguOTMwICg2KSKXAQiAgIDg1-ysgDsg_bcNOoQBCIAMEIAMGj1odHRwczovL3RwYy5nb29nbGVzeW5kaWNhdGlvbi5jb20vc2ltZ2FkLzE1NTMwNDQ5MzU1NDE1MzUzNDQ3Ij1odHRwczovL3RwYy5nb29nbGVzeW5kaWNhdGlvbi5jb20vcGltZ2FkLzE1NTMwNDQ5MzU1NDE1MzUzNDQ3UAFYOwoGCAESAjIACqcYCAESohgKFAjK-JzeTvIICAoAEgAaACIA-AgBogYnCiUKIQofCMbR1e-RBcoBFQoTUmVzdWx0cyBzZW50IHRvIE1PTVggogYpCicKIwohCMnR1e-RBcoBFwoVREEgQ2xpbmljcyBJc2xhbmR3aWRlWCCiBi0KKwonCiUIzNHV75EFygEbChlDb252ZW5pZW50IG9ubGluZSBib29raW5nWCCiBikKJwojCiEIz9HV75EFygEXChVGbGV4aWJsZSBhcHBvaW50bWVudHNYIKIGtQYKsgYKrQYKqgYIwvK8_ZEFogOfBggJGgJlbiK2AQoNNk1FIFNjcmVlbmluZxIYU3lwaGlsaXMsIFByZWduYW5jeSBUZXN0GgoKA1NHRBDg7MsPKn9odHRwczovL21hcmtldHBsYWNlLmRvY3RvcmFueXdoZXJlLmNvbS9hbGwvaGVscGVyLTZtZS1zY3JlZW5pbmcvZG9tZXN0aWMtaGVscGVyLW1haWQtNm1lLXNjcmVlbmluZy1pbi1jbGluaWM_dHlwZT1TRVJWSUNFJmlkPTI2IsgBChg2TUUgU2NyZWVuaW5nICsgSElWIHRlc3QSGFN5cGhpbGlzLCBQcmVnbmFuY3ksIEhJVhoKCgNTR0QQgJHlFCqFAWh0dHBzOi8vbWFya2V0cGxhY2UuZG9jdG9yYW55d2hlcmUuY29tL2FsbC9oZWxwZXItNm1lLXNjcmVlbmluZy9kb21lc3RpYy1oZWxwZXItbWFpZC02bWUtd2l0aC1oaXYtdGVzdC1pbi1jbGluaWM_dHlwZT1TRVJWSUNFJmlkPTIwMjgi0gEKGFByZS1wbGFjZW1lbnQgU2NyZWVuIChGKRIYQmxvb2QsIFVyaW5lIHRlc3QsIFgtcmF5GgoKA1NHRBDQq-QhKo8BaHR0cHM6Ly9tYXJrZXRwbGFjZS5kb2N0b3Jhbnl3aGVyZS5jb20vQUxML2hlYWx0aGNhcmUtc2VydmljZXMvZGEtY2xpbmljLWZvcmVpZ24tZG9tZXN0aWMtd29ya2VyLWZkdy1wcmUtcGxhY2VtZW50LXNjcmVlbmluZz90eXBlPVNFUlZJQ0UmaWQ9OTAivQEKGFByZS1wbGFjZW1lbnQgU2NyZWVuIChNKRIYQmxvb2QsIFVyaW5lIHRlc3QsIFgtcmF5GgoKA1NHRBDA2ZcfKntodHRwczovL21hcmtldHBsYWNlLmRvY3RvcmFueXdoZXJlLmNvbS9hbGwvaGVscGVyLTZtZS1zY3JlZW5pbmcvbWFsZS1wcmUtcGxhY2VtZW50LXNjcmVlbmluZy1pbi1jbGluaWM_dHlwZT1TRVJWSUNFJmlkPTIwMzVYMqIG7AEK6QEK5AEK4QEIqZLi7pEFao8BaHR0cHM6Ly9tYXJrZXRwbGFjZS5kb2N0b3Jhbnl3aGVyZS5jb20vQUxML2hlYWx0aGNhcmUtc2VydmljZXMvZGEtY2xpbmljLWZvcmVpZ24tZG9tZXN0aWMtd29ya2VyLWZkdy1wcmUtcGxhY2VtZW50LXNjcmVlbmluZz90eXBlPVNFUlZJQ0UmaWQ9OTCqAUUKGFByZS1wbGFjZW1lbnQgU2NyZWVuIChGKRIcUHJpb3IgdG8gaXNzdWluZyB3b3JrIHBlcm1pdBoLJDcwLjg1IG5ldHRYH6IG6AEK5QEK4AEK3QEIrJLi7pEFaoUBaHR0cHM6Ly9tYXJrZXRwbGFjZS5kb2N0b3Jhbnl3aGVyZS5jb20vYWxsL2hlbHBlci02bWUtc2NyZWVuaW5nL2RvbWVzdGljLWhlbHBlci1tYWlkLTZtZS13aXRoLWhpdi10ZXN0LWluLWNsaW5pYz90eXBlPVNFUlZJQ0UmaWQ9MjAyOKoBSwoYNk1FIFNjcmVlbmluZyArIEhJViB0ZXN0EiJDaGVjayBmb3IgU3lwaGlsaXMuIFByZWduYW5jeSwgSElWGgskNDMuNjAgbmV0dFgfogZ8CnoKdgp0CK6MivqRBWopaHR0cHM6Ly9kb2N0b3Jhbnl3aGVyZS5jb20vNm1lLXNjcmVlbmluZy-qAT8KDTZNRSBTY3JlZW5pbmcSIUJvb2sgaW4gYXQgeW91ciBuZWFyZXN0IERBIGNsaW5pYxoLJDMyLjcwIG5ldHRYH6IG2gEK1wEK0gEKzwEIw-b8-pEFantodHRwczovL21hcmtldHBsYWNlLmRvY3RvcmFueXdoZXJlLmNvbS9hbGwvaGVscGVyLTZtZS1zY3JlZW5pbmcvbWFsZS1wcmUtcGxhY2VtZW50LXNjcmVlbmluZy1pbi1jbGluaWM_dHlwZT1TRVJWSUNFJmlkPTIwMzWqAUgKGFByZS1wbGFjZW1lbnQgU2NyZWVuIChNKRIfQmxvb2QsIHVyaW5lIHRlc3RzLCBjaGVzdCBYLXJheRoLJDY1LjQwIG5ldHRYH6IGjgEKiwEKhgEKgwEIupXbtZUHajVodHRwczovL2RvY3RvcmFueXdoZXJlLmNvbS82bWUtc2NyZWVuaW5nLyNtbXItdmFjY2luZaoBQgoLTU1SIFZhY2NpbmUSGEluLWNsaW5pYyBvciBob21lLWJhc2VkLhoZVHdvLWRvc2UgdmFjY2luZSBmcm9tICQ4MFgfogYhCh8KGwoZCKKh2qAEGhEKD0RvY3RvciBBbnl3aGVyZVgpogbcAQrZAQokCiIIma6GtOwDEhlEQSBMb2dvICgxMjAwIHggMTIwMCkucG5nIq4BCICAgOCT-prcwgEgz6UCKAM6jQEIsAkQsAkaPWh0dHBzOi8vdHBjLmdvb2dsZXN5bmRpY2F0aW9uLmNvbS9zaW1nYWQvMTY2OTM2MzcxMjYzMzc0NzMzMjciPWh0dHBzOi8vdHBjLmdvb2dsZXN5bmRpY2F0aW9uLmNvbS9waW1nYWQvMTY2OTM2MzcxMjYzMzc0NzMzMjcpAAAAAAAA8D9A77zp5uO08eKFAVABWAaiBtQBCtEBCh8KHQiDstH8kQUSFERBX0xvZ29fMTIwMHgzMDAucG5nIqsBCICAgODP-8OCwQEgrlooAzqLAQisAhCwCRo8aHR0cHM6Ly90cGMuZ29vZ2xlc3luZGljYXRpb24uY29tL3NpbWdhZC85NDA1MTUwNzMxMzk5NzQwMDQzIjxodHRwczovL3RwYy5nb29nbGVzeW5kaWNhdGlvbi5jb20vcGltZ2FkLzk0MDUxNTA3MzEzOTk3NDAwNDMpAAAAAAAAEEBA4ZCWmOSZ1Ij8AVABWAeiBt8BCtwBCioKKAj0qdL8kQUSH0RBX0xvZ29fSG9yaXpvbnRhbF8xMjAweDMwMC5wbmciqwEIgICA4M_7o4bGASDPswEoAzqLAQisAhCwCRo8aHR0cHM6Ly90cGMuZ29vZ2xlc3luZGljYXRpb24uY29tL3NpbWdhZC80Nzg2NDEwMDgyNDk1ODQ0NzczIjxodHRwczovL3RwYy5nb29nbGVzeW5kaWNhdGlvbi5jb20vcGltZ2FkLzQ3ODY0MTAwODI0OTU4NDQ3NzMpAAAAAAAAEEBAl-Ocsv-3_4FDUAFYB6IG3AEK2QEKJAoiCJmuhrTsAxIZREEgTG9nbyAoMTIwMCB4IDEyMDApLnBuZyKuAQiAgIDgk_qa3MIBIM-lAigDOo0BCLAJELAJGj1odHRwczovL3RwYy5nb29nbGVzeW5kaWNhdGlvbi5jb20vc2ltZ2FkLzE2NjkzNjM3MTI2MzM3NDczMzI3Ij1odHRwczovL3RwYy5nb29nbGVzeW5kaWNhdGlvbi5jb20vcGltZ2FkLzE2NjkzNjM3MTI2MzM3NDczMzI3KQAAAAAAAPA_QO-86ebjtPHihQFQAVg4ogYKEggIlLrK8yEYEaIGOSI3ChIxNDAgQ29ycG9yYXRpb24gRHISABoYREEgQ2xpbmljIEAgVGFtYW4gSnVyb25nINCF5bWdA6IGLiIsCg4yNDggU2ltZWkgU3QgMxIAGhFEQSBDbGluaWMgQCBTaW1laSDWheW1nQOiBjoiOAoVNTI1IEFuZyBNbyBLaW8gQXZlIDEwEgAaFkRBIENsaW5pYyBAIEFuZyBNbyBLaW8g2YXltZ0DCosECAEShgQqAKIGngEKmwEKlgEKkwEI3KDt1VWiAYkBCg9TZXJ2aWNlIGNhdGFsb2cSFEdlbmVyYWwgUHJhY3RpdGlvbmVyEhRMYWN0YXRpb24gQ29uc3VsdGFudBIUU2V4dWFsIEhlYWx0aCBBZHZpY2USE01lZGljYXRpb24gRGVsaXZlcnkSCVJlZmVycmFscxIUU3BlY2lhbGlzdHMgUmVmZXJyYWxYHqIGuQEKtgEKsQEKrgEI36Dt1VWiAaQBCg9TZXJ2aWNlIGNhdGFsb2cSDEhlYWx0aGllciBTRxIJR1AgRG9jdG9yEgtTcGVjaWFsaXN0cxITTnV0cml0aW9uICYgRml0bmVzcxIQSGVhbHRoIFNjcmVlbmluZxIPTWVudGFsIFdlbGxuZXNzEgxWYWNjaW5hdGlvbnMSD0NoaWxkcmVuIENsaW5pYxIUTWVuICYgV29tZW4ncyBIZWFsdGhYHqIGMCIuCg8xOCBZaXNodW4gQXZlIDkSABoSREEgQ2xpbmljIEAgWWlzaHVuIMqF5bWdA6IGMyIxChA0NjAgQWxleGFuZHJhIFJkEgAaFEFkZXB0IEhlYWx0aCBQdGUgTHRkIM2F5bWdA6IGOSI3ChIxNDAgQ29ycG9yYXRpb24gRHISABoYREEgQ2xpbmljIEAgVGFtYW4gSnVyb25nINCF5bWdA6gBDRJMQUJDMnp1YTVpS05NSWx1dFdBQTdyQXdsdjdhbV8zZHBOSjI1UEtIY3YxRzBsTUZ2cllUeHlTNE9LUWtpeGxkU2Q3WUJSSFVkNk9QWSIWEgxIAVABeACQAQCgAQEoAToBAUIBAijXtJyO8jMwgJD70wk6CBABKB4wBDgAQg5BV05fQ01fRURJVElORw==" TargetMode="External"/><Relationship Id="rId36" Type="http://schemas.openxmlformats.org/officeDocument/2006/relationships/hyperlink" Target="https://drive.google.com/drive/folders/1NIAQ-UDwxcv69tViKJMyKTIhej14jSMn" TargetMode="External"/><Relationship Id="rId17" Type="http://schemas.openxmlformats.org/officeDocument/2006/relationships/hyperlink" Target="https://www.facebook.com/100067529591306/posts/1244875831106725/?dco_ad_token=AarMrEmBDtIwqihUJ19Be7s0SCQPtWyDngN7-DfkeZysb_zKyPMh8QbuuJk-iVprXkjmQTouANKuE6_c&amp;dco_ad_id=120243533167010058" TargetMode="External"/><Relationship Id="rId39" Type="http://schemas.openxmlformats.org/officeDocument/2006/relationships/hyperlink" Target="https://drive.google.com/drive/folders/15VR7DPNh4rK8r4ANzL6SF9FmbgM2Mngg" TargetMode="External"/><Relationship Id="rId16" Type="http://schemas.openxmlformats.org/officeDocument/2006/relationships/hyperlink" Target="https://ads.google.com/aw_cm/ExternalPreview?ocid=243625884&amp;euid=6504451576&amp;pt=CtEiCJzflXQQ-JvInRgaBWVuX1VTYrwiCtccCAES0hwSKSonaHR0cHM6Ly9kb2N0b3Jhbnl3aGVyZS5jb20vZmx1LXZhY2NpbmUvogYgCh4KGgoYGhYKFFNoaWVsZCBIZXIgV2l0aCBDYXJlWAGiBh0KGwoXChUaEwoRUHJvdGVjdCBIZXIgVG9kYXlYAaIGIQofChsKGRoXChVIZXIgU2FmZXR5LCBZb3VyIEdpZnRYAaIGHgocChgKFhoUChJHaXZlIE1vbSBZb3VyIEJlc3RYAaIGIAoeChoKGBoWChRHdWFyZCBIZXIgSGVhbHRoIEZsdVgBogYgCh4KGgoYGhYKFEZsdSBQcm90ZWN0aW9uIEZpcnN0WAGiBh8KHQoZChcaFQoTQ29tZm9ydCBpbiBJbW11bml0eVgBogYdChsKFwoVGhMKEVByby1BY3RpdmUgU2hpZWxkWAGiBiUKIwofCh0aGwoZV2VsbG5lc3MgVGhyb3VnaCBWYWNjaW5lc1gBogYgCh4KGgoYGhYKFFByZXZlbnRpdmUgQ2FyZSBTaG90WAGiBh0KGwoXChUaEwoRRmx1IHNob3QgZm9yIE11bS5YAaIGGgoYChQKEhoQCg5LZWVwIE11bSB3ZWxsLlgBogYkCiIKHgocGhoKGEZsdSB2YWNjaW5hdGlvbiBmb3IgTXVtLlgBogYcChoKFgoUGhIKEEZsdSBqYWIgZm9yIE11bS5YAaIGIgogChwKGhoYChZBIHNtYWxsIGphYi4gQmlnIGdpZnQuWAGiBloKWApUClIaUApOU2hlJ3MgbnVyc2VkIGV2ZXJ5b25lIHRocm91Z2ggZXZlcnkgZmx1LiBUaGlzIE1vdGhlcidzIERheSwgcmV0dXJuIHRoZSBmYXZvdXIuWAKiBmIKYApcCloaWApWUXVpY2sgZmx1IHZhY2NpbmF0aW9uIHdpdGggREEgZG9jdG9ycyDigJQgdGhlIHNtYWxsLCBzbWFydCBnaWZ0IE11bSB3aWxsIGFjdHVhbGx5IHVzZS5YAqIGVgpUClAKThpMCkpQcm90ZWN0IHRoZSB3b21hbiB3aG8gcHJvdGVjdHMgZXZlcnlvbmUuIEJvb2sgTXVtJ3MgZmx1IHZhY2NpbmF0aW9uIHRvZGF5LlgCogZXClUKUQpPGk0KS0Zsb3dlcnMgd2lsdC4gRmx1IGxpbmdlcnMuIFNraXAgdGhlIGJvdXF1ZXQg4oCUIGJvb2sgTXVtIGEgZmx1IGphYiBpbnN0ZWFkLlgCogZVClMKTwpNGksKSVRoZSBlYXNpZXN0IE1vdGhlcidzIERheSBnaWZ0IHlvdSdsbCBnaXZlOiBNdW0ncyBmbHUgdmFjY2luYXRpb24sIHNvcnRlZC5YAqIGNgo0CjAKLhosCipCb29rIE11bSdzIGZsdSBqYWIuIFJlYWwgREEgZG9jdG9ycyB0b2RheS5YA6IGXwpdClkKVxpVClNRdWljayBmbHUgdmFjY2luYXRpb24gd2l0aCBEQSBkb2N0b3JzLiBUaGUgTW90aGVyJ3MgRGF5IGdpZnQgTXVtIHdpbGwgYWN0dWFsbHkgdXNlLlgDogZaClgKVApSGlAKTlByb3RlY3QgdGhlIHdvbWFuIHdobyBwcm90ZWN0cyBldmVyeW9uZS4gQm9vayBNdW0ncyBmbHUgamFiIHRoaXMgTW90aGVyJ3MgRGF5LlgDogZfCl0KWQpXGlUKU1NoZSdzIG51cnNlZCBldmVyeW9uZSB0aHJvdWdoIGZsdSBzZWFzb24uIFJldHVybiB0aGUgZmF2b3VyIHdpdGggYSBmbHUgdmFjY2luYXRpb24uWAOiBlcKVQpRCk8aTQpLQ2FyZSBpc24ndCBvbmx5IGZvciBzaWNrIGRheXMuIEJvb2sgTXVtJ3MgZmx1IGphYiBpbiBtaW51dGVzIHdpdGggREEgdG9kYXkuWAOiBsMBCsABCiMKIQigtMivrQoSGE1kYXktRmx1LVNHIDEyMDB4NjI4LmpwZyKWAQiAgICQjqPn5sIBIILCGjqCAQj0BBCwCRo8aHR0cHM6Ly90cGMuZ29vZ2xlc3luZGljYXRpb24uY29tL3NpbWdhZC8xMTQ1ODA1MjU5NzcyNDQ2Nzc5IjxodHRwczovL3RwYy5nb29nbGVzeW5kaWNhdGlvbi5jb20vcGltZ2FkLzExNDU4MDUyNTk3NzI0NDY3NzlQAVgEoga8AQq5AQodChsIsbPIr60KEhJNZGF5LUZsdS1TRyBzcS5qcGcilQEIgICAkI6jp6JLIN3MKzqCAQiwCRCwCRo8aHR0cHM6Ly90cGMuZ29vZ2xlc3luZGljYXRpb24uY29tL3NpbWdhZC8xMDM5NzY2ODQwMTQwMDI3MTI5IjxodHRwczovL3RwYy5nb29nbGVzeW5kaWNhdGlvbi5jb20vcGltZ2FkLzEwMzk3NjY4NDAxNDAwMjcxMjlQAVgFogbFAQrCAQojCiEI5bTIr60KEhhNZGF5LUZsdS1TRyA5NjB4MTIwMC5qcGcimAEIgICAkI6j97_iASDk-yU6hAEIsAkQwAcaPWh0dHBzOi8vdHBjLmdvb2dsZXN5bmRpY2F0aW9uLmNvbS9zaW1nYWQvMTYzODUzMzEzMDM1ODgwMDQ3NDkiPWh0dHBzOi8vdHBjLmdvb2dsZXN5bmRpY2F0aW9uLmNvbS9waW1nYWQvMTYzODUzMzEzMDM1ODgwMDQ3NDlQAVghogbZAQrWAQo6CjgIwcjk178JEi9XZWJzaXRlIGltYWdlIC0gMjAyNi0wMS0yOCAxOTo0NTowMy4yMjQgKDEpLnBuZyKVAQiAgICQ6pyYvTcg-bIBOoIBCIAEEIAEGjxodHRwczovL3RwYy5nb29nbGVzeW5kaWNhdGlvbi5jb20vc2ltZ2FkLzYzMjgyMTM4OTI4OTYyODY0NzIiPGh0dHBzOi8vdHBjLmdvb2dsZXN5bmRpY2F0aW9uLmNvbS9waW1nYWQvNjMyODIxMzg5Mjg5NjI4NjQ3MlABWAaiBvMBCvABChgKFgjj79_O0QkqDQoLa2lkeVRKLUJpM1U60QEKU0RvY3RvciBBbnl3aGVyZSB8IERvY3RvciBIb3VzZSBDYWxsIHwgWW91ciBob21lLiBZb3VyIENhcmUuIE91ciBkb2N0b3JzLiAtIFYuMSAxNjo5EIBbGjBodHRwczovL2kueXRpbWcuY29tL3ZpL2tpZHlUSi1CaTNVL2hxZGVmYXVsdC5qcGchHMdxHMdx_D86D0RvY3RvciBBbnl3aGVyZUIraHR0cHM6Ly93d3cueW91dHViZS5jb20vd2F0Y2g_dj1raWR5VEotQmkzVVgMogbzAQrwAQoYChYI-NHk9dEJKg0KC2Z3WXZLZnN4dm80OtEBClNEb2N0b3IgQW55d2hlcmUgfCBEb2N0b3IgSG91c2UgQ2FsbCB8IFlvdXIgaG9tZS4gWW91ciBDYXJlLiBPdXIgZG9jdG9ycy4gLSBWLjEgOToxNhC2WxowaHR0cHM6Ly9pLnl0aW1nLmNvbS92aS9md1l2S2ZzeHZvNC9ocWRlZmF1bHQuanBnIQAAAAAAAOI_Og9Eb2N0b3IgQW55d2hlcmVCK2h0dHBzOi8vd3d3LnlvdXR1YmUuY29tL3dhdGNoP3Y9ZndZdktmc3h2bzRYDKIG8gEK7wEKGAoWCI3H2_fRCSoNCgtTQUk4OTdJOWJzUTrQAQpSRG9jdG9yIEFueXdoZXJlIHwgRG9jdG9yIEhvdXNlIENhbGwgfCBZb3VyIGhvbWUuIFlvdXIgQ2FyZS4gT3VyIGRvY3RvcnMuIC0gVi4xIDE6MRC2WxowaHR0cHM6Ly9pLnl0aW1nLmNvbS92aS9TQUk4OTdJOWJzUS9ocWRlZmF1bHQuanBnIQAAAAAAAPA_Og9Eb2N0b3IgQW55d2hlcmVCK2h0dHBzOi8vd3d3LnlvdXR1YmUuY29tL3dhdGNoP3Y9U0FJODk3STlic1FYDKIGDQoLCgcKBYICAggIWCiiBsMBCsABCiMKIQigtMivrQoSGE1kYXktRmx1LVNHIDEyMDB4NjI4LmpwZyKWAQiAgICQjqPn5sIBIILCGjqCAQj0BBCwCRo8aHR0cHM6Ly90cGMuZ29vZ2xlc3luZGljYXRpb24uY29tL3NpbWdhZC8xMTQ1ODA1MjU5NzcyNDQ2Nzc5IjxodHRwczovL3RwYy5nb29nbGVzeW5kaWNhdGlvbi5jb20vcGltZ2FkLzExNDU4MDUyNTk3NzI0NDY3NzlQAVg7oga8AQq5AQodChsIsbPIr60KEhJNZGF5LUZsdS1TRyBzcS5qcGcilQEIgICAkI6jp6JLIN3MKzqCAQiwCRCwCRo8aHR0cHM6Ly90cGMuZ29vZ2xlc3luZGljYXRpb24uY29tL3NpbWdhZC8xMDM5NzY2ODQwMTQwMDI3MTI5IjxodHRwczovL3RwYy5nb29nbGVzeW5kaWNhdGlvbi5jb20vcGltZ2FkLzEwMzk3NjY4NDAxNDAwMjcxMjlQAVg7ogbZAQrWAQo6CjgIwcjk178JEi9XZWJzaXRlIGltYWdlIC0gMjAyNi0wMS0yOCAxOTo0NTowMy4yMjQgKDEpLnBuZyKVAQiAgICQ6pyYvTcg-bIBOoIBCIAEEIAEGjxodHRwczovL3RwYy5nb29nbGVzeW5kaWNhdGlvbi5jb20vc2ltZ2FkLzYzMjgyMTM4OTI4OTYyODY0NzIiPGh0dHBzOi8vdHBjLmdvb2dsZXN5bmRpY2F0aW9uLmNvbS9waW1nYWQvNjMyODIxMzg5Mjg5NjI4NjQ3MlABWDiiBhsKGQoVChMaEQoPRG9jdG9yIEFueXdoZXJlWCkKBggBEgIyAArGAQgBEsEBChQIy6HQ2FjyCAgKABIAGgAiAPgIAaIGTwpNCkkKRwiS8p7AlgpqKmh0dHBzOi8vZG9jdG9yYW55d2hlcmUuY29tL21lbnRhbHdlbGxuZXNzL6oBEQoPTWVudGFsIFdlbGxuZXNzWB-iBlYKVApQCk4IwPSDhpcKai5odHRwczovL2RvY3RvcmFueXdoZXJlLmNvbS93b3JrcGxhY2Utd2VsbG5lc3MvqgEUChJXb3JrcGxhY2UgV2VsbG5lc3NYHwqLBAgBEoYEKgCiBp4BCpsBCpYBCpMBCNyg7dVVogGJAQoPU2VydmljZSBjYXRhbG9nEhRHZW5lcmFsIFByYWN0aXRpb25lchIUTGFjdGF0aW9uIENvbnN1bHRhbnQSFFNleHVhbCBIZWFsdGggQWR2aWNlEhNNZWRpY2F0aW9uIERlbGl2ZXJ5EglSZWZlcnJhbHMSFFNwZWNpYWxpc3RzIFJlZmVycmFsWB6iBrkBCrYBCrEBCq4BCN-g7dVVogGkAQoPU2VydmljZSBjYXRhbG9nEgxIZWFsdGhpZXIgU0cSCUdQIERvY3RvchILU3BlY2lhbGlzdHMSE051dHJpdGlvbiAmIEZpdG5lc3MSEEhlYWx0aCBTY3JlZW5pbmcSD01lbnRhbCBXZWxsbmVzcxIMVmFjY2luYXRpb25zEg9DaGlsZHJlbiBDbGluaWMSFE1lbiAmIFdvbWVuJ3MgSGVhbHRoWB6iBjAiLgoPMTggWWlzaHVuIEF2ZSA5EgAaEkRBIENsaW5pYyBAIFlpc2h1biDKheW1nQOiBjMiMQoQNDYwIEFsZXhhbmRyYSBSZBIAGhRBZGVwdCBIZWFsdGggUHRlIEx0ZCDNheW1nQOiBjkiNwoSMTQwIENvcnBvcmF0aW9uIERyEgAaGERBIENsaW5pYyBAIFRhbWFuIEp1cm9uZyDQheW1nQOoAQ0STEFCQzJ6dVlDWko5WDY1STBzYjQzN0ZFOUxfeDFmc3FIWXZidEhlMWdTUEs3ems0VWlFcTU3R1BCYVFlaG1QcXhXU0xrbzlidWd4R0oiFhIMSAFQAXgAkAEAoAEBKAE6AQFCAQIo7oqrjfIzMICQ-9MJOggQASgeMAQ4AEIOQVdOX0NNX0VESVRJTkc=" TargetMode="External"/><Relationship Id="rId38" Type="http://schemas.openxmlformats.org/officeDocument/2006/relationships/hyperlink" Target="https://drive.google.com/drive/folders/1KThMKs59PGeeBaAXCrwUnrqBYFZLQIli" TargetMode="External"/><Relationship Id="rId19" Type="http://schemas.openxmlformats.org/officeDocument/2006/relationships/hyperlink" Target="https://www.facebook.com/100067529591306/posts/1166770435583932/?dco_ad_token=AaoIbKL6YebTEOHRvXnB-ZbDYf4cTHcI3NefpBKuGjhA4vxK8cWFnRZ63QKMRhye_7rcyM5CYhKZYEVY&amp;dco_ad_id=120237944500530058" TargetMode="External"/><Relationship Id="rId18" Type="http://schemas.openxmlformats.org/officeDocument/2006/relationships/hyperlink" Target="https://www.facebook.com/100067529591306/posts/1295662469361394/"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presentation/d/1dRzDPiKNLPel4E5LUtgVm3mwkLe5rS79gu_Q_TK9RGo/edit?slide=id.p7" TargetMode="External"/><Relationship Id="rId2" Type="http://schemas.openxmlformats.org/officeDocument/2006/relationships/hyperlink" Target="https://docs.google.com/presentation/d/1dRzDPiKNLPel4E5LUtgVm3mwkLe5rS79gu_Q_TK9RGo/edit?slide=id.p7"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drive/folders/1J-9bOF4HWNgHWwh4XTU_r3Px7iPhaMF1" TargetMode="External"/><Relationship Id="rId42" Type="http://schemas.openxmlformats.org/officeDocument/2006/relationships/hyperlink" Target="https://drive.google.com/drive/folders/1sNNQAfd2WRL6gpCpae5ZnmOR8_tCr76p" TargetMode="External"/><Relationship Id="rId41" Type="http://schemas.openxmlformats.org/officeDocument/2006/relationships/hyperlink" Target="https://drive.google.com/drive/folders/1NtaGUR0-2bcXbO94-1xBG5Qxeero7-OE" TargetMode="External"/><Relationship Id="rId44" Type="http://schemas.openxmlformats.org/officeDocument/2006/relationships/hyperlink" Target="https://docs.google.com/spreadsheets/d/1D3pYFcOrETgINS68ogr21fqIjrEy9ua2UHqvspOU7LI/edit?usp=sharing" TargetMode="External"/><Relationship Id="rId43" Type="http://schemas.openxmlformats.org/officeDocument/2006/relationships/hyperlink" Target="https://docs.google.com/spreadsheets/d/1kM9HhbyBtkkdmRtljGY1sDQkcKwEA-wzkl05kKcL6CQ/edit?usp=sharing" TargetMode="External"/><Relationship Id="rId46" Type="http://schemas.openxmlformats.org/officeDocument/2006/relationships/hyperlink" Target="https://doctoranywhere.atlassian.net/wiki/x/DQDQ2g" TargetMode="External"/><Relationship Id="rId45" Type="http://schemas.openxmlformats.org/officeDocument/2006/relationships/hyperlink" Target="https://docs.google.com/presentation/d/1JVXRebWRtmEl_6G4Wl-Xn0MeM4_jKfMNWh9DACYKE5Q/edit?usp=sharing" TargetMode="External"/><Relationship Id="rId1" Type="http://schemas.openxmlformats.org/officeDocument/2006/relationships/hyperlink" Target="https://drive.google.com/drive/folders/0AJzAFWxdvqlwUk9PVA" TargetMode="External"/><Relationship Id="rId2" Type="http://schemas.openxmlformats.org/officeDocument/2006/relationships/hyperlink" Target="https://drive.google.com/drive/folders/1jS68ZVO_E4POs_qHViUMYoxXIcbxiMh5?usp=sharing" TargetMode="External"/><Relationship Id="rId3" Type="http://schemas.openxmlformats.org/officeDocument/2006/relationships/hyperlink" Target="https://docs.google.com/spreadsheets/d/1tByf59DXasAmS8wXm7wSKW3UliOmV4WTH1mH9AeqhW0/edit?gid=825093966" TargetMode="External"/><Relationship Id="rId4" Type="http://schemas.openxmlformats.org/officeDocument/2006/relationships/hyperlink" Target="https://docs.google.com/presentation/d/1EeijQ2F1JhIOMNSzEWdGqNQ5tGxR-UbEMTtcHmquSh4/edit?usp=sharing" TargetMode="External"/><Relationship Id="rId9" Type="http://schemas.openxmlformats.org/officeDocument/2006/relationships/hyperlink" Target="https://docs.google.com/spreadsheets/d/13BBn6rlQj4AWzWlj5u3GH_cH1iDI2_OGh8eQsadsxEg/edit?usp=sharing" TargetMode="External"/><Relationship Id="rId48" Type="http://schemas.openxmlformats.org/officeDocument/2006/relationships/hyperlink" Target="https://docs.google.com/spreadsheets/d/1275tDF5ygjaqkW5tm_6x9XDaid4GAl0PtGu4yvhdcVY/edit?usp=sharing" TargetMode="External"/><Relationship Id="rId47" Type="http://schemas.openxmlformats.org/officeDocument/2006/relationships/hyperlink" Target="https://docs.google.com/presentation/d/17qQ9AA1ALuDO3XKPpWQRby4bnEVoEh6U7-i5Fc2DNmE/edit?usp=sharing" TargetMode="External"/><Relationship Id="rId49" Type="http://schemas.openxmlformats.org/officeDocument/2006/relationships/hyperlink" Target="https://docs.google.com/spreadsheets/d/1rWvJpiHiDEcDXbf_e8Tv0jYgkT0pS46fFqWDImQNt2M/edit?usp=sharing" TargetMode="External"/><Relationship Id="rId5" Type="http://schemas.openxmlformats.org/officeDocument/2006/relationships/hyperlink" Target="https://docs.google.com/document/d/1ErhBJH1RXGdUX3ExJqUeI9YUPAHNh498lnSOUIE_mv0/edit?tab=t.0" TargetMode="External"/><Relationship Id="rId6" Type="http://schemas.openxmlformats.org/officeDocument/2006/relationships/hyperlink" Target="https://docs.google.com/presentation/d/1dRzDPiKNLPel4E5LUtgVm3mwkLe5rS79gu_Q_TK9RGo/edit?slide=id.p1" TargetMode="External"/><Relationship Id="rId7" Type="http://schemas.openxmlformats.org/officeDocument/2006/relationships/hyperlink" Target="https://docs.google.com/document/d/1vkhZq6WoC85iZzyM_Jj0TQaTTsmaWJ5QxLOHGldDUqY/edit?tab=t.0" TargetMode="External"/><Relationship Id="rId8" Type="http://schemas.openxmlformats.org/officeDocument/2006/relationships/hyperlink" Target="https://docs.google.com/spreadsheets/d/1JzED9R8hTZw7TQZl2nEKfpLMmpdVtve3VznWxIE_VYI/edit?usp=sharing" TargetMode="External"/><Relationship Id="rId31" Type="http://schemas.openxmlformats.org/officeDocument/2006/relationships/hyperlink" Target="https://docs.google.com/document/d/14jH_aI5HVbiItU4LGKk9j11RDy7Ft2ZcutTGC9hFArw/edit?tab=t.0" TargetMode="External"/><Relationship Id="rId30" Type="http://schemas.openxmlformats.org/officeDocument/2006/relationships/hyperlink" Target="https://docs.google.com/spreadsheets/d/1QHKoolnru1i-KDYp3_87O45A3QGtkZwwKRnezl_HnYU/edit?gid=0" TargetMode="External"/><Relationship Id="rId33" Type="http://schemas.openxmlformats.org/officeDocument/2006/relationships/hyperlink" Target="https://drive.google.com/drive/folders/1uHnGdDVg78h2kauXjD9ZAMx3zDzPDF5b" TargetMode="External"/><Relationship Id="rId32" Type="http://schemas.openxmlformats.org/officeDocument/2006/relationships/hyperlink" Target="https://docs.google.com/spreadsheets/d/1c4aIDN2cCdwDm8gviLQEP7UTkWSJ3i038Z9zrvy-flI/edit?gid=2001375830" TargetMode="External"/><Relationship Id="rId35" Type="http://schemas.openxmlformats.org/officeDocument/2006/relationships/hyperlink" Target="https://docs.google.com/presentation/d/1PLft7mPsqp8mjybPbtBIVhYLbij1hVqIFsZtPx3eSUo/edit?usp=sharing" TargetMode="External"/><Relationship Id="rId34" Type="http://schemas.openxmlformats.org/officeDocument/2006/relationships/hyperlink" Target="https://docs.google.com/presentation/d/1Fti3qTzSOn7MdfcVKX-T_J0RuKY67-iD_scHk-iHlvU/edit?usp=sharing" TargetMode="External"/><Relationship Id="rId37" Type="http://schemas.openxmlformats.org/officeDocument/2006/relationships/hyperlink" Target="https://doctoranywhere.atlassian.net/wiki/spaces/Marketing/pages/4926865847/Design+Folder+Directory" TargetMode="External"/><Relationship Id="rId36" Type="http://schemas.openxmlformats.org/officeDocument/2006/relationships/hyperlink" Target="https://drive.google.com/drive/folders/19wSEneAFlR_Ziy5JHTNPVhiqES9ioFsm" TargetMode="External"/><Relationship Id="rId39" Type="http://schemas.openxmlformats.org/officeDocument/2006/relationships/hyperlink" Target="https://drive.google.com/drive/folders/1J0uRhqebH60ubp99HAeYvJzgbLzHP_Ou" TargetMode="External"/><Relationship Id="rId38" Type="http://schemas.openxmlformats.org/officeDocument/2006/relationships/hyperlink" Target="https://docs.google.com/presentation/d/17bl64_jy9dxfAeQXXpgNepaLiwajVk3Vpyds-5g0CG0/edit?usp=sharing" TargetMode="External"/><Relationship Id="rId62" Type="http://schemas.openxmlformats.org/officeDocument/2006/relationships/hyperlink" Target="https://docs.google.com/presentation/d/1GQMZqK8gFUfZK9pyLYLIzs0AKGnZSUuI8SP2Ktkix3U/edit?usp=sharing" TargetMode="External"/><Relationship Id="rId61" Type="http://schemas.openxmlformats.org/officeDocument/2006/relationships/hyperlink" Target="https://docs.google.com/spreadsheets/d/1WUgfDRbJiZipMaVaW0Ct9aBneRU07wOJ9d-4lzt5sKg/edit?usp=sharing" TargetMode="External"/><Relationship Id="rId20" Type="http://schemas.openxmlformats.org/officeDocument/2006/relationships/hyperlink" Target="https://docs.google.com/presentation/d/1WImOD43dCFnMyuamoRy8xsmltfWpkS13/edit?usp=sharing&amp;ouid=114278448906923092405&amp;rtpof=true&amp;sd=true" TargetMode="External"/><Relationship Id="rId64" Type="http://schemas.openxmlformats.org/officeDocument/2006/relationships/hyperlink" Target="https://docs.google.com/presentation/d/1da2DtvedPVbFePVsTKQWUJGwo1JGBAYUcjM1JJ4YAVw/edit?usp=sharing" TargetMode="External"/><Relationship Id="rId63" Type="http://schemas.openxmlformats.org/officeDocument/2006/relationships/hyperlink" Target="https://docs.google.com/spreadsheets/d/1WUgfDRbJiZipMaVaW0Ct9aBneRU07wOJ9d-4lzt5sKg/edit?gid=1769344180" TargetMode="External"/><Relationship Id="rId22" Type="http://schemas.openxmlformats.org/officeDocument/2006/relationships/hyperlink" Target="https://drive.google.com/drive/folders/0AJzAFWxdvqlwUk9PVA" TargetMode="External"/><Relationship Id="rId66" Type="http://schemas.openxmlformats.org/officeDocument/2006/relationships/hyperlink" Target="https://docs.google.com/spreadsheets/d/1lOS3BGzgWefRUGDG217bBuShFMsUA-2WkLDOzpsrU8s/edit?usp=sharing" TargetMode="External"/><Relationship Id="rId21" Type="http://schemas.openxmlformats.org/officeDocument/2006/relationships/hyperlink" Target="https://docs.google.com/presentation/d/1_Fr-Z_FDfmQP24a5FC5RQuj6tsK4wxbVxWc794CAVTE/edit?usp=sharing" TargetMode="External"/><Relationship Id="rId65" Type="http://schemas.openxmlformats.org/officeDocument/2006/relationships/hyperlink" Target="https://docs.google.com/presentation/d/1bSBVqB3nHBBFYh4TY9mBtyfXSFCx_yG_JvGn6M07z14/edit?usp=sharing" TargetMode="External"/><Relationship Id="rId24" Type="http://schemas.openxmlformats.org/officeDocument/2006/relationships/hyperlink" Target="https://drive.google.com/drive/folders/0AFHKNu622INvUk9PVA" TargetMode="External"/><Relationship Id="rId68" Type="http://schemas.openxmlformats.org/officeDocument/2006/relationships/hyperlink" Target="https://docs.google.com/spreadsheets/d/1OtoN-PK4UZGQtQpS83eynoEwDu_HFoZI-mfLMgeq8sw/edit?usp=sharing" TargetMode="External"/><Relationship Id="rId23" Type="http://schemas.openxmlformats.org/officeDocument/2006/relationships/hyperlink" Target="https://drive.google.com/drive/folders/0AKkhJFOs1PENUk9PVA" TargetMode="External"/><Relationship Id="rId67" Type="http://schemas.openxmlformats.org/officeDocument/2006/relationships/hyperlink" Target="https://drive.google.com/drive/folders/1aAwLdh1MDVhNldA3c6wezVhTmMosOlzO" TargetMode="External"/><Relationship Id="rId60" Type="http://schemas.openxmlformats.org/officeDocument/2006/relationships/hyperlink" Target="https://docs.google.com/document/d/1mnlJt6zU1ft_uf_NtnmKrZBZSyBPMk26oZzlVmFzvX4/edit?usp=sharing" TargetMode="External"/><Relationship Id="rId26" Type="http://schemas.openxmlformats.org/officeDocument/2006/relationships/hyperlink" Target="https://drive.google.com/drive/folders/0APDDoMIxJkyhUk9PVA" TargetMode="External"/><Relationship Id="rId25" Type="http://schemas.openxmlformats.org/officeDocument/2006/relationships/hyperlink" Target="https://drive.google.com/drive/folders/0AG3JZxJwY9hBUk9PVA" TargetMode="External"/><Relationship Id="rId69" Type="http://schemas.openxmlformats.org/officeDocument/2006/relationships/drawing" Target="../drawings/drawing11.xml"/><Relationship Id="rId28" Type="http://schemas.openxmlformats.org/officeDocument/2006/relationships/hyperlink" Target="https://sites.google.com/doctoranywhere.com/marketing/home?authuser=0&amp;pli=1" TargetMode="External"/><Relationship Id="rId27" Type="http://schemas.openxmlformats.org/officeDocument/2006/relationships/hyperlink" Target="https://doctoranywhere.atlassian.net/wiki/spaces/MH/overview" TargetMode="External"/><Relationship Id="rId29" Type="http://schemas.openxmlformats.org/officeDocument/2006/relationships/hyperlink" Target="https://doctoranywhere.atlassian.net/jira/servicedesk/projects/MSD/summary" TargetMode="External"/><Relationship Id="rId51" Type="http://schemas.openxmlformats.org/officeDocument/2006/relationships/hyperlink" Target="https://docs.google.com/presentation/d/14F-FfpKkNLrEGbAclbsZyijfAYnbukJEEgwSys-VQMY/edit?usp=sharing" TargetMode="External"/><Relationship Id="rId50" Type="http://schemas.openxmlformats.org/officeDocument/2006/relationships/hyperlink" Target="https://docs.google.com/spreadsheets/d/1hRUT7ngEA_j7Z5OnZ8Z8D5SaWKT26H21/edit?usp=sharing&amp;ouid=114278448906923092405&amp;rtpof=true&amp;sd=true" TargetMode="External"/><Relationship Id="rId53" Type="http://schemas.openxmlformats.org/officeDocument/2006/relationships/hyperlink" Target="https://docs.google.com/presentation/d/1GFHhpHotHIwHtnQj7GuqQQkHfrbKHdmYyX-W0gi_P4o/edit?usp=sharing" TargetMode="External"/><Relationship Id="rId52" Type="http://schemas.openxmlformats.org/officeDocument/2006/relationships/hyperlink" Target="https://docs.google.com/spreadsheets/d/12suvg8diCX4ImlyxHujMWU--xiL-LKiUcGjhjTCG-Ko/edit?usp=sharing" TargetMode="External"/><Relationship Id="rId11" Type="http://schemas.openxmlformats.org/officeDocument/2006/relationships/hyperlink" Target="https://docs.google.com/presentation/d/1w637l0SsEfwjJ2qAh_Ls3pGkyL-ItrJFS3yRAa5Ad-M/edit?usp=sharing" TargetMode="External"/><Relationship Id="rId55" Type="http://schemas.openxmlformats.org/officeDocument/2006/relationships/hyperlink" Target="https://docs.google.com/presentation/d/1M_RXQWD-IyYkWU5hFJc77NX5-2_LZb8IQsFpkBfEqi8/edit?usp=sharing" TargetMode="External"/><Relationship Id="rId10" Type="http://schemas.openxmlformats.org/officeDocument/2006/relationships/hyperlink" Target="https://docs.google.com/spreadsheets/d/1n7NKO1r53FrmOoicwTjUvsS-aJH7bt6U_wygyYRyu3k/edit?usp=sharing" TargetMode="External"/><Relationship Id="rId54" Type="http://schemas.openxmlformats.org/officeDocument/2006/relationships/hyperlink" Target="https://docs.google.com/presentation/d/1da42JyEV3tS3DzL8D1cZFofS297GTkqRZ1Tc8zsuI6U/edit?usp=sharing" TargetMode="External"/><Relationship Id="rId13" Type="http://schemas.openxmlformats.org/officeDocument/2006/relationships/hyperlink" Target="https://docs.google.com/spreadsheets/d/1fejz5B6cyuJlnASYgGKdXWr7GjvW3vIRsN0Du1WEpuM/edit?usp=sharing" TargetMode="External"/><Relationship Id="rId57" Type="http://schemas.openxmlformats.org/officeDocument/2006/relationships/hyperlink" Target="https://docs.google.com/presentation/d/118NJFKYpRuoAHFuxFRz9rZG9bkshij4zWOefLBVF8WA/edit?usp=sharing" TargetMode="External"/><Relationship Id="rId12" Type="http://schemas.openxmlformats.org/officeDocument/2006/relationships/hyperlink" Target="https://docs.google.com/presentation/d/1fKe7aUFE9s32cOlNeQZOIzADDXPWtlAzVx2SjrNHY-8/edit?usp=sharing" TargetMode="External"/><Relationship Id="rId56" Type="http://schemas.openxmlformats.org/officeDocument/2006/relationships/hyperlink" Target="https://docs.google.com/document/d/1NU2fOgynngnfymOsn3bnHIKb8JcL1gU95xrf3R5UTI4/edit?usp=sharing" TargetMode="External"/><Relationship Id="rId15" Type="http://schemas.openxmlformats.org/officeDocument/2006/relationships/hyperlink" Target="https://docs.google.com/spreadsheets/d/1DJWBdp7JEuKRM2S4HpyNz5nA0Ewd41gzJ4S_m2qvQto/edit?gid=1123319909" TargetMode="External"/><Relationship Id="rId59" Type="http://schemas.openxmlformats.org/officeDocument/2006/relationships/hyperlink" Target="https://docs.google.com/spreadsheets/d/1DekRCl-l4NPbAncoNy_J8YAU4mEYDPaE/edit?usp=sharing&amp;ouid=114278448906923092405&amp;rtpof=true&amp;sd=true" TargetMode="External"/><Relationship Id="rId14" Type="http://schemas.openxmlformats.org/officeDocument/2006/relationships/hyperlink" Target="https://docs.google.com/spreadsheets/d/1C4SfxrtmTQpwhGspBe8UuMJMbjPVEVeL7uAZ_PNNMP0/edit?gid=1282276168" TargetMode="External"/><Relationship Id="rId58" Type="http://schemas.openxmlformats.org/officeDocument/2006/relationships/hyperlink" Target="https://docs.google.com/presentation/d/1fYJeLW96SzNpQfVcfrUa4IEZmylwM8j-5w6-YNMSDPg/edit?usp=sharing" TargetMode="External"/><Relationship Id="rId17" Type="http://schemas.openxmlformats.org/officeDocument/2006/relationships/hyperlink" Target="https://docs.google.com/presentation/d/16a59qL7EzK5AanRrwc2XzpLRxrH2fa5wXD9LcyXd7lk/edit?usp=sharing" TargetMode="External"/><Relationship Id="rId16" Type="http://schemas.openxmlformats.org/officeDocument/2006/relationships/hyperlink" Target="https://docs.google.com/presentation/d/1ZqPGDu0l3ZxcyqUbHnZzNtgC8xMA2AhwMQJLfV60LYo/edit?usp=sharing" TargetMode="External"/><Relationship Id="rId19" Type="http://schemas.openxmlformats.org/officeDocument/2006/relationships/hyperlink" Target="https://docs.google.com/presentation/d/18-k84Z1UhipZIYjGKVaAeP9ovAzXwuhS/edit?usp=sharing&amp;ouid=114278448906923092405&amp;rtpof=true&amp;sd=true" TargetMode="External"/><Relationship Id="rId18" Type="http://schemas.openxmlformats.org/officeDocument/2006/relationships/hyperlink" Target="https://docs.google.com/presentation/d/14MjPQPDPyF20RXLf8xzhitVq8DuKdSiLkvYPB3O7BHA/edit?usp=sharing"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facebook.com/business/help/2169003770027706" TargetMode="External"/><Relationship Id="rId2" Type="http://schemas.openxmlformats.org/officeDocument/2006/relationships/hyperlink" Target="https://support.google.com/admanager/answer/3059181?hl=en" TargetMode="External"/><Relationship Id="rId3" Type="http://schemas.openxmlformats.org/officeDocument/2006/relationships/hyperlink" Target="https://ads.tiktok.com/help/article/add-users-tiktok-business-center?aadvid=7390237634179760129" TargetMode="External"/><Relationship Id="rId4" Type="http://schemas.openxmlformats.org/officeDocument/2006/relationships/hyperlink" Target="https://www.linkedin.com/help/lms/answer/a456406" TargetMode="External"/><Relationship Id="rId5" Type="http://schemas.openxmlformats.org/officeDocument/2006/relationships/hyperlink" Target="https://ads.apple.com/app-store/help/get-started/0011-invite-users-to-your-account" TargetMode="External"/><Relationship Id="rId6" Type="http://schemas.openxmlformats.org/officeDocument/2006/relationships/hyperlink" Target="https://support.google.com/analytics/answer/9305788?hl=en" TargetMode="External"/><Relationship Id="rId7" Type="http://schemas.openxmlformats.org/officeDocument/2006/relationships/hyperlink" Target="https://support.google.com/tagmanager/answer/6107011?hl=en" TargetMode="External"/><Relationship Id="rId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drive/folders/1aAwLdh1MDVhNldA3c6wezVhTmMosOlzO"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presentation/d/16a59qL7EzK5AanRrwc2XzpLRxrH2fa5wXD9LcyXd7lk/edit?usp=sharing" TargetMode="External"/><Relationship Id="rId3" Type="http://schemas.openxmlformats.org/officeDocument/2006/relationships/hyperlink" Target="https://docs.google.com/spreadsheets/d/15wC50dy6S8PH3lxcECnjn0VQMsT0MeGxvBb7VD9opMo/edit?gid=1879325959" TargetMode="External"/><Relationship Id="rId4" Type="http://schemas.openxmlformats.org/officeDocument/2006/relationships/hyperlink" Target="https://docs.google.com/spreadsheets/d/1uN0zNRCxqlUzio8pZffKsK6-v_Iz-gB1WO_KqEEMPMg/edit?gid=1458852206" TargetMode="External"/><Relationship Id="rId9" Type="http://schemas.openxmlformats.org/officeDocument/2006/relationships/hyperlink" Target="https://docs.google.com/spreadsheets/d/1RFJWqmKuJv0cX1kG3PMjwakTreVb_BdBSKVcrbIp66U/edit?usp=sharing" TargetMode="External"/><Relationship Id="rId5" Type="http://schemas.openxmlformats.org/officeDocument/2006/relationships/hyperlink" Target="https://docs.google.com/document/d/1-PFWoKyEXlhF01I9TsQZmr-BFWjrx3RU/edit?usp=sharing&amp;ouid=114278448906923092405&amp;rtpof=true&amp;sd=true" TargetMode="External"/><Relationship Id="rId6" Type="http://schemas.openxmlformats.org/officeDocument/2006/relationships/hyperlink" Target="https://drive.google.com/drive/folders/1J0uRhqebH60ubp99HAeYvJzgbLzHP_Ou" TargetMode="External"/><Relationship Id="rId7" Type="http://schemas.openxmlformats.org/officeDocument/2006/relationships/hyperlink" Target="https://docs.google.com/presentation/d/1fKe7aUFE9s32cOlNeQZOIzADDXPWtlAzVx2SjrNHY-8/edit?usp=sharing" TargetMode="External"/><Relationship Id="rId8" Type="http://schemas.openxmlformats.org/officeDocument/2006/relationships/hyperlink" Target="https://docs.google.com/presentation/d/14MjPQPDPyF20RXLf8xzhitVq8DuKdSiLkvYPB3O7BHA/edit?slide=id.p1" TargetMode="External"/><Relationship Id="rId20" Type="http://schemas.openxmlformats.org/officeDocument/2006/relationships/hyperlink" Target="https://docs.google.com/spreadsheets/d/13E0RaFVuxG5OmuEy0E-iHRCQYw3k9c3sAHZ5g1LSR4E/edit?gid=1458852206" TargetMode="External"/><Relationship Id="rId22" Type="http://schemas.openxmlformats.org/officeDocument/2006/relationships/hyperlink" Target="https://docs.google.com/spreadsheets/d/1oHpwfWipKGLCN7DhkMrM1jb65VrCCTfoqLqZA-sl5Io/edit?gid=1267701722" TargetMode="External"/><Relationship Id="rId21" Type="http://schemas.openxmlformats.org/officeDocument/2006/relationships/hyperlink" Target="https://drive.google.com/drive/folders/1NtaGUR0-2bcXbO94-1xBG5Qxeero7-OE" TargetMode="External"/><Relationship Id="rId24" Type="http://schemas.openxmlformats.org/officeDocument/2006/relationships/drawing" Target="../drawings/drawing15.xml"/><Relationship Id="rId23" Type="http://schemas.openxmlformats.org/officeDocument/2006/relationships/hyperlink" Target="https://docs.google.com/spreadsheets/d/1oHpwfWipKGLCN7DhkMrM1jb65VrCCTfoqLqZA-sl5Io/edit?gid=975199092" TargetMode="External"/><Relationship Id="rId25" Type="http://schemas.openxmlformats.org/officeDocument/2006/relationships/vmlDrawing" Target="../drawings/vmlDrawing1.vml"/><Relationship Id="rId11" Type="http://schemas.openxmlformats.org/officeDocument/2006/relationships/hyperlink" Target="https://docs.google.com/spreadsheets/d/1oHpwfWipKGLCN7DhkMrM1jb65VrCCTfoqLqZA-sl5Io/edit?gid=1320300194" TargetMode="External"/><Relationship Id="rId10" Type="http://schemas.openxmlformats.org/officeDocument/2006/relationships/hyperlink" Target="https://drive.google.com/drive/folders/1J-9bOF4HWNgHWwh4XTU_r3Px7iPhaMF1?usp=drive_link" TargetMode="External"/><Relationship Id="rId13" Type="http://schemas.openxmlformats.org/officeDocument/2006/relationships/hyperlink" Target="https://drive.google.com/drive/folders/1sNNQAfd2WRL6gpCpae5ZnmOR8_tCr76p?usp=drive_link" TargetMode="External"/><Relationship Id="rId12" Type="http://schemas.openxmlformats.org/officeDocument/2006/relationships/hyperlink" Target="https://docs.google.com/presentation/d/1_Fr-Z_FDfmQP24a5FC5RQuj6tsK4wxbVxWc794CAVTE/edit?usp=sharing" TargetMode="External"/><Relationship Id="rId15" Type="http://schemas.openxmlformats.org/officeDocument/2006/relationships/hyperlink" Target="https://docs.google.com/spreadsheets/d/1oHpwfWipKGLCN7DhkMrM1jb65VrCCTfoqLqZA-sl5Io/edit?gid=55336065" TargetMode="External"/><Relationship Id="rId14" Type="http://schemas.openxmlformats.org/officeDocument/2006/relationships/hyperlink" Target="https://docs.google.com/spreadsheets/d/17_ytPp0NycGlOwKbqpeaiSWyOFJrw61T4zn8a2vReJ0/edit?usp=sharing" TargetMode="External"/><Relationship Id="rId17" Type="http://schemas.openxmlformats.org/officeDocument/2006/relationships/hyperlink" Target="https://docs.google.com/presentation/d/18-k84Z1UhipZIYjGKVaAeP9ovAzXwuhS/edit?slide=id.p1" TargetMode="External"/><Relationship Id="rId16" Type="http://schemas.openxmlformats.org/officeDocument/2006/relationships/hyperlink" Target="https://docs.google.com/presentation/d/17qQ9AA1ALuDO3XKPpWQRby4bnEVoEh6U7-i5Fc2DNmE/edit?usp=sharing" TargetMode="External"/><Relationship Id="rId19" Type="http://schemas.openxmlformats.org/officeDocument/2006/relationships/hyperlink" Target="https://docs.google.com/document/d/1I3auJS2jzdUPOtExCPhksmIJSNumwJE1/edit?usp=sharing&amp;ouid=114278448906923092405&amp;rtpof=true&amp;sd=true" TargetMode="External"/><Relationship Id="rId18" Type="http://schemas.openxmlformats.org/officeDocument/2006/relationships/hyperlink" Target="https://docs.google.com/presentation/d/1WImOD43dCFnMyuamoRy8xsmltfWpkS13/edit?usp=sharing&amp;ouid=114278448906923092405&amp;rtpof=true&amp;sd=tr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 customWidth="1" min="3" max="3" width="26.63"/>
    <col customWidth="1" min="4" max="4" width="19.25"/>
  </cols>
  <sheetData>
    <row r="1">
      <c r="A1" s="1" t="s">
        <v>0</v>
      </c>
      <c r="C1" s="2" t="s">
        <v>1</v>
      </c>
      <c r="D1" s="2" t="s">
        <v>2</v>
      </c>
    </row>
    <row r="2">
      <c r="A2" s="3" t="b">
        <v>1</v>
      </c>
      <c r="B2" s="4" t="s">
        <v>3</v>
      </c>
      <c r="C2" s="5" t="s">
        <v>4</v>
      </c>
      <c r="D2" s="6" t="s">
        <v>5</v>
      </c>
    </row>
    <row r="3">
      <c r="A3" s="3" t="b">
        <v>1</v>
      </c>
      <c r="B3" s="4" t="s">
        <v>6</v>
      </c>
      <c r="C3" s="5" t="s">
        <v>4</v>
      </c>
      <c r="D3" s="6" t="s">
        <v>5</v>
      </c>
    </row>
    <row r="4">
      <c r="A4" s="3" t="b">
        <v>1</v>
      </c>
      <c r="B4" s="4" t="s">
        <v>7</v>
      </c>
      <c r="C4" s="5" t="s">
        <v>4</v>
      </c>
      <c r="D4" s="6" t="s">
        <v>5</v>
      </c>
    </row>
    <row r="5">
      <c r="A5" s="3" t="b">
        <v>1</v>
      </c>
      <c r="B5" s="4" t="s">
        <v>8</v>
      </c>
      <c r="C5" s="5" t="s">
        <v>4</v>
      </c>
      <c r="D5" s="7" t="s">
        <v>5</v>
      </c>
    </row>
    <row r="6">
      <c r="A6" s="3" t="b">
        <v>1</v>
      </c>
      <c r="B6" s="4" t="s">
        <v>9</v>
      </c>
      <c r="C6" s="5" t="s">
        <v>4</v>
      </c>
    </row>
    <row r="7">
      <c r="A7" s="3" t="b">
        <v>1</v>
      </c>
      <c r="B7" s="4" t="s">
        <v>10</v>
      </c>
      <c r="C7" s="5" t="s">
        <v>4</v>
      </c>
      <c r="D7" s="6" t="s">
        <v>5</v>
      </c>
    </row>
    <row r="8">
      <c r="A8" s="8" t="s">
        <v>11</v>
      </c>
    </row>
    <row r="9">
      <c r="A9" s="3" t="b">
        <v>1</v>
      </c>
      <c r="B9" s="4" t="s">
        <v>12</v>
      </c>
      <c r="C9" s="5" t="s">
        <v>4</v>
      </c>
    </row>
    <row r="10">
      <c r="A10" s="3" t="b">
        <v>1</v>
      </c>
      <c r="B10" s="4" t="s">
        <v>13</v>
      </c>
      <c r="C10" s="5" t="s">
        <v>4</v>
      </c>
    </row>
    <row r="11">
      <c r="A11" s="3" t="b">
        <v>1</v>
      </c>
      <c r="B11" s="4" t="s">
        <v>14</v>
      </c>
      <c r="C11" s="5" t="s">
        <v>4</v>
      </c>
    </row>
    <row r="12">
      <c r="A12" s="8" t="s">
        <v>15</v>
      </c>
    </row>
    <row r="13">
      <c r="A13" s="3" t="b">
        <v>1</v>
      </c>
      <c r="B13" s="4" t="s">
        <v>16</v>
      </c>
      <c r="C13" s="5" t="s">
        <v>4</v>
      </c>
    </row>
    <row r="14">
      <c r="A14" s="3" t="b">
        <v>1</v>
      </c>
      <c r="B14" s="4" t="s">
        <v>17</v>
      </c>
      <c r="C14" s="5" t="s">
        <v>4</v>
      </c>
    </row>
    <row r="15">
      <c r="A15" s="3" t="b">
        <v>1</v>
      </c>
      <c r="B15" s="4" t="s">
        <v>18</v>
      </c>
      <c r="C15" s="5" t="s">
        <v>4</v>
      </c>
    </row>
    <row r="16">
      <c r="A16" s="3" t="b">
        <v>1</v>
      </c>
      <c r="B16" s="4" t="s">
        <v>19</v>
      </c>
      <c r="C16" s="5" t="s">
        <v>4</v>
      </c>
    </row>
    <row r="17">
      <c r="A17" s="3" t="b">
        <v>1</v>
      </c>
      <c r="B17" s="4" t="s">
        <v>20</v>
      </c>
      <c r="C17" s="5" t="s">
        <v>4</v>
      </c>
    </row>
    <row r="18">
      <c r="A18" s="8" t="s">
        <v>21</v>
      </c>
    </row>
    <row r="19">
      <c r="A19" s="3" t="b">
        <v>1</v>
      </c>
      <c r="B19" s="4" t="s">
        <v>22</v>
      </c>
      <c r="C19" s="5" t="s">
        <v>4</v>
      </c>
    </row>
    <row r="20">
      <c r="A20" s="3" t="b">
        <v>1</v>
      </c>
      <c r="B20" s="4" t="s">
        <v>23</v>
      </c>
      <c r="C20" s="5" t="s">
        <v>24</v>
      </c>
      <c r="D20" s="6" t="s">
        <v>25</v>
      </c>
    </row>
    <row r="21">
      <c r="A21" s="3" t="b">
        <v>1</v>
      </c>
      <c r="B21" s="4" t="s">
        <v>26</v>
      </c>
      <c r="C21" s="5" t="s">
        <v>4</v>
      </c>
    </row>
    <row r="22">
      <c r="A22" s="3" t="b">
        <v>1</v>
      </c>
      <c r="B22" s="4" t="s">
        <v>27</v>
      </c>
      <c r="C22" s="5" t="s">
        <v>4</v>
      </c>
    </row>
    <row r="23">
      <c r="A23" s="3" t="b">
        <v>1</v>
      </c>
      <c r="B23" s="4" t="s">
        <v>28</v>
      </c>
      <c r="C23" s="5" t="s">
        <v>4</v>
      </c>
    </row>
    <row r="24">
      <c r="A24" s="8" t="s">
        <v>29</v>
      </c>
    </row>
    <row r="25">
      <c r="A25" s="3" t="b">
        <v>1</v>
      </c>
      <c r="B25" s="4" t="s">
        <v>30</v>
      </c>
      <c r="C25" s="5" t="s">
        <v>4</v>
      </c>
    </row>
    <row r="26">
      <c r="A26" s="3" t="b">
        <v>1</v>
      </c>
      <c r="B26" s="4" t="s">
        <v>31</v>
      </c>
      <c r="C26" s="5" t="s">
        <v>4</v>
      </c>
    </row>
    <row r="27">
      <c r="A27" s="3" t="b">
        <v>1</v>
      </c>
      <c r="B27" s="4" t="s">
        <v>32</v>
      </c>
      <c r="C27" s="5" t="s">
        <v>4</v>
      </c>
    </row>
    <row r="28">
      <c r="A28" s="3" t="b">
        <v>1</v>
      </c>
      <c r="B28" s="4" t="s">
        <v>33</v>
      </c>
      <c r="C28" s="5" t="s">
        <v>4</v>
      </c>
    </row>
    <row r="29">
      <c r="A29" s="3" t="b">
        <v>1</v>
      </c>
      <c r="B29" s="4" t="s">
        <v>34</v>
      </c>
      <c r="C29" s="5" t="s">
        <v>4</v>
      </c>
    </row>
    <row r="30">
      <c r="A30" s="3" t="b">
        <v>1</v>
      </c>
      <c r="B30" s="4" t="s">
        <v>35</v>
      </c>
      <c r="C30" s="5" t="s">
        <v>4</v>
      </c>
    </row>
    <row r="31">
      <c r="A31" s="3" t="b">
        <v>1</v>
      </c>
      <c r="B31" s="4" t="s">
        <v>36</v>
      </c>
      <c r="C31" s="5" t="s">
        <v>4</v>
      </c>
    </row>
    <row r="32">
      <c r="A32" s="3" t="b">
        <v>1</v>
      </c>
      <c r="B32" s="4" t="s">
        <v>37</v>
      </c>
      <c r="C32" s="5" t="s">
        <v>4</v>
      </c>
    </row>
    <row r="33">
      <c r="A33" s="8" t="s">
        <v>38</v>
      </c>
    </row>
    <row r="34">
      <c r="A34" s="3" t="b">
        <v>1</v>
      </c>
      <c r="B34" s="4" t="s">
        <v>39</v>
      </c>
      <c r="C34" s="5" t="s">
        <v>4</v>
      </c>
    </row>
    <row r="35">
      <c r="A35" s="3" t="b">
        <v>1</v>
      </c>
      <c r="B35" s="4" t="s">
        <v>40</v>
      </c>
      <c r="C35" s="5" t="s">
        <v>4</v>
      </c>
    </row>
    <row r="36">
      <c r="A36" s="3" t="b">
        <v>1</v>
      </c>
      <c r="B36" s="4" t="s">
        <v>41</v>
      </c>
      <c r="C36" s="5" t="s">
        <v>4</v>
      </c>
    </row>
    <row r="37">
      <c r="A37" s="3" t="b">
        <v>1</v>
      </c>
      <c r="B37" s="4" t="s">
        <v>42</v>
      </c>
      <c r="C37" s="5" t="s">
        <v>4</v>
      </c>
    </row>
    <row r="38">
      <c r="A38" s="3" t="b">
        <v>1</v>
      </c>
      <c r="B38" s="4" t="s">
        <v>43</v>
      </c>
      <c r="C38" s="5" t="s">
        <v>4</v>
      </c>
    </row>
    <row r="39">
      <c r="A39" s="3" t="b">
        <v>1</v>
      </c>
      <c r="B39" s="4" t="s">
        <v>44</v>
      </c>
      <c r="C39" s="5" t="s">
        <v>4</v>
      </c>
    </row>
    <row r="40">
      <c r="A40" s="8" t="s">
        <v>45</v>
      </c>
    </row>
    <row r="41">
      <c r="A41" s="3" t="b">
        <v>1</v>
      </c>
      <c r="B41" s="4" t="s">
        <v>46</v>
      </c>
      <c r="C41" s="5" t="s">
        <v>4</v>
      </c>
    </row>
    <row r="42">
      <c r="A42" s="3" t="b">
        <v>1</v>
      </c>
      <c r="B42" s="4" t="s">
        <v>47</v>
      </c>
      <c r="C42" s="5" t="s">
        <v>4</v>
      </c>
    </row>
    <row r="43">
      <c r="A43" s="3" t="b">
        <v>1</v>
      </c>
      <c r="B43" s="4" t="s">
        <v>48</v>
      </c>
      <c r="C43" s="5" t="s">
        <v>4</v>
      </c>
    </row>
    <row r="44">
      <c r="A44" s="3" t="b">
        <v>1</v>
      </c>
      <c r="B44" s="4" t="s">
        <v>49</v>
      </c>
      <c r="C44" s="5" t="s">
        <v>4</v>
      </c>
    </row>
    <row r="45">
      <c r="A45" s="8" t="s">
        <v>50</v>
      </c>
    </row>
    <row r="46">
      <c r="A46" s="3" t="b">
        <v>1</v>
      </c>
      <c r="B46" s="4" t="s">
        <v>51</v>
      </c>
      <c r="C46" s="5" t="s">
        <v>4</v>
      </c>
    </row>
    <row r="47">
      <c r="A47" s="3" t="b">
        <v>1</v>
      </c>
      <c r="B47" s="4" t="s">
        <v>52</v>
      </c>
      <c r="C47" s="5" t="s">
        <v>4</v>
      </c>
    </row>
    <row r="48">
      <c r="A48" s="3" t="b">
        <v>1</v>
      </c>
      <c r="B48" s="4" t="s">
        <v>53</v>
      </c>
      <c r="C48" s="5" t="s">
        <v>4</v>
      </c>
    </row>
    <row r="49">
      <c r="A49" s="3" t="b">
        <v>1</v>
      </c>
      <c r="B49" s="4" t="s">
        <v>54</v>
      </c>
      <c r="C49" s="5" t="s">
        <v>4</v>
      </c>
    </row>
    <row r="50">
      <c r="A50" s="8" t="s">
        <v>55</v>
      </c>
    </row>
    <row r="51">
      <c r="A51" s="3" t="b">
        <v>1</v>
      </c>
      <c r="B51" s="4" t="s">
        <v>56</v>
      </c>
      <c r="C51" s="5" t="s">
        <v>4</v>
      </c>
    </row>
    <row r="52">
      <c r="A52" s="3" t="b">
        <v>1</v>
      </c>
      <c r="B52" s="4" t="s">
        <v>57</v>
      </c>
      <c r="C52" s="5" t="s">
        <v>4</v>
      </c>
    </row>
    <row r="53">
      <c r="A53" s="9" t="b">
        <v>0</v>
      </c>
      <c r="B53" s="10"/>
      <c r="C53" s="11"/>
    </row>
    <row r="54">
      <c r="A54" s="9" t="b">
        <v>0</v>
      </c>
      <c r="B54" s="10"/>
      <c r="C54" s="11"/>
    </row>
    <row r="55">
      <c r="A55" s="9" t="b">
        <v>0</v>
      </c>
      <c r="B55" s="10"/>
      <c r="C55" s="11"/>
    </row>
    <row r="56">
      <c r="A56" s="9" t="b">
        <v>0</v>
      </c>
      <c r="B56" s="10"/>
      <c r="C56" s="11"/>
    </row>
    <row r="57">
      <c r="A57" s="9" t="b">
        <v>0</v>
      </c>
      <c r="B57" s="10"/>
      <c r="C57" s="11"/>
    </row>
    <row r="58">
      <c r="A58" s="9" t="b">
        <v>0</v>
      </c>
      <c r="B58" s="10"/>
      <c r="C58" s="11"/>
    </row>
    <row r="59">
      <c r="A59" s="9" t="b">
        <v>0</v>
      </c>
      <c r="B59" s="10"/>
      <c r="C59" s="11"/>
    </row>
    <row r="60">
      <c r="B60" s="10"/>
      <c r="C60" s="11"/>
    </row>
    <row r="61">
      <c r="B61" s="10"/>
      <c r="C61" s="11"/>
    </row>
    <row r="62">
      <c r="B62" s="10"/>
      <c r="C62" s="11"/>
    </row>
    <row r="63">
      <c r="B63" s="10"/>
      <c r="C63" s="11"/>
    </row>
    <row r="64">
      <c r="B64" s="10"/>
      <c r="C64" s="11"/>
    </row>
    <row r="65">
      <c r="B65" s="10"/>
      <c r="C65" s="11"/>
    </row>
    <row r="66">
      <c r="B66" s="10"/>
      <c r="C66" s="11"/>
    </row>
    <row r="67">
      <c r="B67" s="10"/>
      <c r="C67" s="11"/>
    </row>
    <row r="68">
      <c r="B68" s="10"/>
      <c r="C68" s="11"/>
    </row>
    <row r="69">
      <c r="B69" s="10"/>
      <c r="C69" s="11"/>
    </row>
    <row r="70">
      <c r="B70" s="10"/>
      <c r="C70" s="11"/>
    </row>
    <row r="71">
      <c r="B71" s="10"/>
      <c r="C71" s="11"/>
    </row>
    <row r="72">
      <c r="B72" s="10"/>
      <c r="C72" s="11"/>
    </row>
    <row r="73">
      <c r="B73" s="10"/>
      <c r="C73" s="11"/>
    </row>
    <row r="74">
      <c r="B74" s="10"/>
      <c r="C74" s="11"/>
    </row>
    <row r="75">
      <c r="B75" s="10"/>
      <c r="C75" s="11"/>
    </row>
    <row r="76">
      <c r="B76" s="10"/>
      <c r="C76" s="11"/>
    </row>
    <row r="77">
      <c r="B77" s="10"/>
      <c r="C77" s="11"/>
    </row>
    <row r="78">
      <c r="B78" s="10"/>
      <c r="C78" s="11"/>
    </row>
    <row r="79">
      <c r="B79" s="10"/>
      <c r="C79" s="11"/>
    </row>
    <row r="80">
      <c r="B80" s="10"/>
      <c r="C80" s="11"/>
    </row>
    <row r="81">
      <c r="B81" s="10"/>
      <c r="C81" s="11"/>
    </row>
    <row r="82">
      <c r="B82" s="10"/>
      <c r="C82" s="11"/>
    </row>
    <row r="83">
      <c r="B83" s="10"/>
      <c r="C83" s="11"/>
    </row>
    <row r="84">
      <c r="B84" s="10"/>
      <c r="C84" s="11"/>
    </row>
    <row r="85">
      <c r="B85" s="10"/>
      <c r="C85" s="11"/>
    </row>
    <row r="86">
      <c r="B86" s="10"/>
      <c r="C86" s="11"/>
    </row>
    <row r="87">
      <c r="B87" s="10"/>
      <c r="C87" s="11"/>
    </row>
    <row r="88">
      <c r="B88" s="10"/>
      <c r="C88" s="11"/>
    </row>
    <row r="89">
      <c r="B89" s="10"/>
      <c r="C89" s="11"/>
    </row>
    <row r="90">
      <c r="B90" s="10"/>
      <c r="C90" s="11"/>
    </row>
    <row r="91">
      <c r="B91" s="10"/>
      <c r="C91" s="11"/>
    </row>
    <row r="92">
      <c r="B92" s="10"/>
      <c r="C92" s="11"/>
    </row>
    <row r="93">
      <c r="B93" s="10"/>
      <c r="C93" s="11"/>
    </row>
    <row r="94">
      <c r="B94" s="10"/>
      <c r="C94" s="11"/>
    </row>
    <row r="95">
      <c r="B95" s="10"/>
      <c r="C95" s="11"/>
    </row>
    <row r="96">
      <c r="B96" s="10"/>
      <c r="C96" s="11"/>
    </row>
    <row r="97">
      <c r="B97" s="10"/>
      <c r="C97" s="11"/>
    </row>
    <row r="98">
      <c r="B98" s="10"/>
      <c r="C98" s="11"/>
    </row>
    <row r="99">
      <c r="B99" s="10"/>
      <c r="C99" s="11"/>
    </row>
    <row r="100">
      <c r="B100" s="10"/>
      <c r="C100" s="11"/>
    </row>
    <row r="101">
      <c r="B101" s="10"/>
      <c r="C101" s="11"/>
    </row>
    <row r="102">
      <c r="B102" s="10"/>
      <c r="C102" s="11"/>
    </row>
    <row r="103">
      <c r="B103" s="10"/>
      <c r="C103" s="11"/>
    </row>
    <row r="104">
      <c r="B104" s="10"/>
      <c r="C104" s="11"/>
    </row>
    <row r="105">
      <c r="B105" s="10"/>
      <c r="C105" s="11"/>
    </row>
    <row r="106">
      <c r="B106" s="10"/>
      <c r="C106" s="11"/>
    </row>
    <row r="107">
      <c r="B107" s="10"/>
      <c r="C107" s="11"/>
    </row>
    <row r="108">
      <c r="B108" s="10"/>
      <c r="C108" s="11"/>
    </row>
    <row r="109">
      <c r="B109" s="10"/>
      <c r="C109" s="11"/>
    </row>
    <row r="110">
      <c r="B110" s="10"/>
      <c r="C110" s="11"/>
    </row>
    <row r="111">
      <c r="B111" s="10"/>
      <c r="C111" s="11"/>
    </row>
    <row r="112">
      <c r="B112" s="10"/>
      <c r="C112" s="11"/>
    </row>
    <row r="113">
      <c r="B113" s="10"/>
      <c r="C113" s="11"/>
    </row>
    <row r="114">
      <c r="B114" s="10"/>
      <c r="C114" s="11"/>
    </row>
    <row r="115">
      <c r="B115" s="10"/>
      <c r="C115" s="11"/>
    </row>
    <row r="116">
      <c r="B116" s="10"/>
      <c r="C116" s="11"/>
    </row>
    <row r="117">
      <c r="B117" s="10"/>
      <c r="C117" s="11"/>
    </row>
    <row r="118">
      <c r="B118" s="10"/>
      <c r="C118" s="11"/>
    </row>
    <row r="119">
      <c r="B119" s="10"/>
      <c r="C119" s="11"/>
    </row>
    <row r="120">
      <c r="B120" s="10"/>
      <c r="C120" s="11"/>
    </row>
    <row r="121">
      <c r="B121" s="10"/>
      <c r="C121" s="11"/>
    </row>
    <row r="122">
      <c r="B122" s="10"/>
      <c r="C122" s="11"/>
    </row>
    <row r="123">
      <c r="B123" s="10"/>
      <c r="C123" s="11"/>
    </row>
    <row r="124">
      <c r="B124" s="10"/>
      <c r="C124" s="11"/>
    </row>
    <row r="125">
      <c r="B125" s="10"/>
      <c r="C125" s="11"/>
    </row>
    <row r="126">
      <c r="B126" s="10"/>
      <c r="C126" s="11"/>
    </row>
    <row r="127">
      <c r="B127" s="10"/>
      <c r="C127" s="11"/>
    </row>
    <row r="128">
      <c r="B128" s="10"/>
      <c r="C128" s="11"/>
    </row>
    <row r="129">
      <c r="B129" s="10"/>
      <c r="C129" s="11"/>
    </row>
    <row r="130">
      <c r="B130" s="10"/>
      <c r="C130" s="11"/>
    </row>
    <row r="131">
      <c r="B131" s="10"/>
      <c r="C131" s="11"/>
    </row>
    <row r="132">
      <c r="B132" s="10"/>
      <c r="C132" s="11"/>
    </row>
    <row r="133">
      <c r="B133" s="10"/>
      <c r="C133" s="11"/>
    </row>
    <row r="134">
      <c r="B134" s="10"/>
      <c r="C134" s="11"/>
    </row>
    <row r="135">
      <c r="B135" s="10"/>
      <c r="C135" s="11"/>
    </row>
    <row r="136">
      <c r="B136" s="10"/>
      <c r="C136" s="11"/>
    </row>
    <row r="137">
      <c r="B137" s="10"/>
      <c r="C137" s="11"/>
    </row>
    <row r="138">
      <c r="B138" s="10"/>
      <c r="C138" s="11"/>
    </row>
    <row r="139">
      <c r="B139" s="10"/>
      <c r="C139" s="11"/>
    </row>
    <row r="140">
      <c r="B140" s="10"/>
      <c r="C140" s="11"/>
    </row>
    <row r="141">
      <c r="B141" s="10"/>
      <c r="C141" s="11"/>
    </row>
    <row r="142">
      <c r="B142" s="10"/>
      <c r="C142" s="11"/>
    </row>
    <row r="143">
      <c r="B143" s="10"/>
      <c r="C143" s="11"/>
    </row>
    <row r="144">
      <c r="B144" s="10"/>
      <c r="C144" s="11"/>
    </row>
    <row r="145">
      <c r="B145" s="10"/>
      <c r="C145" s="11"/>
    </row>
    <row r="146">
      <c r="B146" s="10"/>
      <c r="C146" s="11"/>
    </row>
    <row r="147">
      <c r="B147" s="10"/>
      <c r="C147" s="11"/>
    </row>
    <row r="148">
      <c r="B148" s="10"/>
      <c r="C148" s="11"/>
    </row>
    <row r="149">
      <c r="B149" s="10"/>
      <c r="C149" s="11"/>
    </row>
    <row r="150">
      <c r="B150" s="10"/>
      <c r="C150" s="11"/>
    </row>
    <row r="151">
      <c r="B151" s="10"/>
      <c r="C151" s="11"/>
    </row>
    <row r="152">
      <c r="B152" s="10"/>
      <c r="C152" s="11"/>
    </row>
    <row r="153">
      <c r="B153" s="10"/>
      <c r="C153" s="11"/>
    </row>
    <row r="154">
      <c r="B154" s="10"/>
      <c r="C154" s="11"/>
    </row>
    <row r="155">
      <c r="B155" s="10"/>
      <c r="C155" s="11"/>
    </row>
    <row r="156">
      <c r="B156" s="10"/>
      <c r="C156" s="11"/>
    </row>
    <row r="157">
      <c r="B157" s="10"/>
      <c r="C157" s="11"/>
    </row>
    <row r="158">
      <c r="B158" s="10"/>
      <c r="C158" s="11"/>
    </row>
    <row r="159">
      <c r="B159" s="10"/>
      <c r="C159" s="11"/>
    </row>
    <row r="160">
      <c r="B160" s="10"/>
      <c r="C160" s="11"/>
    </row>
    <row r="161">
      <c r="B161" s="10"/>
      <c r="C161" s="11"/>
    </row>
    <row r="162">
      <c r="B162" s="10"/>
      <c r="C162" s="11"/>
    </row>
    <row r="163">
      <c r="B163" s="10"/>
      <c r="C163" s="11"/>
    </row>
    <row r="164">
      <c r="B164" s="10"/>
      <c r="C164" s="11"/>
    </row>
    <row r="165">
      <c r="B165" s="10"/>
      <c r="C165" s="11"/>
    </row>
    <row r="166">
      <c r="B166" s="10"/>
      <c r="C166" s="11"/>
    </row>
    <row r="167">
      <c r="B167" s="10"/>
      <c r="C167" s="11"/>
    </row>
    <row r="168">
      <c r="B168" s="10"/>
      <c r="C168" s="11"/>
    </row>
    <row r="169">
      <c r="B169" s="10"/>
      <c r="C169" s="11"/>
    </row>
    <row r="170">
      <c r="B170" s="10"/>
      <c r="C170" s="11"/>
    </row>
    <row r="171">
      <c r="B171" s="10"/>
      <c r="C171" s="11"/>
    </row>
    <row r="172">
      <c r="B172" s="10"/>
      <c r="C172" s="11"/>
    </row>
    <row r="173">
      <c r="B173" s="10"/>
      <c r="C173" s="11"/>
    </row>
    <row r="174">
      <c r="B174" s="10"/>
      <c r="C174" s="11"/>
    </row>
    <row r="175">
      <c r="B175" s="10"/>
      <c r="C175" s="11"/>
    </row>
    <row r="176">
      <c r="B176" s="10"/>
      <c r="C176" s="11"/>
    </row>
    <row r="177">
      <c r="B177" s="10"/>
      <c r="C177" s="11"/>
    </row>
    <row r="178">
      <c r="B178" s="10"/>
      <c r="C178" s="11"/>
    </row>
    <row r="179">
      <c r="B179" s="10"/>
      <c r="C179" s="11"/>
    </row>
    <row r="180">
      <c r="B180" s="10"/>
      <c r="C180" s="11"/>
    </row>
    <row r="181">
      <c r="B181" s="10"/>
      <c r="C181" s="11"/>
    </row>
    <row r="182">
      <c r="B182" s="10"/>
      <c r="C182" s="11"/>
    </row>
    <row r="183">
      <c r="B183" s="10"/>
      <c r="C183" s="11"/>
    </row>
    <row r="184">
      <c r="B184" s="10"/>
      <c r="C184" s="11"/>
    </row>
    <row r="185">
      <c r="B185" s="10"/>
      <c r="C185" s="11"/>
    </row>
    <row r="186">
      <c r="B186" s="10"/>
      <c r="C186" s="11"/>
    </row>
    <row r="187">
      <c r="B187" s="10"/>
      <c r="C187" s="11"/>
    </row>
    <row r="188">
      <c r="B188" s="10"/>
      <c r="C188" s="11"/>
    </row>
    <row r="189">
      <c r="B189" s="10"/>
      <c r="C189" s="11"/>
    </row>
    <row r="190">
      <c r="B190" s="10"/>
      <c r="C190" s="11"/>
    </row>
    <row r="191">
      <c r="B191" s="10"/>
      <c r="C191" s="11"/>
    </row>
    <row r="192">
      <c r="B192" s="10"/>
      <c r="C192" s="11"/>
    </row>
    <row r="193">
      <c r="B193" s="10"/>
      <c r="C193" s="11"/>
    </row>
    <row r="194">
      <c r="B194" s="10"/>
      <c r="C194" s="11"/>
    </row>
    <row r="195">
      <c r="B195" s="10"/>
      <c r="C195" s="11"/>
    </row>
    <row r="196">
      <c r="B196" s="10"/>
      <c r="C196" s="11"/>
    </row>
    <row r="197">
      <c r="B197" s="10"/>
      <c r="C197" s="11"/>
    </row>
    <row r="198">
      <c r="B198" s="10"/>
      <c r="C198" s="11"/>
    </row>
    <row r="199">
      <c r="B199" s="10"/>
      <c r="C199" s="11"/>
    </row>
    <row r="200">
      <c r="B200" s="10"/>
      <c r="C200" s="11"/>
    </row>
    <row r="201">
      <c r="B201" s="10"/>
      <c r="C201" s="11"/>
    </row>
    <row r="202">
      <c r="B202" s="10"/>
      <c r="C202" s="11"/>
    </row>
    <row r="203">
      <c r="B203" s="10"/>
      <c r="C203" s="11"/>
    </row>
    <row r="204">
      <c r="B204" s="10"/>
      <c r="C204" s="11"/>
    </row>
    <row r="205">
      <c r="B205" s="10"/>
      <c r="C205" s="11"/>
    </row>
    <row r="206">
      <c r="B206" s="10"/>
      <c r="C206" s="11"/>
    </row>
    <row r="207">
      <c r="B207" s="10"/>
      <c r="C207" s="11"/>
    </row>
    <row r="208">
      <c r="B208" s="10"/>
      <c r="C208" s="11"/>
    </row>
    <row r="209">
      <c r="B209" s="10"/>
      <c r="C209" s="11"/>
    </row>
    <row r="210">
      <c r="B210" s="10"/>
      <c r="C210" s="11"/>
    </row>
    <row r="211">
      <c r="B211" s="10"/>
      <c r="C211" s="11"/>
    </row>
    <row r="212">
      <c r="B212" s="10"/>
      <c r="C212" s="11"/>
    </row>
    <row r="213">
      <c r="B213" s="10"/>
      <c r="C213" s="11"/>
    </row>
    <row r="214">
      <c r="B214" s="10"/>
      <c r="C214" s="11"/>
    </row>
    <row r="215">
      <c r="B215" s="10"/>
      <c r="C215" s="11"/>
    </row>
    <row r="216">
      <c r="B216" s="10"/>
      <c r="C216" s="11"/>
    </row>
    <row r="217">
      <c r="B217" s="10"/>
      <c r="C217" s="11"/>
    </row>
    <row r="218">
      <c r="B218" s="10"/>
      <c r="C218" s="11"/>
    </row>
    <row r="219">
      <c r="B219" s="10"/>
      <c r="C219" s="11"/>
    </row>
    <row r="220">
      <c r="B220" s="10"/>
      <c r="C220" s="11"/>
    </row>
    <row r="221">
      <c r="B221" s="10"/>
      <c r="C221" s="11"/>
    </row>
    <row r="222">
      <c r="B222" s="10"/>
      <c r="C222" s="11"/>
    </row>
    <row r="223">
      <c r="B223" s="10"/>
      <c r="C223" s="11"/>
    </row>
    <row r="224">
      <c r="B224" s="10"/>
      <c r="C224" s="11"/>
    </row>
    <row r="225">
      <c r="B225" s="10"/>
      <c r="C225" s="11"/>
    </row>
    <row r="226">
      <c r="B226" s="10"/>
      <c r="C226" s="11"/>
    </row>
    <row r="227">
      <c r="B227" s="10"/>
      <c r="C227" s="11"/>
    </row>
    <row r="228">
      <c r="B228" s="10"/>
      <c r="C228" s="11"/>
    </row>
    <row r="229">
      <c r="B229" s="10"/>
      <c r="C229" s="11"/>
    </row>
    <row r="230">
      <c r="B230" s="10"/>
      <c r="C230" s="11"/>
    </row>
    <row r="231">
      <c r="B231" s="10"/>
      <c r="C231" s="11"/>
    </row>
    <row r="232">
      <c r="B232" s="10"/>
      <c r="C232" s="11"/>
    </row>
    <row r="233">
      <c r="B233" s="10"/>
      <c r="C233" s="11"/>
    </row>
    <row r="234">
      <c r="B234" s="10"/>
      <c r="C234" s="11"/>
    </row>
    <row r="235">
      <c r="B235" s="10"/>
      <c r="C235" s="11"/>
    </row>
    <row r="236">
      <c r="B236" s="10"/>
      <c r="C236" s="11"/>
    </row>
    <row r="237">
      <c r="B237" s="10"/>
      <c r="C237" s="11"/>
    </row>
    <row r="238">
      <c r="B238" s="10"/>
      <c r="C238" s="11"/>
    </row>
    <row r="239">
      <c r="B239" s="10"/>
      <c r="C239" s="11"/>
    </row>
    <row r="240">
      <c r="B240" s="10"/>
      <c r="C240" s="11"/>
    </row>
    <row r="241">
      <c r="B241" s="10"/>
      <c r="C241" s="11"/>
    </row>
    <row r="242">
      <c r="B242" s="10"/>
      <c r="C242" s="11"/>
    </row>
    <row r="243">
      <c r="B243" s="10"/>
      <c r="C243" s="11"/>
    </row>
    <row r="244">
      <c r="B244" s="10"/>
      <c r="C244" s="11"/>
    </row>
    <row r="245">
      <c r="B245" s="10"/>
      <c r="C245" s="11"/>
    </row>
    <row r="246">
      <c r="B246" s="10"/>
      <c r="C246" s="11"/>
    </row>
    <row r="247">
      <c r="B247" s="10"/>
      <c r="C247" s="11"/>
    </row>
    <row r="248">
      <c r="B248" s="10"/>
      <c r="C248" s="11"/>
    </row>
    <row r="249">
      <c r="B249" s="10"/>
      <c r="C249" s="11"/>
    </row>
    <row r="250">
      <c r="B250" s="10"/>
      <c r="C250" s="11"/>
    </row>
    <row r="251">
      <c r="B251" s="10"/>
      <c r="C251" s="11"/>
    </row>
    <row r="252">
      <c r="B252" s="10"/>
      <c r="C252" s="11"/>
    </row>
    <row r="253">
      <c r="B253" s="10"/>
      <c r="C253" s="11"/>
    </row>
    <row r="254">
      <c r="B254" s="10"/>
      <c r="C254" s="11"/>
    </row>
    <row r="255">
      <c r="B255" s="10"/>
      <c r="C255" s="11"/>
    </row>
    <row r="256">
      <c r="B256" s="10"/>
      <c r="C256" s="11"/>
    </row>
    <row r="257">
      <c r="B257" s="10"/>
      <c r="C257" s="11"/>
    </row>
    <row r="258">
      <c r="B258" s="10"/>
      <c r="C258" s="11"/>
    </row>
    <row r="259">
      <c r="B259" s="10"/>
      <c r="C259" s="11"/>
    </row>
    <row r="260">
      <c r="B260" s="10"/>
      <c r="C260" s="11"/>
    </row>
    <row r="261">
      <c r="B261" s="10"/>
      <c r="C261" s="11"/>
    </row>
    <row r="262">
      <c r="B262" s="10"/>
      <c r="C262" s="11"/>
    </row>
    <row r="263">
      <c r="B263" s="10"/>
      <c r="C263" s="11"/>
    </row>
    <row r="264">
      <c r="B264" s="10"/>
      <c r="C264" s="11"/>
    </row>
    <row r="265">
      <c r="B265" s="10"/>
      <c r="C265" s="11"/>
    </row>
    <row r="266">
      <c r="B266" s="10"/>
      <c r="C266" s="11"/>
    </row>
    <row r="267">
      <c r="B267" s="10"/>
      <c r="C267" s="11"/>
    </row>
    <row r="268">
      <c r="B268" s="10"/>
      <c r="C268" s="11"/>
    </row>
    <row r="269">
      <c r="B269" s="10"/>
      <c r="C269" s="11"/>
    </row>
    <row r="270">
      <c r="B270" s="10"/>
      <c r="C270" s="11"/>
    </row>
    <row r="271">
      <c r="B271" s="10"/>
      <c r="C271" s="11"/>
    </row>
    <row r="272">
      <c r="B272" s="10"/>
      <c r="C272" s="11"/>
    </row>
    <row r="273">
      <c r="B273" s="10"/>
      <c r="C273" s="11"/>
    </row>
    <row r="274">
      <c r="B274" s="10"/>
      <c r="C274" s="11"/>
    </row>
    <row r="275">
      <c r="B275" s="10"/>
      <c r="C275" s="11"/>
    </row>
    <row r="276">
      <c r="B276" s="10"/>
      <c r="C276" s="11"/>
    </row>
    <row r="277">
      <c r="B277" s="10"/>
      <c r="C277" s="11"/>
    </row>
    <row r="278">
      <c r="B278" s="10"/>
      <c r="C278" s="11"/>
    </row>
    <row r="279">
      <c r="B279" s="10"/>
      <c r="C279" s="11"/>
    </row>
    <row r="280">
      <c r="B280" s="10"/>
      <c r="C280" s="11"/>
    </row>
    <row r="281">
      <c r="B281" s="10"/>
      <c r="C281" s="11"/>
    </row>
    <row r="282">
      <c r="B282" s="10"/>
      <c r="C282" s="11"/>
    </row>
    <row r="283">
      <c r="B283" s="10"/>
      <c r="C283" s="11"/>
    </row>
    <row r="284">
      <c r="B284" s="10"/>
      <c r="C284" s="11"/>
    </row>
    <row r="285">
      <c r="B285" s="10"/>
      <c r="C285" s="11"/>
    </row>
    <row r="286">
      <c r="B286" s="10"/>
      <c r="C286" s="11"/>
    </row>
    <row r="287">
      <c r="B287" s="10"/>
      <c r="C287" s="11"/>
    </row>
    <row r="288">
      <c r="B288" s="10"/>
      <c r="C288" s="11"/>
    </row>
    <row r="289">
      <c r="B289" s="10"/>
      <c r="C289" s="11"/>
    </row>
    <row r="290">
      <c r="B290" s="10"/>
      <c r="C290" s="11"/>
    </row>
    <row r="291">
      <c r="B291" s="10"/>
      <c r="C291" s="11"/>
    </row>
    <row r="292">
      <c r="B292" s="10"/>
      <c r="C292" s="11"/>
    </row>
    <row r="293">
      <c r="B293" s="10"/>
      <c r="C293" s="11"/>
    </row>
    <row r="294">
      <c r="B294" s="10"/>
      <c r="C294" s="11"/>
    </row>
    <row r="295">
      <c r="B295" s="10"/>
      <c r="C295" s="11"/>
    </row>
    <row r="296">
      <c r="B296" s="10"/>
      <c r="C296" s="11"/>
    </row>
    <row r="297">
      <c r="B297" s="10"/>
      <c r="C297" s="11"/>
    </row>
    <row r="298">
      <c r="B298" s="10"/>
      <c r="C298" s="11"/>
    </row>
    <row r="299">
      <c r="B299" s="10"/>
      <c r="C299" s="11"/>
    </row>
    <row r="300">
      <c r="B300" s="10"/>
      <c r="C300" s="11"/>
    </row>
    <row r="301">
      <c r="B301" s="10"/>
      <c r="C301" s="11"/>
    </row>
    <row r="302">
      <c r="B302" s="10"/>
      <c r="C302" s="11"/>
    </row>
    <row r="303">
      <c r="B303" s="10"/>
      <c r="C303" s="11"/>
    </row>
    <row r="304">
      <c r="B304" s="10"/>
      <c r="C304" s="11"/>
    </row>
    <row r="305">
      <c r="B305" s="10"/>
      <c r="C305" s="11"/>
    </row>
    <row r="306">
      <c r="B306" s="10"/>
      <c r="C306" s="11"/>
    </row>
    <row r="307">
      <c r="B307" s="10"/>
      <c r="C307" s="11"/>
    </row>
    <row r="308">
      <c r="B308" s="10"/>
      <c r="C308" s="11"/>
    </row>
    <row r="309">
      <c r="B309" s="10"/>
      <c r="C309" s="11"/>
    </row>
    <row r="310">
      <c r="B310" s="10"/>
      <c r="C310" s="11"/>
    </row>
    <row r="311">
      <c r="B311" s="10"/>
      <c r="C311" s="11"/>
    </row>
    <row r="312">
      <c r="B312" s="10"/>
      <c r="C312" s="11"/>
    </row>
    <row r="313">
      <c r="B313" s="10"/>
      <c r="C313" s="11"/>
    </row>
    <row r="314">
      <c r="B314" s="10"/>
      <c r="C314" s="11"/>
    </row>
    <row r="315">
      <c r="B315" s="10"/>
      <c r="C315" s="11"/>
    </row>
    <row r="316">
      <c r="B316" s="10"/>
      <c r="C316" s="11"/>
    </row>
    <row r="317">
      <c r="B317" s="10"/>
      <c r="C317" s="11"/>
    </row>
    <row r="318">
      <c r="B318" s="10"/>
      <c r="C318" s="11"/>
    </row>
    <row r="319">
      <c r="B319" s="10"/>
      <c r="C319" s="11"/>
    </row>
    <row r="320">
      <c r="B320" s="10"/>
      <c r="C320" s="11"/>
    </row>
    <row r="321">
      <c r="B321" s="10"/>
      <c r="C321" s="11"/>
    </row>
    <row r="322">
      <c r="B322" s="10"/>
      <c r="C322" s="11"/>
    </row>
    <row r="323">
      <c r="B323" s="10"/>
      <c r="C323" s="11"/>
    </row>
    <row r="324">
      <c r="B324" s="10"/>
      <c r="C324" s="11"/>
    </row>
    <row r="325">
      <c r="B325" s="10"/>
      <c r="C325" s="11"/>
    </row>
    <row r="326">
      <c r="B326" s="10"/>
      <c r="C326" s="11"/>
    </row>
    <row r="327">
      <c r="B327" s="10"/>
      <c r="C327" s="11"/>
    </row>
    <row r="328">
      <c r="B328" s="10"/>
      <c r="C328" s="11"/>
    </row>
    <row r="329">
      <c r="B329" s="10"/>
      <c r="C329" s="11"/>
    </row>
    <row r="330">
      <c r="B330" s="10"/>
      <c r="C330" s="11"/>
    </row>
    <row r="331">
      <c r="B331" s="10"/>
      <c r="C331" s="11"/>
    </row>
    <row r="332">
      <c r="B332" s="10"/>
      <c r="C332" s="11"/>
    </row>
    <row r="333">
      <c r="B333" s="10"/>
      <c r="C333" s="11"/>
    </row>
    <row r="334">
      <c r="B334" s="10"/>
      <c r="C334" s="11"/>
    </row>
    <row r="335">
      <c r="B335" s="10"/>
      <c r="C335" s="11"/>
    </row>
    <row r="336">
      <c r="B336" s="10"/>
      <c r="C336" s="11"/>
    </row>
    <row r="337">
      <c r="B337" s="10"/>
      <c r="C337" s="11"/>
    </row>
    <row r="338">
      <c r="B338" s="10"/>
      <c r="C338" s="11"/>
    </row>
    <row r="339">
      <c r="B339" s="10"/>
      <c r="C339" s="11"/>
    </row>
    <row r="340">
      <c r="B340" s="10"/>
      <c r="C340" s="11"/>
    </row>
    <row r="341">
      <c r="B341" s="10"/>
      <c r="C341" s="11"/>
    </row>
    <row r="342">
      <c r="B342" s="10"/>
      <c r="C342" s="11"/>
    </row>
    <row r="343">
      <c r="B343" s="10"/>
      <c r="C343" s="11"/>
    </row>
    <row r="344">
      <c r="B344" s="10"/>
      <c r="C344" s="11"/>
    </row>
    <row r="345">
      <c r="B345" s="10"/>
      <c r="C345" s="11"/>
    </row>
    <row r="346">
      <c r="B346" s="10"/>
      <c r="C346" s="11"/>
    </row>
    <row r="347">
      <c r="B347" s="10"/>
      <c r="C347" s="11"/>
    </row>
    <row r="348">
      <c r="B348" s="10"/>
      <c r="C348" s="11"/>
    </row>
    <row r="349">
      <c r="B349" s="10"/>
      <c r="C349" s="11"/>
    </row>
    <row r="350">
      <c r="B350" s="10"/>
      <c r="C350" s="11"/>
    </row>
    <row r="351">
      <c r="B351" s="10"/>
      <c r="C351" s="11"/>
    </row>
    <row r="352">
      <c r="B352" s="10"/>
      <c r="C352" s="11"/>
    </row>
    <row r="353">
      <c r="B353" s="10"/>
      <c r="C353" s="11"/>
    </row>
    <row r="354">
      <c r="B354" s="10"/>
      <c r="C354" s="11"/>
    </row>
    <row r="355">
      <c r="B355" s="10"/>
      <c r="C355" s="11"/>
    </row>
    <row r="356">
      <c r="B356" s="10"/>
      <c r="C356" s="11"/>
    </row>
    <row r="357">
      <c r="B357" s="10"/>
      <c r="C357" s="11"/>
    </row>
    <row r="358">
      <c r="B358" s="10"/>
      <c r="C358" s="11"/>
    </row>
    <row r="359">
      <c r="B359" s="10"/>
      <c r="C359" s="11"/>
    </row>
    <row r="360">
      <c r="B360" s="10"/>
      <c r="C360" s="11"/>
    </row>
    <row r="361">
      <c r="B361" s="10"/>
      <c r="C361" s="11"/>
    </row>
    <row r="362">
      <c r="B362" s="10"/>
      <c r="C362" s="11"/>
    </row>
    <row r="363">
      <c r="B363" s="10"/>
      <c r="C363" s="11"/>
    </row>
    <row r="364">
      <c r="B364" s="10"/>
      <c r="C364" s="11"/>
    </row>
    <row r="365">
      <c r="B365" s="10"/>
      <c r="C365" s="11"/>
    </row>
    <row r="366">
      <c r="B366" s="10"/>
      <c r="C366" s="11"/>
    </row>
    <row r="367">
      <c r="B367" s="10"/>
      <c r="C367" s="11"/>
    </row>
    <row r="368">
      <c r="B368" s="10"/>
      <c r="C368" s="11"/>
    </row>
    <row r="369">
      <c r="B369" s="10"/>
      <c r="C369" s="11"/>
    </row>
    <row r="370">
      <c r="B370" s="10"/>
      <c r="C370" s="11"/>
    </row>
    <row r="371">
      <c r="B371" s="10"/>
      <c r="C371" s="11"/>
    </row>
    <row r="372">
      <c r="B372" s="10"/>
      <c r="C372" s="11"/>
    </row>
    <row r="373">
      <c r="B373" s="10"/>
      <c r="C373" s="11"/>
    </row>
    <row r="374">
      <c r="B374" s="10"/>
      <c r="C374" s="11"/>
    </row>
    <row r="375">
      <c r="B375" s="10"/>
      <c r="C375" s="11"/>
    </row>
    <row r="376">
      <c r="B376" s="10"/>
      <c r="C376" s="11"/>
    </row>
    <row r="377">
      <c r="B377" s="10"/>
      <c r="C377" s="11"/>
    </row>
    <row r="378">
      <c r="B378" s="10"/>
      <c r="C378" s="11"/>
    </row>
    <row r="379">
      <c r="B379" s="10"/>
      <c r="C379" s="11"/>
    </row>
    <row r="380">
      <c r="B380" s="10"/>
      <c r="C380" s="11"/>
    </row>
    <row r="381">
      <c r="B381" s="10"/>
      <c r="C381" s="11"/>
    </row>
    <row r="382">
      <c r="B382" s="10"/>
      <c r="C382" s="11"/>
    </row>
    <row r="383">
      <c r="B383" s="10"/>
      <c r="C383" s="11"/>
    </row>
    <row r="384">
      <c r="B384" s="10"/>
      <c r="C384" s="11"/>
    </row>
    <row r="385">
      <c r="B385" s="10"/>
      <c r="C385" s="11"/>
    </row>
    <row r="386">
      <c r="B386" s="10"/>
      <c r="C386" s="11"/>
    </row>
    <row r="387">
      <c r="B387" s="10"/>
      <c r="C387" s="11"/>
    </row>
    <row r="388">
      <c r="B388" s="10"/>
      <c r="C388" s="11"/>
    </row>
    <row r="389">
      <c r="B389" s="10"/>
      <c r="C389" s="11"/>
    </row>
    <row r="390">
      <c r="B390" s="10"/>
      <c r="C390" s="11"/>
    </row>
    <row r="391">
      <c r="B391" s="10"/>
      <c r="C391" s="11"/>
    </row>
    <row r="392">
      <c r="B392" s="10"/>
      <c r="C392" s="11"/>
    </row>
    <row r="393">
      <c r="B393" s="10"/>
      <c r="C393" s="11"/>
    </row>
    <row r="394">
      <c r="B394" s="10"/>
      <c r="C394" s="11"/>
    </row>
    <row r="395">
      <c r="B395" s="10"/>
      <c r="C395" s="11"/>
    </row>
    <row r="396">
      <c r="B396" s="10"/>
      <c r="C396" s="11"/>
    </row>
    <row r="397">
      <c r="B397" s="10"/>
      <c r="C397" s="11"/>
    </row>
    <row r="398">
      <c r="B398" s="10"/>
      <c r="C398" s="11"/>
    </row>
    <row r="399">
      <c r="B399" s="10"/>
      <c r="C399" s="11"/>
    </row>
    <row r="400">
      <c r="B400" s="10"/>
      <c r="C400" s="11"/>
    </row>
    <row r="401">
      <c r="B401" s="10"/>
      <c r="C401" s="11"/>
    </row>
    <row r="402">
      <c r="B402" s="10"/>
      <c r="C402" s="11"/>
    </row>
    <row r="403">
      <c r="B403" s="10"/>
      <c r="C403" s="11"/>
    </row>
    <row r="404">
      <c r="B404" s="10"/>
      <c r="C404" s="11"/>
    </row>
    <row r="405">
      <c r="B405" s="10"/>
      <c r="C405" s="11"/>
    </row>
    <row r="406">
      <c r="B406" s="10"/>
      <c r="C406" s="11"/>
    </row>
    <row r="407">
      <c r="B407" s="10"/>
      <c r="C407" s="11"/>
    </row>
    <row r="408">
      <c r="B408" s="10"/>
      <c r="C408" s="11"/>
    </row>
    <row r="409">
      <c r="B409" s="10"/>
      <c r="C409" s="11"/>
    </row>
    <row r="410">
      <c r="B410" s="10"/>
      <c r="C410" s="11"/>
    </row>
    <row r="411">
      <c r="B411" s="10"/>
      <c r="C411" s="11"/>
    </row>
    <row r="412">
      <c r="B412" s="10"/>
      <c r="C412" s="11"/>
    </row>
    <row r="413">
      <c r="B413" s="10"/>
      <c r="C413" s="11"/>
    </row>
    <row r="414">
      <c r="B414" s="10"/>
      <c r="C414" s="11"/>
    </row>
    <row r="415">
      <c r="B415" s="10"/>
      <c r="C415" s="11"/>
    </row>
    <row r="416">
      <c r="B416" s="10"/>
      <c r="C416" s="11"/>
    </row>
    <row r="417">
      <c r="B417" s="10"/>
      <c r="C417" s="11"/>
    </row>
    <row r="418">
      <c r="B418" s="10"/>
      <c r="C418" s="11"/>
    </row>
    <row r="419">
      <c r="B419" s="10"/>
      <c r="C419" s="11"/>
    </row>
    <row r="420">
      <c r="B420" s="10"/>
      <c r="C420" s="11"/>
    </row>
    <row r="421">
      <c r="B421" s="10"/>
      <c r="C421" s="11"/>
    </row>
    <row r="422">
      <c r="B422" s="10"/>
      <c r="C422" s="11"/>
    </row>
    <row r="423">
      <c r="B423" s="10"/>
      <c r="C423" s="11"/>
    </row>
    <row r="424">
      <c r="B424" s="10"/>
      <c r="C424" s="11"/>
    </row>
    <row r="425">
      <c r="B425" s="10"/>
      <c r="C425" s="11"/>
    </row>
    <row r="426">
      <c r="B426" s="10"/>
      <c r="C426" s="11"/>
    </row>
    <row r="427">
      <c r="B427" s="10"/>
      <c r="C427" s="11"/>
    </row>
    <row r="428">
      <c r="B428" s="10"/>
      <c r="C428" s="11"/>
    </row>
    <row r="429">
      <c r="B429" s="10"/>
      <c r="C429" s="11"/>
    </row>
    <row r="430">
      <c r="B430" s="10"/>
      <c r="C430" s="11"/>
    </row>
    <row r="431">
      <c r="B431" s="10"/>
      <c r="C431" s="11"/>
    </row>
    <row r="432">
      <c r="B432" s="10"/>
      <c r="C432" s="11"/>
    </row>
    <row r="433">
      <c r="B433" s="10"/>
      <c r="C433" s="11"/>
    </row>
    <row r="434">
      <c r="B434" s="10"/>
      <c r="C434" s="11"/>
    </row>
    <row r="435">
      <c r="B435" s="10"/>
      <c r="C435" s="11"/>
    </row>
    <row r="436">
      <c r="B436" s="10"/>
      <c r="C436" s="11"/>
    </row>
    <row r="437">
      <c r="B437" s="10"/>
      <c r="C437" s="11"/>
    </row>
    <row r="438">
      <c r="B438" s="10"/>
      <c r="C438" s="11"/>
    </row>
    <row r="439">
      <c r="B439" s="10"/>
      <c r="C439" s="11"/>
    </row>
    <row r="440">
      <c r="B440" s="10"/>
      <c r="C440" s="11"/>
    </row>
    <row r="441">
      <c r="B441" s="10"/>
      <c r="C441" s="11"/>
    </row>
    <row r="442">
      <c r="B442" s="10"/>
      <c r="C442" s="11"/>
    </row>
    <row r="443">
      <c r="B443" s="10"/>
      <c r="C443" s="11"/>
    </row>
    <row r="444">
      <c r="B444" s="10"/>
      <c r="C444" s="11"/>
    </row>
    <row r="445">
      <c r="B445" s="10"/>
      <c r="C445" s="11"/>
    </row>
    <row r="446">
      <c r="B446" s="10"/>
      <c r="C446" s="11"/>
    </row>
    <row r="447">
      <c r="B447" s="10"/>
      <c r="C447" s="11"/>
    </row>
    <row r="448">
      <c r="B448" s="10"/>
      <c r="C448" s="11"/>
    </row>
    <row r="449">
      <c r="B449" s="10"/>
      <c r="C449" s="11"/>
    </row>
    <row r="450">
      <c r="B450" s="10"/>
      <c r="C450" s="11"/>
    </row>
    <row r="451">
      <c r="B451" s="10"/>
      <c r="C451" s="11"/>
    </row>
    <row r="452">
      <c r="B452" s="10"/>
      <c r="C452" s="11"/>
    </row>
    <row r="453">
      <c r="B453" s="10"/>
      <c r="C453" s="11"/>
    </row>
    <row r="454">
      <c r="B454" s="10"/>
      <c r="C454" s="11"/>
    </row>
    <row r="455">
      <c r="B455" s="10"/>
      <c r="C455" s="11"/>
    </row>
    <row r="456">
      <c r="B456" s="10"/>
      <c r="C456" s="11"/>
    </row>
    <row r="457">
      <c r="B457" s="10"/>
      <c r="C457" s="11"/>
    </row>
    <row r="458">
      <c r="B458" s="10"/>
      <c r="C458" s="11"/>
    </row>
    <row r="459">
      <c r="B459" s="10"/>
      <c r="C459" s="11"/>
    </row>
    <row r="460">
      <c r="B460" s="10"/>
      <c r="C460" s="11"/>
    </row>
    <row r="461">
      <c r="B461" s="10"/>
      <c r="C461" s="11"/>
    </row>
    <row r="462">
      <c r="B462" s="10"/>
      <c r="C462" s="11"/>
    </row>
    <row r="463">
      <c r="B463" s="10"/>
      <c r="C463" s="11"/>
    </row>
    <row r="464">
      <c r="B464" s="10"/>
      <c r="C464" s="11"/>
    </row>
    <row r="465">
      <c r="B465" s="10"/>
      <c r="C465" s="11"/>
    </row>
    <row r="466">
      <c r="B466" s="10"/>
      <c r="C466" s="11"/>
    </row>
    <row r="467">
      <c r="B467" s="10"/>
      <c r="C467" s="11"/>
    </row>
    <row r="468">
      <c r="B468" s="10"/>
      <c r="C468" s="11"/>
    </row>
    <row r="469">
      <c r="B469" s="10"/>
      <c r="C469" s="11"/>
    </row>
    <row r="470">
      <c r="B470" s="10"/>
      <c r="C470" s="11"/>
    </row>
    <row r="471">
      <c r="B471" s="10"/>
      <c r="C471" s="11"/>
    </row>
    <row r="472">
      <c r="B472" s="10"/>
      <c r="C472" s="11"/>
    </row>
    <row r="473">
      <c r="B473" s="10"/>
      <c r="C473" s="11"/>
    </row>
    <row r="474">
      <c r="B474" s="10"/>
      <c r="C474" s="11"/>
    </row>
    <row r="475">
      <c r="B475" s="10"/>
      <c r="C475" s="11"/>
    </row>
    <row r="476">
      <c r="B476" s="10"/>
      <c r="C476" s="11"/>
    </row>
    <row r="477">
      <c r="B477" s="10"/>
      <c r="C477" s="11"/>
    </row>
    <row r="478">
      <c r="B478" s="10"/>
      <c r="C478" s="11"/>
    </row>
    <row r="479">
      <c r="B479" s="10"/>
      <c r="C479" s="11"/>
    </row>
    <row r="480">
      <c r="B480" s="10"/>
      <c r="C480" s="11"/>
    </row>
    <row r="481">
      <c r="B481" s="10"/>
      <c r="C481" s="11"/>
    </row>
    <row r="482">
      <c r="B482" s="10"/>
      <c r="C482" s="11"/>
    </row>
    <row r="483">
      <c r="B483" s="10"/>
      <c r="C483" s="11"/>
    </row>
    <row r="484">
      <c r="B484" s="10"/>
      <c r="C484" s="11"/>
    </row>
    <row r="485">
      <c r="B485" s="10"/>
      <c r="C485" s="11"/>
    </row>
    <row r="486">
      <c r="B486" s="10"/>
      <c r="C486" s="11"/>
    </row>
    <row r="487">
      <c r="B487" s="10"/>
      <c r="C487" s="11"/>
    </row>
    <row r="488">
      <c r="B488" s="10"/>
      <c r="C488" s="11"/>
    </row>
    <row r="489">
      <c r="B489" s="10"/>
      <c r="C489" s="11"/>
    </row>
    <row r="490">
      <c r="B490" s="10"/>
      <c r="C490" s="11"/>
    </row>
    <row r="491">
      <c r="B491" s="10"/>
      <c r="C491" s="11"/>
    </row>
    <row r="492">
      <c r="B492" s="10"/>
      <c r="C492" s="11"/>
    </row>
    <row r="493">
      <c r="B493" s="10"/>
      <c r="C493" s="11"/>
    </row>
    <row r="494">
      <c r="B494" s="10"/>
      <c r="C494" s="11"/>
    </row>
    <row r="495">
      <c r="B495" s="10"/>
      <c r="C495" s="11"/>
    </row>
    <row r="496">
      <c r="B496" s="10"/>
      <c r="C496" s="11"/>
    </row>
    <row r="497">
      <c r="B497" s="10"/>
      <c r="C497" s="11"/>
    </row>
    <row r="498">
      <c r="B498" s="10"/>
      <c r="C498" s="11"/>
    </row>
    <row r="499">
      <c r="B499" s="10"/>
      <c r="C499" s="11"/>
    </row>
    <row r="500">
      <c r="B500" s="10"/>
      <c r="C500" s="11"/>
    </row>
    <row r="501">
      <c r="B501" s="10"/>
      <c r="C501" s="11"/>
    </row>
    <row r="502">
      <c r="B502" s="10"/>
      <c r="C502" s="11"/>
    </row>
    <row r="503">
      <c r="B503" s="10"/>
      <c r="C503" s="11"/>
    </row>
    <row r="504">
      <c r="B504" s="10"/>
      <c r="C504" s="11"/>
    </row>
    <row r="505">
      <c r="B505" s="10"/>
      <c r="C505" s="11"/>
    </row>
    <row r="506">
      <c r="B506" s="10"/>
      <c r="C506" s="11"/>
    </row>
    <row r="507">
      <c r="B507" s="10"/>
      <c r="C507" s="11"/>
    </row>
    <row r="508">
      <c r="B508" s="10"/>
      <c r="C508" s="11"/>
    </row>
    <row r="509">
      <c r="B509" s="10"/>
      <c r="C509" s="11"/>
    </row>
    <row r="510">
      <c r="B510" s="10"/>
      <c r="C510" s="11"/>
    </row>
    <row r="511">
      <c r="B511" s="10"/>
      <c r="C511" s="11"/>
    </row>
    <row r="512">
      <c r="B512" s="10"/>
      <c r="C512" s="11"/>
    </row>
    <row r="513">
      <c r="B513" s="10"/>
      <c r="C513" s="11"/>
    </row>
    <row r="514">
      <c r="B514" s="10"/>
      <c r="C514" s="11"/>
    </row>
    <row r="515">
      <c r="B515" s="10"/>
      <c r="C515" s="11"/>
    </row>
    <row r="516">
      <c r="B516" s="10"/>
      <c r="C516" s="11"/>
    </row>
    <row r="517">
      <c r="B517" s="10"/>
      <c r="C517" s="11"/>
    </row>
    <row r="518">
      <c r="B518" s="10"/>
      <c r="C518" s="11"/>
    </row>
    <row r="519">
      <c r="B519" s="10"/>
      <c r="C519" s="11"/>
    </row>
    <row r="520">
      <c r="B520" s="10"/>
      <c r="C520" s="11"/>
    </row>
    <row r="521">
      <c r="B521" s="10"/>
      <c r="C521" s="11"/>
    </row>
    <row r="522">
      <c r="B522" s="10"/>
      <c r="C522" s="11"/>
    </row>
    <row r="523">
      <c r="B523" s="10"/>
      <c r="C523" s="11"/>
    </row>
    <row r="524">
      <c r="B524" s="10"/>
      <c r="C524" s="11"/>
    </row>
    <row r="525">
      <c r="B525" s="10"/>
      <c r="C525" s="11"/>
    </row>
    <row r="526">
      <c r="B526" s="10"/>
      <c r="C526" s="11"/>
    </row>
    <row r="527">
      <c r="B527" s="10"/>
      <c r="C527" s="11"/>
    </row>
    <row r="528">
      <c r="B528" s="10"/>
      <c r="C528" s="11"/>
    </row>
    <row r="529">
      <c r="B529" s="10"/>
      <c r="C529" s="11"/>
    </row>
    <row r="530">
      <c r="B530" s="10"/>
      <c r="C530" s="11"/>
    </row>
    <row r="531">
      <c r="B531" s="10"/>
      <c r="C531" s="11"/>
    </row>
    <row r="532">
      <c r="B532" s="10"/>
      <c r="C532" s="11"/>
    </row>
    <row r="533">
      <c r="B533" s="10"/>
      <c r="C533" s="11"/>
    </row>
    <row r="534">
      <c r="B534" s="10"/>
      <c r="C534" s="11"/>
    </row>
    <row r="535">
      <c r="B535" s="10"/>
      <c r="C535" s="11"/>
    </row>
    <row r="536">
      <c r="B536" s="10"/>
      <c r="C536" s="11"/>
    </row>
    <row r="537">
      <c r="B537" s="10"/>
      <c r="C537" s="11"/>
    </row>
    <row r="538">
      <c r="B538" s="10"/>
      <c r="C538" s="11"/>
    </row>
    <row r="539">
      <c r="B539" s="10"/>
      <c r="C539" s="11"/>
    </row>
    <row r="540">
      <c r="B540" s="10"/>
      <c r="C540" s="11"/>
    </row>
    <row r="541">
      <c r="B541" s="10"/>
      <c r="C541" s="11"/>
    </row>
    <row r="542">
      <c r="B542" s="10"/>
      <c r="C542" s="11"/>
    </row>
    <row r="543">
      <c r="B543" s="10"/>
      <c r="C543" s="11"/>
    </row>
    <row r="544">
      <c r="B544" s="10"/>
      <c r="C544" s="11"/>
    </row>
    <row r="545">
      <c r="B545" s="10"/>
      <c r="C545" s="11"/>
    </row>
    <row r="546">
      <c r="B546" s="10"/>
      <c r="C546" s="11"/>
    </row>
    <row r="547">
      <c r="B547" s="10"/>
      <c r="C547" s="11"/>
    </row>
    <row r="548">
      <c r="B548" s="10"/>
      <c r="C548" s="11"/>
    </row>
    <row r="549">
      <c r="B549" s="10"/>
      <c r="C549" s="11"/>
    </row>
    <row r="550">
      <c r="B550" s="10"/>
      <c r="C550" s="11"/>
    </row>
    <row r="551">
      <c r="B551" s="10"/>
      <c r="C551" s="11"/>
    </row>
    <row r="552">
      <c r="B552" s="10"/>
      <c r="C552" s="11"/>
    </row>
    <row r="553">
      <c r="B553" s="10"/>
      <c r="C553" s="11"/>
    </row>
    <row r="554">
      <c r="B554" s="10"/>
      <c r="C554" s="11"/>
    </row>
    <row r="555">
      <c r="B555" s="10"/>
      <c r="C555" s="11"/>
    </row>
    <row r="556">
      <c r="B556" s="10"/>
      <c r="C556" s="11"/>
    </row>
    <row r="557">
      <c r="B557" s="10"/>
      <c r="C557" s="11"/>
    </row>
    <row r="558">
      <c r="B558" s="10"/>
      <c r="C558" s="11"/>
    </row>
    <row r="559">
      <c r="B559" s="10"/>
      <c r="C559" s="11"/>
    </row>
    <row r="560">
      <c r="B560" s="10"/>
      <c r="C560" s="11"/>
    </row>
    <row r="561">
      <c r="B561" s="10"/>
      <c r="C561" s="11"/>
    </row>
    <row r="562">
      <c r="B562" s="10"/>
      <c r="C562" s="11"/>
    </row>
    <row r="563">
      <c r="B563" s="10"/>
      <c r="C563" s="11"/>
    </row>
    <row r="564">
      <c r="B564" s="10"/>
      <c r="C564" s="11"/>
    </row>
    <row r="565">
      <c r="B565" s="10"/>
      <c r="C565" s="11"/>
    </row>
    <row r="566">
      <c r="B566" s="10"/>
      <c r="C566" s="11"/>
    </row>
    <row r="567">
      <c r="B567" s="10"/>
      <c r="C567" s="11"/>
    </row>
    <row r="568">
      <c r="B568" s="10"/>
      <c r="C568" s="11"/>
    </row>
    <row r="569">
      <c r="B569" s="10"/>
      <c r="C569" s="11"/>
    </row>
    <row r="570">
      <c r="B570" s="10"/>
      <c r="C570" s="11"/>
    </row>
    <row r="571">
      <c r="B571" s="10"/>
      <c r="C571" s="11"/>
    </row>
    <row r="572">
      <c r="B572" s="10"/>
      <c r="C572" s="11"/>
    </row>
    <row r="573">
      <c r="B573" s="10"/>
      <c r="C573" s="11"/>
    </row>
    <row r="574">
      <c r="B574" s="10"/>
      <c r="C574" s="11"/>
    </row>
    <row r="575">
      <c r="B575" s="10"/>
      <c r="C575" s="11"/>
    </row>
    <row r="576">
      <c r="B576" s="10"/>
      <c r="C576" s="11"/>
    </row>
    <row r="577">
      <c r="B577" s="10"/>
      <c r="C577" s="11"/>
    </row>
    <row r="578">
      <c r="B578" s="10"/>
      <c r="C578" s="11"/>
    </row>
    <row r="579">
      <c r="B579" s="10"/>
      <c r="C579" s="11"/>
    </row>
    <row r="580">
      <c r="B580" s="10"/>
      <c r="C580" s="11"/>
    </row>
    <row r="581">
      <c r="B581" s="10"/>
      <c r="C581" s="11"/>
    </row>
    <row r="582">
      <c r="B582" s="10"/>
      <c r="C582" s="11"/>
    </row>
    <row r="583">
      <c r="B583" s="10"/>
      <c r="C583" s="11"/>
    </row>
    <row r="584">
      <c r="B584" s="10"/>
      <c r="C584" s="11"/>
    </row>
    <row r="585">
      <c r="B585" s="10"/>
      <c r="C585" s="11"/>
    </row>
    <row r="586">
      <c r="B586" s="10"/>
      <c r="C586" s="11"/>
    </row>
    <row r="587">
      <c r="B587" s="10"/>
      <c r="C587" s="11"/>
    </row>
    <row r="588">
      <c r="B588" s="10"/>
      <c r="C588" s="11"/>
    </row>
    <row r="589">
      <c r="B589" s="10"/>
      <c r="C589" s="11"/>
    </row>
    <row r="590">
      <c r="B590" s="10"/>
      <c r="C590" s="11"/>
    </row>
    <row r="591">
      <c r="B591" s="10"/>
      <c r="C591" s="11"/>
    </row>
    <row r="592">
      <c r="B592" s="10"/>
      <c r="C592" s="11"/>
    </row>
    <row r="593">
      <c r="B593" s="10"/>
      <c r="C593" s="11"/>
    </row>
    <row r="594">
      <c r="B594" s="10"/>
      <c r="C594" s="11"/>
    </row>
    <row r="595">
      <c r="B595" s="10"/>
      <c r="C595" s="11"/>
    </row>
    <row r="596">
      <c r="B596" s="10"/>
      <c r="C596" s="11"/>
    </row>
    <row r="597">
      <c r="B597" s="10"/>
      <c r="C597" s="11"/>
    </row>
    <row r="598">
      <c r="B598" s="10"/>
      <c r="C598" s="11"/>
    </row>
    <row r="599">
      <c r="B599" s="10"/>
      <c r="C599" s="11"/>
    </row>
    <row r="600">
      <c r="B600" s="10"/>
      <c r="C600" s="11"/>
    </row>
    <row r="601">
      <c r="B601" s="10"/>
      <c r="C601" s="11"/>
    </row>
    <row r="602">
      <c r="B602" s="10"/>
      <c r="C602" s="11"/>
    </row>
    <row r="603">
      <c r="B603" s="10"/>
      <c r="C603" s="11"/>
    </row>
    <row r="604">
      <c r="B604" s="10"/>
      <c r="C604" s="11"/>
    </row>
    <row r="605">
      <c r="B605" s="10"/>
      <c r="C605" s="11"/>
    </row>
    <row r="606">
      <c r="B606" s="10"/>
      <c r="C606" s="11"/>
    </row>
    <row r="607">
      <c r="B607" s="10"/>
      <c r="C607" s="11"/>
    </row>
    <row r="608">
      <c r="B608" s="10"/>
      <c r="C608" s="11"/>
    </row>
    <row r="609">
      <c r="B609" s="10"/>
      <c r="C609" s="11"/>
    </row>
    <row r="610">
      <c r="B610" s="10"/>
      <c r="C610" s="11"/>
    </row>
    <row r="611">
      <c r="B611" s="10"/>
      <c r="C611" s="11"/>
    </row>
    <row r="612">
      <c r="B612" s="10"/>
      <c r="C612" s="11"/>
    </row>
    <row r="613">
      <c r="B613" s="10"/>
      <c r="C613" s="11"/>
    </row>
    <row r="614">
      <c r="B614" s="10"/>
      <c r="C614" s="11"/>
    </row>
    <row r="615">
      <c r="B615" s="10"/>
      <c r="C615" s="11"/>
    </row>
    <row r="616">
      <c r="B616" s="10"/>
      <c r="C616" s="11"/>
    </row>
    <row r="617">
      <c r="B617" s="10"/>
      <c r="C617" s="11"/>
    </row>
    <row r="618">
      <c r="B618" s="10"/>
      <c r="C618" s="11"/>
    </row>
    <row r="619">
      <c r="B619" s="10"/>
      <c r="C619" s="11"/>
    </row>
    <row r="620">
      <c r="B620" s="10"/>
      <c r="C620" s="11"/>
    </row>
    <row r="621">
      <c r="B621" s="10"/>
      <c r="C621" s="11"/>
    </row>
    <row r="622">
      <c r="B622" s="10"/>
      <c r="C622" s="11"/>
    </row>
    <row r="623">
      <c r="B623" s="10"/>
      <c r="C623" s="11"/>
    </row>
    <row r="624">
      <c r="B624" s="10"/>
      <c r="C624" s="11"/>
    </row>
    <row r="625">
      <c r="B625" s="10"/>
      <c r="C625" s="11"/>
    </row>
    <row r="626">
      <c r="B626" s="10"/>
      <c r="C626" s="11"/>
    </row>
    <row r="627">
      <c r="B627" s="10"/>
      <c r="C627" s="11"/>
    </row>
    <row r="628">
      <c r="B628" s="10"/>
      <c r="C628" s="11"/>
    </row>
    <row r="629">
      <c r="B629" s="10"/>
      <c r="C629" s="11"/>
    </row>
    <row r="630">
      <c r="B630" s="10"/>
      <c r="C630" s="11"/>
    </row>
    <row r="631">
      <c r="B631" s="10"/>
      <c r="C631" s="11"/>
    </row>
    <row r="632">
      <c r="B632" s="10"/>
      <c r="C632" s="11"/>
    </row>
    <row r="633">
      <c r="B633" s="10"/>
      <c r="C633" s="11"/>
    </row>
    <row r="634">
      <c r="B634" s="10"/>
      <c r="C634" s="11"/>
    </row>
    <row r="635">
      <c r="B635" s="10"/>
      <c r="C635" s="11"/>
    </row>
    <row r="636">
      <c r="B636" s="10"/>
      <c r="C636" s="11"/>
    </row>
    <row r="637">
      <c r="B637" s="10"/>
      <c r="C637" s="11"/>
    </row>
    <row r="638">
      <c r="B638" s="10"/>
      <c r="C638" s="11"/>
    </row>
    <row r="639">
      <c r="B639" s="10"/>
      <c r="C639" s="11"/>
    </row>
    <row r="640">
      <c r="B640" s="10"/>
      <c r="C640" s="11"/>
    </row>
    <row r="641">
      <c r="B641" s="10"/>
      <c r="C641" s="11"/>
    </row>
    <row r="642">
      <c r="B642" s="10"/>
      <c r="C642" s="11"/>
    </row>
    <row r="643">
      <c r="B643" s="10"/>
      <c r="C643" s="11"/>
    </row>
    <row r="644">
      <c r="B644" s="10"/>
      <c r="C644" s="11"/>
    </row>
    <row r="645">
      <c r="B645" s="10"/>
      <c r="C645" s="11"/>
    </row>
    <row r="646">
      <c r="B646" s="10"/>
      <c r="C646" s="11"/>
    </row>
    <row r="647">
      <c r="B647" s="10"/>
      <c r="C647" s="11"/>
    </row>
    <row r="648">
      <c r="B648" s="10"/>
      <c r="C648" s="11"/>
    </row>
    <row r="649">
      <c r="B649" s="10"/>
      <c r="C649" s="11"/>
    </row>
    <row r="650">
      <c r="B650" s="10"/>
      <c r="C650" s="11"/>
    </row>
    <row r="651">
      <c r="B651" s="10"/>
      <c r="C651" s="11"/>
    </row>
    <row r="652">
      <c r="B652" s="10"/>
      <c r="C652" s="11"/>
    </row>
    <row r="653">
      <c r="B653" s="10"/>
      <c r="C653" s="11"/>
    </row>
    <row r="654">
      <c r="B654" s="10"/>
      <c r="C654" s="11"/>
    </row>
    <row r="655">
      <c r="B655" s="10"/>
      <c r="C655" s="11"/>
    </row>
    <row r="656">
      <c r="B656" s="10"/>
      <c r="C656" s="11"/>
    </row>
    <row r="657">
      <c r="B657" s="10"/>
      <c r="C657" s="11"/>
    </row>
    <row r="658">
      <c r="B658" s="10"/>
      <c r="C658" s="11"/>
    </row>
    <row r="659">
      <c r="B659" s="10"/>
      <c r="C659" s="11"/>
    </row>
    <row r="660">
      <c r="B660" s="10"/>
      <c r="C660" s="11"/>
    </row>
    <row r="661">
      <c r="B661" s="10"/>
      <c r="C661" s="11"/>
    </row>
    <row r="662">
      <c r="B662" s="10"/>
      <c r="C662" s="11"/>
    </row>
    <row r="663">
      <c r="B663" s="10"/>
      <c r="C663" s="11"/>
    </row>
    <row r="664">
      <c r="B664" s="10"/>
      <c r="C664" s="11"/>
    </row>
    <row r="665">
      <c r="B665" s="10"/>
      <c r="C665" s="11"/>
    </row>
    <row r="666">
      <c r="B666" s="10"/>
      <c r="C666" s="11"/>
    </row>
    <row r="667">
      <c r="B667" s="10"/>
      <c r="C667" s="11"/>
    </row>
    <row r="668">
      <c r="B668" s="10"/>
      <c r="C668" s="11"/>
    </row>
    <row r="669">
      <c r="B669" s="10"/>
      <c r="C669" s="11"/>
    </row>
    <row r="670">
      <c r="B670" s="10"/>
      <c r="C670" s="11"/>
    </row>
    <row r="671">
      <c r="B671" s="10"/>
      <c r="C671" s="11"/>
    </row>
    <row r="672">
      <c r="B672" s="10"/>
      <c r="C672" s="11"/>
    </row>
    <row r="673">
      <c r="B673" s="10"/>
      <c r="C673" s="11"/>
    </row>
    <row r="674">
      <c r="B674" s="10"/>
      <c r="C674" s="11"/>
    </row>
    <row r="675">
      <c r="B675" s="10"/>
      <c r="C675" s="11"/>
    </row>
    <row r="676">
      <c r="B676" s="10"/>
      <c r="C676" s="11"/>
    </row>
    <row r="677">
      <c r="B677" s="10"/>
      <c r="C677" s="11"/>
    </row>
    <row r="678">
      <c r="B678" s="10"/>
      <c r="C678" s="11"/>
    </row>
    <row r="679">
      <c r="B679" s="10"/>
      <c r="C679" s="11"/>
    </row>
    <row r="680">
      <c r="B680" s="10"/>
      <c r="C680" s="11"/>
    </row>
    <row r="681">
      <c r="B681" s="10"/>
      <c r="C681" s="11"/>
    </row>
    <row r="682">
      <c r="B682" s="10"/>
      <c r="C682" s="11"/>
    </row>
    <row r="683">
      <c r="B683" s="10"/>
      <c r="C683" s="11"/>
    </row>
    <row r="684">
      <c r="B684" s="10"/>
      <c r="C684" s="11"/>
    </row>
    <row r="685">
      <c r="B685" s="10"/>
      <c r="C685" s="11"/>
    </row>
    <row r="686">
      <c r="B686" s="10"/>
      <c r="C686" s="11"/>
    </row>
    <row r="687">
      <c r="B687" s="10"/>
      <c r="C687" s="11"/>
    </row>
    <row r="688">
      <c r="B688" s="10"/>
      <c r="C688" s="11"/>
    </row>
    <row r="689">
      <c r="B689" s="10"/>
      <c r="C689" s="11"/>
    </row>
    <row r="690">
      <c r="B690" s="10"/>
      <c r="C690" s="11"/>
    </row>
    <row r="691">
      <c r="B691" s="10"/>
      <c r="C691" s="11"/>
    </row>
    <row r="692">
      <c r="B692" s="10"/>
      <c r="C692" s="11"/>
    </row>
    <row r="693">
      <c r="B693" s="10"/>
      <c r="C693" s="11"/>
    </row>
    <row r="694">
      <c r="B694" s="10"/>
      <c r="C694" s="11"/>
    </row>
    <row r="695">
      <c r="B695" s="10"/>
      <c r="C695" s="11"/>
    </row>
    <row r="696">
      <c r="B696" s="10"/>
      <c r="C696" s="11"/>
    </row>
    <row r="697">
      <c r="B697" s="10"/>
      <c r="C697" s="11"/>
    </row>
    <row r="698">
      <c r="B698" s="10"/>
      <c r="C698" s="11"/>
    </row>
    <row r="699">
      <c r="B699" s="10"/>
      <c r="C699" s="11"/>
    </row>
    <row r="700">
      <c r="B700" s="10"/>
      <c r="C700" s="11"/>
    </row>
    <row r="701">
      <c r="B701" s="10"/>
      <c r="C701" s="11"/>
    </row>
    <row r="702">
      <c r="B702" s="10"/>
      <c r="C702" s="11"/>
    </row>
    <row r="703">
      <c r="B703" s="10"/>
      <c r="C703" s="11"/>
    </row>
    <row r="704">
      <c r="B704" s="10"/>
      <c r="C704" s="11"/>
    </row>
    <row r="705">
      <c r="B705" s="10"/>
      <c r="C705" s="11"/>
    </row>
    <row r="706">
      <c r="B706" s="10"/>
      <c r="C706" s="11"/>
    </row>
    <row r="707">
      <c r="B707" s="10"/>
      <c r="C707" s="11"/>
    </row>
    <row r="708">
      <c r="B708" s="10"/>
      <c r="C708" s="11"/>
    </row>
    <row r="709">
      <c r="B709" s="10"/>
      <c r="C709" s="11"/>
    </row>
    <row r="710">
      <c r="B710" s="10"/>
      <c r="C710" s="11"/>
    </row>
    <row r="711">
      <c r="B711" s="10"/>
      <c r="C711" s="11"/>
    </row>
    <row r="712">
      <c r="B712" s="10"/>
      <c r="C712" s="11"/>
    </row>
    <row r="713">
      <c r="B713" s="10"/>
      <c r="C713" s="11"/>
    </row>
    <row r="714">
      <c r="B714" s="10"/>
      <c r="C714" s="11"/>
    </row>
    <row r="715">
      <c r="B715" s="10"/>
      <c r="C715" s="11"/>
    </row>
    <row r="716">
      <c r="B716" s="10"/>
      <c r="C716" s="11"/>
    </row>
    <row r="717">
      <c r="B717" s="10"/>
      <c r="C717" s="11"/>
    </row>
    <row r="718">
      <c r="B718" s="10"/>
      <c r="C718" s="11"/>
    </row>
    <row r="719">
      <c r="B719" s="10"/>
      <c r="C719" s="11"/>
    </row>
    <row r="720">
      <c r="B720" s="10"/>
      <c r="C720" s="11"/>
    </row>
    <row r="721">
      <c r="B721" s="10"/>
      <c r="C721" s="11"/>
    </row>
    <row r="722">
      <c r="B722" s="10"/>
      <c r="C722" s="11"/>
    </row>
    <row r="723">
      <c r="B723" s="10"/>
      <c r="C723" s="11"/>
    </row>
    <row r="724">
      <c r="B724" s="10"/>
      <c r="C724" s="11"/>
    </row>
    <row r="725">
      <c r="B725" s="10"/>
      <c r="C725" s="11"/>
    </row>
    <row r="726">
      <c r="B726" s="10"/>
      <c r="C726" s="11"/>
    </row>
    <row r="727">
      <c r="B727" s="10"/>
      <c r="C727" s="11"/>
    </row>
    <row r="728">
      <c r="B728" s="10"/>
      <c r="C728" s="11"/>
    </row>
    <row r="729">
      <c r="B729" s="10"/>
      <c r="C729" s="11"/>
    </row>
    <row r="730">
      <c r="B730" s="10"/>
      <c r="C730" s="11"/>
    </row>
    <row r="731">
      <c r="B731" s="10"/>
      <c r="C731" s="11"/>
    </row>
    <row r="732">
      <c r="B732" s="10"/>
      <c r="C732" s="11"/>
    </row>
    <row r="733">
      <c r="B733" s="10"/>
      <c r="C733" s="11"/>
    </row>
    <row r="734">
      <c r="B734" s="10"/>
      <c r="C734" s="11"/>
    </row>
    <row r="735">
      <c r="B735" s="10"/>
      <c r="C735" s="11"/>
    </row>
    <row r="736">
      <c r="B736" s="10"/>
      <c r="C736" s="11"/>
    </row>
    <row r="737">
      <c r="B737" s="10"/>
      <c r="C737" s="11"/>
    </row>
    <row r="738">
      <c r="B738" s="10"/>
      <c r="C738" s="11"/>
    </row>
    <row r="739">
      <c r="B739" s="10"/>
      <c r="C739" s="11"/>
    </row>
    <row r="740">
      <c r="B740" s="10"/>
      <c r="C740" s="11"/>
    </row>
    <row r="741">
      <c r="B741" s="10"/>
      <c r="C741" s="11"/>
    </row>
    <row r="742">
      <c r="B742" s="10"/>
      <c r="C742" s="11"/>
    </row>
    <row r="743">
      <c r="B743" s="10"/>
      <c r="C743" s="11"/>
    </row>
    <row r="744">
      <c r="B744" s="10"/>
      <c r="C744" s="11"/>
    </row>
    <row r="745">
      <c r="B745" s="10"/>
      <c r="C745" s="11"/>
    </row>
    <row r="746">
      <c r="B746" s="10"/>
      <c r="C746" s="11"/>
    </row>
    <row r="747">
      <c r="B747" s="10"/>
      <c r="C747" s="11"/>
    </row>
    <row r="748">
      <c r="B748" s="10"/>
      <c r="C748" s="11"/>
    </row>
    <row r="749">
      <c r="B749" s="10"/>
      <c r="C749" s="11"/>
    </row>
    <row r="750">
      <c r="B750" s="10"/>
      <c r="C750" s="11"/>
    </row>
    <row r="751">
      <c r="B751" s="10"/>
      <c r="C751" s="11"/>
    </row>
    <row r="752">
      <c r="B752" s="10"/>
      <c r="C752" s="11"/>
    </row>
    <row r="753">
      <c r="B753" s="10"/>
      <c r="C753" s="11"/>
    </row>
    <row r="754">
      <c r="B754" s="10"/>
      <c r="C754" s="11"/>
    </row>
    <row r="755">
      <c r="B755" s="10"/>
      <c r="C755" s="11"/>
    </row>
    <row r="756">
      <c r="B756" s="10"/>
      <c r="C756" s="11"/>
    </row>
    <row r="757">
      <c r="B757" s="10"/>
      <c r="C757" s="11"/>
    </row>
    <row r="758">
      <c r="B758" s="10"/>
      <c r="C758" s="11"/>
    </row>
    <row r="759">
      <c r="B759" s="10"/>
      <c r="C759" s="11"/>
    </row>
    <row r="760">
      <c r="B760" s="10"/>
      <c r="C760" s="11"/>
    </row>
    <row r="761">
      <c r="B761" s="10"/>
      <c r="C761" s="11"/>
    </row>
    <row r="762">
      <c r="B762" s="10"/>
      <c r="C762" s="11"/>
    </row>
    <row r="763">
      <c r="B763" s="10"/>
      <c r="C763" s="11"/>
    </row>
    <row r="764">
      <c r="B764" s="10"/>
      <c r="C764" s="11"/>
    </row>
    <row r="765">
      <c r="B765" s="10"/>
      <c r="C765" s="11"/>
    </row>
    <row r="766">
      <c r="B766" s="10"/>
      <c r="C766" s="11"/>
    </row>
    <row r="767">
      <c r="B767" s="10"/>
      <c r="C767" s="11"/>
    </row>
    <row r="768">
      <c r="B768" s="10"/>
      <c r="C768" s="11"/>
    </row>
    <row r="769">
      <c r="B769" s="10"/>
      <c r="C769" s="11"/>
    </row>
    <row r="770">
      <c r="B770" s="10"/>
      <c r="C770" s="11"/>
    </row>
    <row r="771">
      <c r="B771" s="10"/>
      <c r="C771" s="11"/>
    </row>
    <row r="772">
      <c r="B772" s="10"/>
      <c r="C772" s="11"/>
    </row>
    <row r="773">
      <c r="B773" s="10"/>
      <c r="C773" s="11"/>
    </row>
    <row r="774">
      <c r="B774" s="10"/>
      <c r="C774" s="11"/>
    </row>
    <row r="775">
      <c r="B775" s="10"/>
      <c r="C775" s="11"/>
    </row>
    <row r="776">
      <c r="B776" s="10"/>
      <c r="C776" s="11"/>
    </row>
    <row r="777">
      <c r="B777" s="10"/>
      <c r="C777" s="11"/>
    </row>
    <row r="778">
      <c r="B778" s="10"/>
      <c r="C778" s="11"/>
    </row>
    <row r="779">
      <c r="B779" s="10"/>
      <c r="C779" s="11"/>
    </row>
    <row r="780">
      <c r="B780" s="10"/>
      <c r="C780" s="11"/>
    </row>
    <row r="781">
      <c r="B781" s="10"/>
      <c r="C781" s="11"/>
    </row>
    <row r="782">
      <c r="B782" s="10"/>
      <c r="C782" s="11"/>
    </row>
    <row r="783">
      <c r="B783" s="10"/>
      <c r="C783" s="11"/>
    </row>
    <row r="784">
      <c r="B784" s="10"/>
      <c r="C784" s="11"/>
    </row>
    <row r="785">
      <c r="B785" s="10"/>
      <c r="C785" s="11"/>
    </row>
    <row r="786">
      <c r="B786" s="10"/>
      <c r="C786" s="11"/>
    </row>
    <row r="787">
      <c r="B787" s="10"/>
      <c r="C787" s="11"/>
    </row>
    <row r="788">
      <c r="B788" s="10"/>
      <c r="C788" s="11"/>
    </row>
    <row r="789">
      <c r="B789" s="10"/>
      <c r="C789" s="11"/>
    </row>
    <row r="790">
      <c r="B790" s="10"/>
      <c r="C790" s="11"/>
    </row>
    <row r="791">
      <c r="B791" s="10"/>
      <c r="C791" s="11"/>
    </row>
    <row r="792">
      <c r="B792" s="10"/>
      <c r="C792" s="11"/>
    </row>
    <row r="793">
      <c r="B793" s="10"/>
      <c r="C793" s="11"/>
    </row>
    <row r="794">
      <c r="B794" s="10"/>
      <c r="C794" s="11"/>
    </row>
    <row r="795">
      <c r="B795" s="10"/>
      <c r="C795" s="11"/>
    </row>
    <row r="796">
      <c r="B796" s="10"/>
      <c r="C796" s="11"/>
    </row>
    <row r="797">
      <c r="B797" s="10"/>
      <c r="C797" s="11"/>
    </row>
    <row r="798">
      <c r="B798" s="10"/>
      <c r="C798" s="11"/>
    </row>
    <row r="799">
      <c r="B799" s="10"/>
      <c r="C799" s="11"/>
    </row>
    <row r="800">
      <c r="B800" s="10"/>
      <c r="C800" s="11"/>
    </row>
    <row r="801">
      <c r="B801" s="10"/>
      <c r="C801" s="11"/>
    </row>
    <row r="802">
      <c r="B802" s="10"/>
      <c r="C802" s="11"/>
    </row>
    <row r="803">
      <c r="B803" s="10"/>
      <c r="C803" s="11"/>
    </row>
    <row r="804">
      <c r="B804" s="10"/>
      <c r="C804" s="11"/>
    </row>
    <row r="805">
      <c r="B805" s="10"/>
      <c r="C805" s="11"/>
    </row>
    <row r="806">
      <c r="B806" s="10"/>
      <c r="C806" s="11"/>
    </row>
    <row r="807">
      <c r="B807" s="10"/>
      <c r="C807" s="11"/>
    </row>
    <row r="808">
      <c r="B808" s="10"/>
      <c r="C808" s="11"/>
    </row>
    <row r="809">
      <c r="B809" s="10"/>
      <c r="C809" s="11"/>
    </row>
    <row r="810">
      <c r="B810" s="10"/>
      <c r="C810" s="11"/>
    </row>
    <row r="811">
      <c r="B811" s="10"/>
      <c r="C811" s="11"/>
    </row>
    <row r="812">
      <c r="B812" s="10"/>
      <c r="C812" s="11"/>
    </row>
    <row r="813">
      <c r="B813" s="10"/>
      <c r="C813" s="11"/>
    </row>
    <row r="814">
      <c r="B814" s="10"/>
      <c r="C814" s="11"/>
    </row>
    <row r="815">
      <c r="B815" s="10"/>
      <c r="C815" s="11"/>
    </row>
    <row r="816">
      <c r="B816" s="10"/>
      <c r="C816" s="11"/>
    </row>
    <row r="817">
      <c r="B817" s="10"/>
      <c r="C817" s="11"/>
    </row>
    <row r="818">
      <c r="B818" s="10"/>
      <c r="C818" s="11"/>
    </row>
    <row r="819">
      <c r="B819" s="10"/>
      <c r="C819" s="11"/>
    </row>
    <row r="820">
      <c r="B820" s="10"/>
      <c r="C820" s="11"/>
    </row>
    <row r="821">
      <c r="B821" s="10"/>
      <c r="C821" s="11"/>
    </row>
    <row r="822">
      <c r="B822" s="10"/>
      <c r="C822" s="11"/>
    </row>
    <row r="823">
      <c r="B823" s="10"/>
      <c r="C823" s="11"/>
    </row>
    <row r="824">
      <c r="B824" s="10"/>
      <c r="C824" s="11"/>
    </row>
    <row r="825">
      <c r="B825" s="10"/>
      <c r="C825" s="11"/>
    </row>
    <row r="826">
      <c r="B826" s="10"/>
      <c r="C826" s="11"/>
    </row>
    <row r="827">
      <c r="B827" s="10"/>
      <c r="C827" s="11"/>
    </row>
    <row r="828">
      <c r="B828" s="10"/>
      <c r="C828" s="11"/>
    </row>
    <row r="829">
      <c r="B829" s="10"/>
      <c r="C829" s="11"/>
    </row>
    <row r="830">
      <c r="B830" s="10"/>
      <c r="C830" s="11"/>
    </row>
    <row r="831">
      <c r="B831" s="10"/>
      <c r="C831" s="11"/>
    </row>
    <row r="832">
      <c r="B832" s="10"/>
      <c r="C832" s="11"/>
    </row>
    <row r="833">
      <c r="B833" s="10"/>
      <c r="C833" s="11"/>
    </row>
    <row r="834">
      <c r="B834" s="10"/>
      <c r="C834" s="11"/>
    </row>
    <row r="835">
      <c r="B835" s="10"/>
      <c r="C835" s="11"/>
    </row>
    <row r="836">
      <c r="B836" s="10"/>
      <c r="C836" s="11"/>
    </row>
    <row r="837">
      <c r="B837" s="10"/>
      <c r="C837" s="11"/>
    </row>
    <row r="838">
      <c r="B838" s="10"/>
      <c r="C838" s="11"/>
    </row>
    <row r="839">
      <c r="B839" s="10"/>
      <c r="C839" s="11"/>
    </row>
    <row r="840">
      <c r="B840" s="10"/>
      <c r="C840" s="11"/>
    </row>
    <row r="841">
      <c r="B841" s="10"/>
      <c r="C841" s="11"/>
    </row>
    <row r="842">
      <c r="B842" s="10"/>
      <c r="C842" s="11"/>
    </row>
    <row r="843">
      <c r="B843" s="10"/>
      <c r="C843" s="11"/>
    </row>
    <row r="844">
      <c r="B844" s="10"/>
      <c r="C844" s="11"/>
    </row>
    <row r="845">
      <c r="B845" s="10"/>
      <c r="C845" s="11"/>
    </row>
    <row r="846">
      <c r="B846" s="10"/>
      <c r="C846" s="11"/>
    </row>
    <row r="847">
      <c r="B847" s="10"/>
      <c r="C847" s="11"/>
    </row>
    <row r="848">
      <c r="B848" s="10"/>
      <c r="C848" s="11"/>
    </row>
    <row r="849">
      <c r="B849" s="10"/>
      <c r="C849" s="11"/>
    </row>
    <row r="850">
      <c r="B850" s="10"/>
      <c r="C850" s="11"/>
    </row>
    <row r="851">
      <c r="B851" s="10"/>
      <c r="C851" s="11"/>
    </row>
    <row r="852">
      <c r="B852" s="10"/>
      <c r="C852" s="11"/>
    </row>
    <row r="853">
      <c r="B853" s="10"/>
      <c r="C853" s="11"/>
    </row>
    <row r="854">
      <c r="B854" s="10"/>
      <c r="C854" s="11"/>
    </row>
    <row r="855">
      <c r="B855" s="10"/>
      <c r="C855" s="11"/>
    </row>
    <row r="856">
      <c r="B856" s="10"/>
      <c r="C856" s="11"/>
    </row>
    <row r="857">
      <c r="B857" s="10"/>
      <c r="C857" s="11"/>
    </row>
    <row r="858">
      <c r="B858" s="10"/>
      <c r="C858" s="11"/>
    </row>
    <row r="859">
      <c r="B859" s="10"/>
      <c r="C859" s="11"/>
    </row>
    <row r="860">
      <c r="B860" s="10"/>
      <c r="C860" s="11"/>
    </row>
    <row r="861">
      <c r="B861" s="10"/>
      <c r="C861" s="11"/>
    </row>
    <row r="862">
      <c r="B862" s="10"/>
      <c r="C862" s="11"/>
    </row>
    <row r="863">
      <c r="B863" s="10"/>
      <c r="C863" s="11"/>
    </row>
    <row r="864">
      <c r="B864" s="10"/>
      <c r="C864" s="11"/>
    </row>
    <row r="865">
      <c r="B865" s="10"/>
      <c r="C865" s="11"/>
    </row>
    <row r="866">
      <c r="B866" s="10"/>
      <c r="C866" s="11"/>
    </row>
    <row r="867">
      <c r="B867" s="10"/>
      <c r="C867" s="11"/>
    </row>
    <row r="868">
      <c r="B868" s="10"/>
      <c r="C868" s="11"/>
    </row>
    <row r="869">
      <c r="B869" s="10"/>
      <c r="C869" s="11"/>
    </row>
    <row r="870">
      <c r="B870" s="10"/>
      <c r="C870" s="11"/>
    </row>
    <row r="871">
      <c r="B871" s="10"/>
      <c r="C871" s="11"/>
    </row>
    <row r="872">
      <c r="B872" s="10"/>
      <c r="C872" s="11"/>
    </row>
    <row r="873">
      <c r="B873" s="10"/>
      <c r="C873" s="11"/>
    </row>
    <row r="874">
      <c r="B874" s="10"/>
      <c r="C874" s="11"/>
    </row>
    <row r="875">
      <c r="B875" s="10"/>
      <c r="C875" s="11"/>
    </row>
    <row r="876">
      <c r="B876" s="10"/>
      <c r="C876" s="11"/>
    </row>
    <row r="877">
      <c r="B877" s="10"/>
      <c r="C877" s="11"/>
    </row>
    <row r="878">
      <c r="B878" s="10"/>
      <c r="C878" s="11"/>
    </row>
    <row r="879">
      <c r="B879" s="10"/>
      <c r="C879" s="11"/>
    </row>
    <row r="880">
      <c r="B880" s="10"/>
      <c r="C880" s="11"/>
    </row>
    <row r="881">
      <c r="B881" s="10"/>
      <c r="C881" s="11"/>
    </row>
    <row r="882">
      <c r="B882" s="10"/>
      <c r="C882" s="11"/>
    </row>
    <row r="883">
      <c r="B883" s="10"/>
      <c r="C883" s="11"/>
    </row>
    <row r="884">
      <c r="B884" s="10"/>
      <c r="C884" s="11"/>
    </row>
    <row r="885">
      <c r="B885" s="10"/>
      <c r="C885" s="11"/>
    </row>
    <row r="886">
      <c r="B886" s="10"/>
      <c r="C886" s="11"/>
    </row>
    <row r="887">
      <c r="B887" s="10"/>
      <c r="C887" s="11"/>
    </row>
    <row r="888">
      <c r="B888" s="10"/>
      <c r="C888" s="11"/>
    </row>
    <row r="889">
      <c r="B889" s="10"/>
      <c r="C889" s="11"/>
    </row>
    <row r="890">
      <c r="B890" s="10"/>
      <c r="C890" s="11"/>
    </row>
    <row r="891">
      <c r="B891" s="10"/>
      <c r="C891" s="11"/>
    </row>
    <row r="892">
      <c r="B892" s="10"/>
      <c r="C892" s="11"/>
    </row>
    <row r="893">
      <c r="B893" s="10"/>
      <c r="C893" s="11"/>
    </row>
    <row r="894">
      <c r="B894" s="10"/>
      <c r="C894" s="11"/>
    </row>
    <row r="895">
      <c r="B895" s="10"/>
      <c r="C895" s="11"/>
    </row>
    <row r="896">
      <c r="B896" s="10"/>
      <c r="C896" s="11"/>
    </row>
    <row r="897">
      <c r="B897" s="10"/>
      <c r="C897" s="11"/>
    </row>
    <row r="898">
      <c r="B898" s="10"/>
      <c r="C898" s="11"/>
    </row>
    <row r="899">
      <c r="B899" s="10"/>
      <c r="C899" s="11"/>
    </row>
    <row r="900">
      <c r="B900" s="10"/>
      <c r="C900" s="11"/>
    </row>
    <row r="901">
      <c r="B901" s="10"/>
      <c r="C901" s="11"/>
    </row>
    <row r="902">
      <c r="B902" s="10"/>
      <c r="C902" s="11"/>
    </row>
    <row r="903">
      <c r="B903" s="10"/>
      <c r="C903" s="11"/>
    </row>
    <row r="904">
      <c r="B904" s="10"/>
      <c r="C904" s="11"/>
    </row>
    <row r="905">
      <c r="B905" s="10"/>
      <c r="C905" s="11"/>
    </row>
    <row r="906">
      <c r="B906" s="10"/>
      <c r="C906" s="11"/>
    </row>
    <row r="907">
      <c r="B907" s="10"/>
      <c r="C907" s="11"/>
    </row>
    <row r="908">
      <c r="B908" s="10"/>
      <c r="C908" s="11"/>
    </row>
    <row r="909">
      <c r="B909" s="10"/>
      <c r="C909" s="11"/>
    </row>
    <row r="910">
      <c r="B910" s="10"/>
      <c r="C910" s="11"/>
    </row>
    <row r="911">
      <c r="B911" s="10"/>
      <c r="C911" s="11"/>
    </row>
    <row r="912">
      <c r="B912" s="10"/>
      <c r="C912" s="11"/>
    </row>
    <row r="913">
      <c r="B913" s="10"/>
      <c r="C913" s="11"/>
    </row>
    <row r="914">
      <c r="B914" s="10"/>
      <c r="C914" s="11"/>
    </row>
    <row r="915">
      <c r="B915" s="10"/>
      <c r="C915" s="11"/>
    </row>
    <row r="916">
      <c r="B916" s="10"/>
      <c r="C916" s="11"/>
    </row>
    <row r="917">
      <c r="B917" s="10"/>
      <c r="C917" s="11"/>
    </row>
    <row r="918">
      <c r="B918" s="10"/>
      <c r="C918" s="11"/>
    </row>
    <row r="919">
      <c r="B919" s="10"/>
      <c r="C919" s="11"/>
    </row>
    <row r="920">
      <c r="B920" s="10"/>
      <c r="C920" s="11"/>
    </row>
    <row r="921">
      <c r="B921" s="10"/>
      <c r="C921" s="11"/>
    </row>
    <row r="922">
      <c r="B922" s="10"/>
      <c r="C922" s="11"/>
    </row>
    <row r="923">
      <c r="B923" s="10"/>
      <c r="C923" s="11"/>
    </row>
    <row r="924">
      <c r="B924" s="10"/>
      <c r="C924" s="11"/>
    </row>
    <row r="925">
      <c r="B925" s="10"/>
      <c r="C925" s="11"/>
    </row>
    <row r="926">
      <c r="B926" s="10"/>
      <c r="C926" s="11"/>
    </row>
    <row r="927">
      <c r="B927" s="10"/>
      <c r="C927" s="11"/>
    </row>
    <row r="928">
      <c r="B928" s="10"/>
      <c r="C928" s="11"/>
    </row>
    <row r="929">
      <c r="B929" s="10"/>
      <c r="C929" s="11"/>
    </row>
    <row r="930">
      <c r="B930" s="10"/>
      <c r="C930" s="11"/>
    </row>
    <row r="931">
      <c r="B931" s="10"/>
      <c r="C931" s="11"/>
    </row>
    <row r="932">
      <c r="B932" s="10"/>
      <c r="C932" s="11"/>
    </row>
    <row r="933">
      <c r="B933" s="10"/>
      <c r="C933" s="11"/>
    </row>
    <row r="934">
      <c r="B934" s="10"/>
      <c r="C934" s="11"/>
    </row>
    <row r="935">
      <c r="B935" s="10"/>
      <c r="C935" s="11"/>
    </row>
    <row r="936">
      <c r="B936" s="10"/>
      <c r="C936" s="11"/>
    </row>
    <row r="937">
      <c r="B937" s="10"/>
      <c r="C937" s="11"/>
    </row>
    <row r="938">
      <c r="B938" s="10"/>
      <c r="C938" s="11"/>
    </row>
    <row r="939">
      <c r="B939" s="10"/>
      <c r="C939" s="11"/>
    </row>
    <row r="940">
      <c r="B940" s="10"/>
      <c r="C940" s="11"/>
    </row>
    <row r="941">
      <c r="B941" s="10"/>
      <c r="C941" s="11"/>
    </row>
    <row r="942">
      <c r="B942" s="10"/>
      <c r="C942" s="11"/>
    </row>
    <row r="943">
      <c r="B943" s="10"/>
      <c r="C943" s="11"/>
    </row>
    <row r="944">
      <c r="B944" s="10"/>
      <c r="C944" s="11"/>
    </row>
    <row r="945">
      <c r="B945" s="10"/>
      <c r="C945" s="11"/>
    </row>
    <row r="946">
      <c r="B946" s="10"/>
      <c r="C946" s="11"/>
    </row>
    <row r="947">
      <c r="B947" s="10"/>
      <c r="C947" s="11"/>
    </row>
    <row r="948">
      <c r="B948" s="10"/>
      <c r="C948" s="11"/>
    </row>
    <row r="949">
      <c r="B949" s="10"/>
      <c r="C949" s="11"/>
    </row>
    <row r="950">
      <c r="B950" s="10"/>
      <c r="C950" s="11"/>
    </row>
    <row r="951">
      <c r="B951" s="10"/>
      <c r="C951" s="11"/>
    </row>
    <row r="952">
      <c r="B952" s="10"/>
      <c r="C952" s="11"/>
    </row>
    <row r="953">
      <c r="B953" s="10"/>
      <c r="C953" s="11"/>
    </row>
    <row r="954">
      <c r="B954" s="10"/>
      <c r="C954" s="11"/>
    </row>
    <row r="955">
      <c r="B955" s="10"/>
      <c r="C955" s="11"/>
    </row>
    <row r="956">
      <c r="B956" s="10"/>
      <c r="C956" s="11"/>
    </row>
    <row r="957">
      <c r="B957" s="10"/>
      <c r="C957" s="11"/>
    </row>
    <row r="958">
      <c r="B958" s="10"/>
      <c r="C958" s="11"/>
    </row>
    <row r="959">
      <c r="B959" s="10"/>
      <c r="C959" s="11"/>
    </row>
    <row r="960">
      <c r="B960" s="10"/>
      <c r="C960" s="11"/>
    </row>
    <row r="961">
      <c r="B961" s="10"/>
      <c r="C961" s="11"/>
    </row>
    <row r="962">
      <c r="B962" s="10"/>
      <c r="C962" s="11"/>
    </row>
    <row r="963">
      <c r="B963" s="10"/>
      <c r="C963" s="11"/>
    </row>
    <row r="964">
      <c r="B964" s="10"/>
      <c r="C964" s="11"/>
    </row>
    <row r="965">
      <c r="B965" s="10"/>
      <c r="C965" s="11"/>
    </row>
    <row r="966">
      <c r="B966" s="10"/>
      <c r="C966" s="11"/>
    </row>
    <row r="967">
      <c r="B967" s="10"/>
      <c r="C967" s="11"/>
    </row>
    <row r="968">
      <c r="B968" s="10"/>
      <c r="C968" s="11"/>
    </row>
    <row r="969">
      <c r="B969" s="10"/>
      <c r="C969" s="11"/>
    </row>
    <row r="970">
      <c r="B970" s="10"/>
      <c r="C970" s="11"/>
    </row>
    <row r="971">
      <c r="B971" s="10"/>
      <c r="C971" s="11"/>
    </row>
    <row r="972">
      <c r="B972" s="10"/>
      <c r="C972" s="11"/>
    </row>
    <row r="973">
      <c r="B973" s="10"/>
      <c r="C973" s="11"/>
    </row>
    <row r="974">
      <c r="B974" s="10"/>
      <c r="C974" s="11"/>
    </row>
    <row r="975">
      <c r="B975" s="10"/>
      <c r="C975" s="11"/>
    </row>
    <row r="976">
      <c r="B976" s="10"/>
      <c r="C976" s="11"/>
    </row>
    <row r="977">
      <c r="B977" s="10"/>
      <c r="C977" s="11"/>
    </row>
    <row r="978">
      <c r="B978" s="10"/>
      <c r="C978" s="11"/>
    </row>
    <row r="979">
      <c r="B979" s="10"/>
      <c r="C979" s="11"/>
    </row>
    <row r="980">
      <c r="B980" s="10"/>
      <c r="C980" s="11"/>
    </row>
    <row r="981">
      <c r="B981" s="10"/>
      <c r="C981" s="11"/>
    </row>
    <row r="982">
      <c r="B982" s="10"/>
      <c r="C982" s="11"/>
    </row>
    <row r="983">
      <c r="B983" s="10"/>
      <c r="C983" s="11"/>
    </row>
    <row r="984">
      <c r="B984" s="10"/>
      <c r="C984" s="11"/>
    </row>
    <row r="985">
      <c r="B985" s="10"/>
      <c r="C985" s="11"/>
    </row>
    <row r="986">
      <c r="B986" s="10"/>
      <c r="C986" s="11"/>
    </row>
    <row r="987">
      <c r="B987" s="10"/>
      <c r="C987" s="11"/>
    </row>
    <row r="988">
      <c r="B988" s="10"/>
      <c r="C988" s="11"/>
    </row>
    <row r="989">
      <c r="B989" s="10"/>
      <c r="C989" s="11"/>
    </row>
    <row r="990">
      <c r="B990" s="10"/>
      <c r="C990" s="11"/>
    </row>
    <row r="991">
      <c r="B991" s="10"/>
      <c r="C991" s="11"/>
    </row>
    <row r="992">
      <c r="B992" s="10"/>
      <c r="C992" s="11"/>
    </row>
    <row r="993">
      <c r="B993" s="10"/>
      <c r="C993" s="11"/>
    </row>
    <row r="994">
      <c r="B994" s="10"/>
      <c r="C994" s="11"/>
    </row>
    <row r="995">
      <c r="B995" s="10"/>
      <c r="C995" s="11"/>
    </row>
    <row r="996">
      <c r="B996" s="10"/>
      <c r="C996" s="11"/>
    </row>
    <row r="997">
      <c r="B997" s="10"/>
      <c r="C997" s="11"/>
    </row>
  </sheetData>
  <mergeCells count="10">
    <mergeCell ref="A40:C40"/>
    <mergeCell ref="A45:C45"/>
    <mergeCell ref="A50:C50"/>
    <mergeCell ref="A1:B1"/>
    <mergeCell ref="D5:D6"/>
    <mergeCell ref="A8:C8"/>
    <mergeCell ref="A12:C12"/>
    <mergeCell ref="A18:C18"/>
    <mergeCell ref="A24:C24"/>
    <mergeCell ref="A33:C33"/>
  </mergeCells>
  <dataValidations>
    <dataValidation type="list" allowBlank="1" showErrorMessage="1" sqref="C2:C7 C9:C11 C13:C17 C19:C23 C25:C32 C34:C39 C41:C44 C46:C49 C51:C59">
      <formula1>"TO DO,WIP,DONE,BLOCKED,REVIEW"</formula1>
    </dataValidation>
  </dataValidations>
  <hyperlinks>
    <hyperlink display="Link" location="'Relevant Docs'!A1" ref="D2"/>
    <hyperlink display="Link" location="'Ad Reps'!A1" ref="D3"/>
    <hyperlink display="Link" location="'Process Invite users to ad acco'!A1" ref="D4"/>
    <hyperlink display="Link" location="'Netsuite &amp; Aspire CC'!A1" ref="D5"/>
    <hyperlink display="Link" location="'Upcoming Seasonal Campaigns'!A1" ref="D7"/>
    <hyperlink display="Executive Summary" location="'Executive Summary'!A1" ref="A8"/>
    <hyperlink display="Active Campaign Inventory &#10;&#10;For all active campaigns across platforms (Meta, Google, TikTok, LinkedIn, etc.), please provide:" location="'Active Campaign Inventory'!A1" ref="A12"/>
    <hyperlink display="Historical Learnings and Best Practices" location="'Learnings &amp; Best Practices'!A1" ref="A18"/>
    <hyperlink display="Parked here" location="'Creative Assets'!A16:F16" ref="D20"/>
    <hyperlink display="Account Access and Ownership &#10;&#10;Please prepare a complete inventory of all platforms and tools, including:&#10;&#10;For each account, please indicate:&#10;&#10;Account owner/admin&#10;Billing owner&#10;Existing user access&#10;Any actions required for ownership transfer" location="'Account Access'!A1" ref="A24"/>
    <hyperlink display="Tracking, Analytics and Reporting" location="'Tracking, Analytics, &amp; Reportin'!A1" ref="A33"/>
    <hyperlink display="Creative Assets" location="'Creative Assets'!A1" ref="A40"/>
    <hyperlink display="Budget and Performance Summary" location="'Budget &amp; Performance'!A1" ref="A45"/>
    <hyperlink display="Recommendations" location="Recommendations!A1" ref="A5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 customWidth="1" min="2" max="2" width="33.38"/>
    <col customWidth="1" min="3" max="3" width="25.13"/>
    <col customWidth="1" min="4" max="4" width="18.0"/>
    <col customWidth="1" min="5" max="5" width="21.75"/>
    <col customWidth="1" min="9" max="9" width="29.5"/>
    <col customWidth="1" min="10" max="10" width="20.0"/>
    <col customWidth="1" min="11" max="11" width="21.38"/>
  </cols>
  <sheetData>
    <row r="1">
      <c r="A1" s="10"/>
      <c r="B1" s="10"/>
      <c r="C1" s="10"/>
      <c r="D1" s="10"/>
      <c r="E1" s="10"/>
      <c r="F1" s="10"/>
    </row>
    <row r="2">
      <c r="A2" s="12" t="s">
        <v>58</v>
      </c>
    </row>
    <row r="3">
      <c r="A3" s="4" t="s">
        <v>59</v>
      </c>
    </row>
    <row r="4">
      <c r="A4" s="4" t="s">
        <v>60</v>
      </c>
    </row>
    <row r="5">
      <c r="A5" s="4" t="s">
        <v>61</v>
      </c>
    </row>
    <row r="6">
      <c r="A6" s="4" t="s">
        <v>62</v>
      </c>
    </row>
    <row r="7">
      <c r="A7" s="4" t="s">
        <v>63</v>
      </c>
    </row>
    <row r="8">
      <c r="A8" s="10"/>
      <c r="B8" s="10"/>
      <c r="C8" s="10"/>
      <c r="D8" s="10"/>
      <c r="E8" s="10"/>
      <c r="F8" s="10"/>
    </row>
    <row r="9">
      <c r="A9" s="10"/>
      <c r="B9" s="10"/>
      <c r="C9" s="10"/>
      <c r="D9" s="10"/>
      <c r="E9" s="10"/>
      <c r="F9" s="10"/>
    </row>
    <row r="10">
      <c r="A10" s="13" t="s">
        <v>64</v>
      </c>
      <c r="H10" s="13" t="s">
        <v>65</v>
      </c>
    </row>
    <row r="11">
      <c r="A11" s="13" t="s">
        <v>66</v>
      </c>
      <c r="B11" s="13" t="s">
        <v>67</v>
      </c>
      <c r="C11" s="13" t="s">
        <v>68</v>
      </c>
      <c r="D11" s="13" t="s">
        <v>69</v>
      </c>
      <c r="E11" s="13" t="s">
        <v>70</v>
      </c>
      <c r="F11" s="13" t="s">
        <v>71</v>
      </c>
      <c r="H11" s="14" t="s">
        <v>66</v>
      </c>
      <c r="I11" s="14" t="s">
        <v>72</v>
      </c>
      <c r="J11" s="14" t="s">
        <v>73</v>
      </c>
      <c r="K11" s="14" t="s">
        <v>74</v>
      </c>
    </row>
    <row r="12">
      <c r="A12" s="4" t="s">
        <v>75</v>
      </c>
      <c r="B12" s="15">
        <v>376737.92</v>
      </c>
      <c r="C12" s="4">
        <v>45294.0</v>
      </c>
      <c r="D12" s="16">
        <f t="shared" ref="D12:D14" si="1">B12/C12</f>
        <v>8.317612046</v>
      </c>
      <c r="E12" s="4" t="s">
        <v>76</v>
      </c>
      <c r="F12" s="17">
        <v>0.1521</v>
      </c>
      <c r="H12" s="18" t="s">
        <v>75</v>
      </c>
      <c r="I12" s="19">
        <v>35334.0</v>
      </c>
      <c r="J12" s="20" t="s">
        <v>77</v>
      </c>
      <c r="K12" s="19">
        <v>79030.0</v>
      </c>
    </row>
    <row r="13">
      <c r="A13" s="4" t="s">
        <v>78</v>
      </c>
      <c r="B13" s="15">
        <v>39642.0</v>
      </c>
      <c r="C13" s="4">
        <v>529.0</v>
      </c>
      <c r="D13" s="16">
        <f t="shared" si="1"/>
        <v>74.93761815</v>
      </c>
      <c r="E13" s="4" t="s">
        <v>79</v>
      </c>
      <c r="F13" s="17">
        <v>0.0098</v>
      </c>
      <c r="H13" s="18" t="s">
        <v>80</v>
      </c>
      <c r="I13" s="19">
        <v>19000.0</v>
      </c>
      <c r="J13" s="20" t="s">
        <v>81</v>
      </c>
      <c r="K13" s="19">
        <v>70436.0</v>
      </c>
    </row>
    <row r="14">
      <c r="A14" s="4" t="s">
        <v>82</v>
      </c>
      <c r="B14" s="15">
        <v>126946.47</v>
      </c>
      <c r="C14" s="4">
        <v>562.0</v>
      </c>
      <c r="D14" s="16">
        <f t="shared" si="1"/>
        <v>225.8833986</v>
      </c>
      <c r="E14" s="4" t="s">
        <v>83</v>
      </c>
      <c r="F14" s="17">
        <v>0.0039</v>
      </c>
      <c r="H14" s="18" t="s">
        <v>82</v>
      </c>
      <c r="I14" s="19">
        <v>9000.0</v>
      </c>
      <c r="J14" s="20" t="s">
        <v>84</v>
      </c>
      <c r="K14" s="19">
        <v>9252.0</v>
      </c>
    </row>
    <row r="15">
      <c r="A15" s="4" t="s">
        <v>85</v>
      </c>
      <c r="B15" s="15">
        <v>53875.22</v>
      </c>
      <c r="C15" s="4" t="s">
        <v>86</v>
      </c>
      <c r="D15" s="16">
        <f>B15/234</f>
        <v>230.2359829</v>
      </c>
      <c r="E15" s="4" t="s">
        <v>87</v>
      </c>
      <c r="F15" s="4" t="s">
        <v>87</v>
      </c>
      <c r="H15" s="18" t="s">
        <v>85</v>
      </c>
      <c r="I15" s="19">
        <v>5000.0</v>
      </c>
      <c r="J15" s="20" t="s">
        <v>88</v>
      </c>
      <c r="K15" s="20" t="s">
        <v>87</v>
      </c>
    </row>
    <row r="16">
      <c r="A16" s="10"/>
      <c r="B16" s="10"/>
      <c r="C16" s="10"/>
      <c r="D16" s="10"/>
      <c r="E16" s="10"/>
      <c r="F16" s="10"/>
      <c r="H16" s="21" t="s">
        <v>89</v>
      </c>
      <c r="I16" s="22">
        <f>SUM(I12:I15)</f>
        <v>68334</v>
      </c>
    </row>
    <row r="17">
      <c r="A17" s="23" t="s">
        <v>90</v>
      </c>
      <c r="C17" s="10"/>
      <c r="D17" s="10"/>
      <c r="E17" s="10"/>
      <c r="F17" s="10"/>
    </row>
    <row r="18">
      <c r="A18" s="4" t="s">
        <v>91</v>
      </c>
    </row>
    <row r="19">
      <c r="A19" s="4" t="s">
        <v>92</v>
      </c>
    </row>
    <row r="20">
      <c r="A20" s="10"/>
      <c r="B20" s="10"/>
      <c r="C20" s="10"/>
      <c r="D20" s="10"/>
      <c r="E20" s="10"/>
      <c r="F20" s="10"/>
    </row>
    <row r="21">
      <c r="A21" s="10"/>
      <c r="B21" s="10"/>
      <c r="C21" s="10"/>
      <c r="D21" s="10"/>
      <c r="E21" s="10"/>
      <c r="F21" s="10"/>
    </row>
    <row r="22">
      <c r="A22" s="12" t="s">
        <v>93</v>
      </c>
      <c r="B22" s="12" t="s">
        <v>94</v>
      </c>
      <c r="C22" s="10"/>
      <c r="D22" s="10"/>
      <c r="E22" s="10"/>
      <c r="F22" s="10"/>
    </row>
    <row r="23">
      <c r="A23" s="24" t="s">
        <v>95</v>
      </c>
      <c r="B23" s="24" t="s">
        <v>96</v>
      </c>
      <c r="C23" s="10"/>
      <c r="D23" s="10"/>
      <c r="E23" s="10"/>
      <c r="F23" s="10"/>
    </row>
    <row r="24">
      <c r="A24" s="24" t="s">
        <v>97</v>
      </c>
      <c r="B24" s="24" t="s">
        <v>98</v>
      </c>
      <c r="C24" s="10"/>
      <c r="D24" s="10"/>
      <c r="E24" s="10"/>
      <c r="F24" s="10"/>
    </row>
    <row r="25">
      <c r="A25" s="24" t="s">
        <v>99</v>
      </c>
      <c r="B25" s="24" t="s">
        <v>100</v>
      </c>
      <c r="C25" s="10"/>
      <c r="D25" s="10"/>
      <c r="E25" s="10"/>
      <c r="F25" s="10"/>
    </row>
    <row r="26">
      <c r="A26" s="24" t="s">
        <v>101</v>
      </c>
      <c r="B26" s="25"/>
      <c r="C26" s="10"/>
      <c r="D26" s="10"/>
      <c r="E26" s="10"/>
      <c r="F26" s="10"/>
    </row>
    <row r="27">
      <c r="A27" s="10"/>
      <c r="B27" s="10"/>
      <c r="C27" s="10"/>
      <c r="D27" s="10"/>
      <c r="E27" s="10"/>
      <c r="F27" s="10"/>
    </row>
    <row r="28">
      <c r="A28" s="10"/>
      <c r="B28" s="10"/>
      <c r="C28" s="10"/>
      <c r="D28" s="10"/>
      <c r="E28" s="10"/>
      <c r="F28" s="10"/>
    </row>
    <row r="29">
      <c r="E29" s="26"/>
      <c r="F29" s="26"/>
    </row>
    <row r="30">
      <c r="F30" s="10"/>
    </row>
    <row r="31">
      <c r="F31" s="10"/>
    </row>
    <row r="32">
      <c r="F32" s="10"/>
    </row>
    <row r="33">
      <c r="F33" s="10"/>
    </row>
    <row r="34">
      <c r="F34" s="10"/>
    </row>
    <row r="35">
      <c r="A35" s="10"/>
      <c r="B35" s="10"/>
      <c r="C35" s="10"/>
      <c r="D35" s="10"/>
      <c r="E35" s="10"/>
      <c r="F35" s="10"/>
    </row>
    <row r="36">
      <c r="A36" s="10"/>
      <c r="B36" s="10"/>
      <c r="C36" s="10"/>
      <c r="D36" s="10"/>
      <c r="E36" s="10"/>
      <c r="F36" s="10"/>
    </row>
    <row r="37">
      <c r="A37" s="10"/>
      <c r="B37" s="10"/>
      <c r="C37" s="10"/>
      <c r="D37" s="10"/>
      <c r="E37" s="10"/>
      <c r="F37" s="10"/>
    </row>
    <row r="38">
      <c r="A38" s="10"/>
      <c r="B38" s="10"/>
      <c r="C38" s="10"/>
      <c r="D38" s="10"/>
      <c r="E38" s="10"/>
      <c r="F38" s="10"/>
    </row>
    <row r="39">
      <c r="A39" s="10"/>
      <c r="B39" s="10"/>
      <c r="C39" s="10"/>
      <c r="D39" s="10"/>
      <c r="E39" s="10"/>
      <c r="F39" s="10"/>
    </row>
    <row r="40">
      <c r="A40" s="10"/>
      <c r="B40" s="10"/>
      <c r="C40" s="10"/>
      <c r="D40" s="10"/>
      <c r="E40" s="10"/>
      <c r="F40" s="10"/>
    </row>
    <row r="41">
      <c r="A41" s="10"/>
      <c r="B41" s="10"/>
      <c r="C41" s="10"/>
      <c r="D41" s="10"/>
      <c r="E41" s="10"/>
      <c r="F41" s="10"/>
    </row>
    <row r="42">
      <c r="A42" s="10"/>
      <c r="B42" s="10"/>
      <c r="C42" s="10"/>
      <c r="D42" s="10"/>
      <c r="E42" s="10"/>
      <c r="F42" s="10"/>
    </row>
    <row r="43">
      <c r="A43" s="10"/>
      <c r="B43" s="10"/>
      <c r="C43" s="10"/>
      <c r="D43" s="10"/>
      <c r="E43" s="10"/>
      <c r="F43" s="10"/>
    </row>
    <row r="44">
      <c r="A44" s="10"/>
      <c r="B44" s="10"/>
      <c r="C44" s="10"/>
      <c r="D44" s="10"/>
      <c r="E44" s="10"/>
      <c r="F44" s="10"/>
    </row>
    <row r="45">
      <c r="A45" s="10"/>
      <c r="B45" s="10"/>
      <c r="C45" s="10"/>
      <c r="D45" s="10"/>
      <c r="E45" s="10"/>
      <c r="F45" s="10"/>
    </row>
    <row r="46">
      <c r="A46" s="10"/>
      <c r="B46" s="10"/>
      <c r="C46" s="10"/>
      <c r="D46" s="10"/>
      <c r="E46" s="10"/>
      <c r="F46" s="10"/>
    </row>
    <row r="47">
      <c r="A47" s="10"/>
      <c r="B47" s="10"/>
      <c r="C47" s="10"/>
      <c r="D47" s="10"/>
      <c r="E47" s="10"/>
      <c r="F47" s="10"/>
    </row>
    <row r="48">
      <c r="A48" s="10"/>
      <c r="B48" s="10"/>
      <c r="C48" s="10"/>
      <c r="D48" s="10"/>
      <c r="E48" s="10"/>
      <c r="F48" s="10"/>
    </row>
    <row r="49">
      <c r="A49" s="10"/>
      <c r="B49" s="10"/>
      <c r="C49" s="10"/>
      <c r="D49" s="10"/>
      <c r="E49" s="10"/>
      <c r="F49" s="10"/>
    </row>
    <row r="50">
      <c r="A50" s="10"/>
      <c r="B50" s="10"/>
      <c r="C50" s="10"/>
      <c r="D50" s="10"/>
      <c r="E50" s="10"/>
      <c r="F50" s="10"/>
    </row>
    <row r="51">
      <c r="A51" s="10"/>
      <c r="B51" s="10"/>
      <c r="C51" s="10"/>
      <c r="D51" s="10"/>
      <c r="E51" s="10"/>
      <c r="F51" s="10"/>
    </row>
    <row r="52">
      <c r="A52" s="10"/>
      <c r="B52" s="10"/>
      <c r="C52" s="10"/>
      <c r="D52" s="10"/>
      <c r="E52" s="10"/>
      <c r="F52" s="10"/>
    </row>
    <row r="53">
      <c r="A53" s="10"/>
      <c r="B53" s="10"/>
      <c r="C53" s="10"/>
      <c r="D53" s="10"/>
      <c r="E53" s="10"/>
      <c r="F53" s="10"/>
    </row>
    <row r="54">
      <c r="A54" s="10"/>
      <c r="B54" s="10"/>
      <c r="C54" s="10"/>
      <c r="D54" s="10"/>
      <c r="E54" s="10"/>
      <c r="F54" s="10"/>
    </row>
    <row r="55">
      <c r="A55" s="10"/>
      <c r="B55" s="10"/>
      <c r="C55" s="10"/>
      <c r="D55" s="10"/>
      <c r="E55" s="10"/>
      <c r="F55" s="10"/>
    </row>
    <row r="56">
      <c r="A56" s="10"/>
      <c r="B56" s="10"/>
      <c r="C56" s="10"/>
      <c r="D56" s="10"/>
      <c r="E56" s="10"/>
      <c r="F56" s="10"/>
    </row>
    <row r="57">
      <c r="A57" s="10"/>
      <c r="B57" s="10"/>
      <c r="C57" s="10"/>
      <c r="D57" s="10"/>
      <c r="E57" s="10"/>
      <c r="F57" s="10"/>
    </row>
    <row r="58">
      <c r="A58" s="10"/>
      <c r="B58" s="10"/>
      <c r="C58" s="10"/>
      <c r="D58" s="10"/>
      <c r="E58" s="10"/>
      <c r="F58" s="10"/>
    </row>
    <row r="59">
      <c r="A59" s="10"/>
      <c r="B59" s="10"/>
      <c r="C59" s="10"/>
      <c r="D59" s="10"/>
      <c r="E59" s="10"/>
      <c r="F59" s="10"/>
    </row>
    <row r="60">
      <c r="A60" s="10"/>
      <c r="B60" s="10"/>
      <c r="C60" s="10"/>
      <c r="D60" s="10"/>
      <c r="E60" s="10"/>
      <c r="F60" s="10"/>
    </row>
    <row r="61">
      <c r="A61" s="10"/>
      <c r="B61" s="10"/>
      <c r="C61" s="10"/>
      <c r="D61" s="10"/>
      <c r="E61" s="10"/>
      <c r="F61" s="10"/>
    </row>
    <row r="62">
      <c r="A62" s="10"/>
      <c r="B62" s="10"/>
      <c r="C62" s="10"/>
      <c r="D62" s="10"/>
      <c r="E62" s="10"/>
      <c r="F62" s="10"/>
    </row>
    <row r="63">
      <c r="A63" s="10"/>
      <c r="B63" s="10"/>
      <c r="C63" s="10"/>
      <c r="D63" s="10"/>
      <c r="E63" s="10"/>
      <c r="F63" s="10"/>
    </row>
    <row r="64">
      <c r="A64" s="10"/>
      <c r="B64" s="10"/>
      <c r="C64" s="10"/>
      <c r="D64" s="10"/>
      <c r="E64" s="10"/>
      <c r="F64" s="10"/>
    </row>
    <row r="65">
      <c r="A65" s="10"/>
      <c r="B65" s="10"/>
      <c r="C65" s="10"/>
      <c r="D65" s="10"/>
      <c r="E65" s="10"/>
      <c r="F65" s="10"/>
    </row>
    <row r="66">
      <c r="A66" s="10"/>
      <c r="B66" s="10"/>
      <c r="C66" s="10"/>
      <c r="D66" s="10"/>
      <c r="E66" s="10"/>
      <c r="F66" s="10"/>
    </row>
    <row r="67">
      <c r="A67" s="10"/>
      <c r="B67" s="10"/>
      <c r="C67" s="10"/>
      <c r="D67" s="10"/>
      <c r="E67" s="10"/>
      <c r="F67" s="10"/>
    </row>
    <row r="68">
      <c r="A68" s="10"/>
      <c r="B68" s="10"/>
      <c r="C68" s="10"/>
      <c r="D68" s="10"/>
      <c r="E68" s="10"/>
      <c r="F68" s="10"/>
    </row>
    <row r="69">
      <c r="A69" s="10"/>
      <c r="B69" s="10"/>
      <c r="C69" s="10"/>
      <c r="D69" s="10"/>
      <c r="E69" s="10"/>
      <c r="F69" s="10"/>
    </row>
    <row r="70">
      <c r="A70" s="10"/>
      <c r="B70" s="10"/>
      <c r="C70" s="10"/>
      <c r="D70" s="10"/>
      <c r="E70" s="10"/>
      <c r="F70" s="10"/>
    </row>
    <row r="71">
      <c r="A71" s="10"/>
      <c r="B71" s="10"/>
      <c r="C71" s="10"/>
      <c r="D71" s="10"/>
      <c r="E71" s="10"/>
      <c r="F71" s="10"/>
    </row>
    <row r="72">
      <c r="A72" s="10"/>
      <c r="B72" s="10"/>
      <c r="C72" s="10"/>
      <c r="D72" s="10"/>
      <c r="E72" s="10"/>
      <c r="F72" s="10"/>
    </row>
    <row r="73">
      <c r="A73" s="10"/>
      <c r="B73" s="10"/>
      <c r="C73" s="10"/>
      <c r="D73" s="10"/>
      <c r="E73" s="10"/>
      <c r="F73" s="10"/>
    </row>
    <row r="74">
      <c r="A74" s="10"/>
      <c r="B74" s="10"/>
      <c r="C74" s="10"/>
      <c r="D74" s="10"/>
      <c r="E74" s="10"/>
      <c r="F74" s="10"/>
    </row>
    <row r="75">
      <c r="A75" s="10"/>
      <c r="B75" s="10"/>
      <c r="C75" s="10"/>
      <c r="D75" s="10"/>
      <c r="E75" s="10"/>
      <c r="F75" s="10"/>
    </row>
    <row r="76">
      <c r="A76" s="10"/>
      <c r="B76" s="10"/>
      <c r="C76" s="10"/>
      <c r="D76" s="10"/>
      <c r="E76" s="10"/>
      <c r="F76" s="10"/>
    </row>
    <row r="77">
      <c r="A77" s="10"/>
      <c r="B77" s="10"/>
      <c r="C77" s="10"/>
      <c r="D77" s="10"/>
      <c r="E77" s="10"/>
      <c r="F77" s="10"/>
    </row>
    <row r="78">
      <c r="A78" s="10"/>
      <c r="B78" s="10"/>
      <c r="C78" s="10"/>
      <c r="D78" s="10"/>
      <c r="E78" s="10"/>
      <c r="F78" s="10"/>
    </row>
    <row r="79">
      <c r="A79" s="10"/>
      <c r="B79" s="10"/>
      <c r="C79" s="10"/>
      <c r="D79" s="10"/>
      <c r="E79" s="10"/>
      <c r="F79" s="10"/>
    </row>
    <row r="80">
      <c r="A80" s="10"/>
      <c r="B80" s="10"/>
      <c r="C80" s="10"/>
      <c r="D80" s="10"/>
      <c r="E80" s="10"/>
      <c r="F80" s="10"/>
    </row>
    <row r="81">
      <c r="A81" s="10"/>
      <c r="B81" s="10"/>
      <c r="C81" s="10"/>
      <c r="D81" s="10"/>
      <c r="E81" s="10"/>
      <c r="F81" s="10"/>
    </row>
    <row r="82">
      <c r="A82" s="10"/>
      <c r="B82" s="10"/>
      <c r="C82" s="10"/>
      <c r="D82" s="10"/>
      <c r="E82" s="10"/>
      <c r="F82" s="10"/>
    </row>
    <row r="83">
      <c r="A83" s="10"/>
      <c r="B83" s="10"/>
      <c r="C83" s="10"/>
      <c r="D83" s="10"/>
      <c r="E83" s="10"/>
      <c r="F83" s="10"/>
    </row>
    <row r="84">
      <c r="A84" s="10"/>
      <c r="B84" s="10"/>
      <c r="C84" s="10"/>
      <c r="D84" s="10"/>
      <c r="E84" s="10"/>
      <c r="F84" s="10"/>
    </row>
    <row r="85">
      <c r="A85" s="10"/>
      <c r="B85" s="10"/>
      <c r="C85" s="10"/>
      <c r="D85" s="10"/>
      <c r="E85" s="10"/>
      <c r="F85" s="10"/>
    </row>
    <row r="86">
      <c r="A86" s="10"/>
      <c r="B86" s="10"/>
      <c r="C86" s="10"/>
      <c r="D86" s="10"/>
      <c r="E86" s="10"/>
      <c r="F86" s="10"/>
    </row>
    <row r="87">
      <c r="A87" s="10"/>
      <c r="B87" s="10"/>
      <c r="C87" s="10"/>
      <c r="D87" s="10"/>
      <c r="E87" s="10"/>
      <c r="F87" s="10"/>
    </row>
    <row r="88">
      <c r="A88" s="10"/>
      <c r="B88" s="10"/>
      <c r="C88" s="10"/>
      <c r="D88" s="10"/>
      <c r="E88" s="10"/>
      <c r="F88" s="10"/>
    </row>
    <row r="89">
      <c r="A89" s="10"/>
      <c r="B89" s="10"/>
      <c r="C89" s="10"/>
      <c r="D89" s="10"/>
      <c r="E89" s="10"/>
      <c r="F89" s="10"/>
    </row>
    <row r="90">
      <c r="A90" s="10"/>
      <c r="B90" s="10"/>
      <c r="C90" s="10"/>
      <c r="D90" s="10"/>
      <c r="E90" s="10"/>
      <c r="F90" s="10"/>
    </row>
    <row r="91">
      <c r="A91" s="10"/>
      <c r="B91" s="10"/>
      <c r="C91" s="10"/>
      <c r="D91" s="10"/>
      <c r="E91" s="10"/>
      <c r="F91" s="10"/>
    </row>
    <row r="92">
      <c r="A92" s="10"/>
      <c r="B92" s="10"/>
      <c r="C92" s="10"/>
      <c r="D92" s="10"/>
      <c r="E92" s="10"/>
      <c r="F92" s="10"/>
    </row>
    <row r="93">
      <c r="A93" s="10"/>
      <c r="B93" s="10"/>
      <c r="C93" s="10"/>
      <c r="D93" s="10"/>
      <c r="E93" s="10"/>
      <c r="F93" s="10"/>
    </row>
    <row r="94">
      <c r="A94" s="10"/>
      <c r="B94" s="10"/>
      <c r="C94" s="10"/>
      <c r="D94" s="10"/>
      <c r="E94" s="10"/>
      <c r="F94" s="10"/>
    </row>
    <row r="95">
      <c r="A95" s="10"/>
      <c r="B95" s="10"/>
      <c r="C95" s="10"/>
      <c r="D95" s="10"/>
      <c r="E95" s="10"/>
      <c r="F95" s="10"/>
    </row>
    <row r="96">
      <c r="A96" s="10"/>
      <c r="B96" s="10"/>
      <c r="C96" s="10"/>
      <c r="D96" s="10"/>
      <c r="E96" s="10"/>
      <c r="F96" s="10"/>
    </row>
    <row r="97">
      <c r="A97" s="10"/>
      <c r="B97" s="10"/>
      <c r="C97" s="10"/>
      <c r="D97" s="10"/>
      <c r="E97" s="10"/>
      <c r="F97" s="10"/>
    </row>
    <row r="98">
      <c r="A98" s="10"/>
      <c r="B98" s="10"/>
      <c r="C98" s="10"/>
      <c r="D98" s="10"/>
      <c r="E98" s="10"/>
      <c r="F98" s="10"/>
    </row>
    <row r="99">
      <c r="A99" s="10"/>
      <c r="B99" s="10"/>
      <c r="C99" s="10"/>
      <c r="D99" s="10"/>
      <c r="E99" s="10"/>
      <c r="F99" s="10"/>
    </row>
    <row r="100">
      <c r="A100" s="10"/>
      <c r="B100" s="10"/>
      <c r="C100" s="10"/>
      <c r="D100" s="10"/>
      <c r="E100" s="10"/>
      <c r="F100" s="10"/>
    </row>
    <row r="101">
      <c r="A101" s="10"/>
      <c r="B101" s="10"/>
      <c r="C101" s="10"/>
      <c r="D101" s="10"/>
      <c r="E101" s="10"/>
      <c r="F101" s="10"/>
    </row>
    <row r="102">
      <c r="A102" s="10"/>
      <c r="B102" s="10"/>
      <c r="C102" s="10"/>
      <c r="D102" s="10"/>
      <c r="E102" s="10"/>
      <c r="F102" s="10"/>
    </row>
    <row r="103">
      <c r="A103" s="10"/>
      <c r="B103" s="10"/>
      <c r="C103" s="10"/>
      <c r="D103" s="10"/>
      <c r="E103" s="10"/>
      <c r="F103" s="10"/>
    </row>
    <row r="104">
      <c r="A104" s="10"/>
      <c r="B104" s="10"/>
      <c r="C104" s="10"/>
      <c r="D104" s="10"/>
      <c r="E104" s="10"/>
      <c r="F104" s="10"/>
    </row>
    <row r="105">
      <c r="A105" s="10"/>
      <c r="B105" s="10"/>
      <c r="C105" s="10"/>
      <c r="D105" s="10"/>
      <c r="E105" s="10"/>
      <c r="F105" s="10"/>
    </row>
    <row r="106">
      <c r="A106" s="10"/>
      <c r="B106" s="10"/>
      <c r="C106" s="10"/>
      <c r="D106" s="10"/>
      <c r="E106" s="10"/>
      <c r="F106" s="10"/>
    </row>
    <row r="107">
      <c r="A107" s="10"/>
      <c r="B107" s="10"/>
      <c r="C107" s="10"/>
      <c r="D107" s="10"/>
      <c r="E107" s="10"/>
      <c r="F107" s="10"/>
    </row>
    <row r="108">
      <c r="A108" s="10"/>
      <c r="B108" s="10"/>
      <c r="C108" s="10"/>
      <c r="D108" s="10"/>
      <c r="E108" s="10"/>
      <c r="F108" s="10"/>
    </row>
    <row r="109">
      <c r="A109" s="10"/>
      <c r="B109" s="10"/>
      <c r="C109" s="10"/>
      <c r="D109" s="10"/>
      <c r="E109" s="10"/>
      <c r="F109" s="10"/>
    </row>
    <row r="110">
      <c r="A110" s="10"/>
      <c r="B110" s="10"/>
      <c r="C110" s="10"/>
      <c r="D110" s="10"/>
      <c r="E110" s="10"/>
      <c r="F110" s="10"/>
    </row>
    <row r="111">
      <c r="A111" s="10"/>
      <c r="B111" s="10"/>
      <c r="C111" s="10"/>
      <c r="D111" s="10"/>
      <c r="E111" s="10"/>
      <c r="F111" s="10"/>
    </row>
    <row r="112">
      <c r="A112" s="10"/>
      <c r="B112" s="10"/>
      <c r="C112" s="10"/>
      <c r="D112" s="10"/>
      <c r="E112" s="10"/>
      <c r="F112" s="10"/>
    </row>
    <row r="113">
      <c r="A113" s="10"/>
      <c r="B113" s="10"/>
      <c r="C113" s="10"/>
      <c r="D113" s="10"/>
      <c r="E113" s="10"/>
      <c r="F113" s="10"/>
    </row>
    <row r="114">
      <c r="A114" s="10"/>
      <c r="B114" s="10"/>
      <c r="C114" s="10"/>
      <c r="D114" s="10"/>
      <c r="E114" s="10"/>
      <c r="F114" s="10"/>
    </row>
    <row r="115">
      <c r="A115" s="10"/>
      <c r="B115" s="10"/>
      <c r="C115" s="10"/>
      <c r="D115" s="10"/>
      <c r="E115" s="10"/>
      <c r="F115" s="10"/>
    </row>
    <row r="116">
      <c r="A116" s="10"/>
      <c r="B116" s="10"/>
      <c r="C116" s="10"/>
      <c r="D116" s="10"/>
      <c r="E116" s="10"/>
      <c r="F116" s="10"/>
    </row>
    <row r="117">
      <c r="A117" s="10"/>
      <c r="B117" s="10"/>
      <c r="C117" s="10"/>
      <c r="D117" s="10"/>
      <c r="E117" s="10"/>
      <c r="F117" s="10"/>
    </row>
    <row r="118">
      <c r="A118" s="10"/>
      <c r="B118" s="10"/>
      <c r="C118" s="10"/>
      <c r="D118" s="10"/>
      <c r="E118" s="10"/>
      <c r="F118" s="10"/>
    </row>
    <row r="119">
      <c r="A119" s="10"/>
      <c r="B119" s="10"/>
      <c r="C119" s="10"/>
      <c r="D119" s="10"/>
      <c r="E119" s="10"/>
      <c r="F119" s="10"/>
    </row>
    <row r="120">
      <c r="A120" s="10"/>
      <c r="B120" s="10"/>
      <c r="C120" s="10"/>
      <c r="D120" s="10"/>
      <c r="E120" s="10"/>
      <c r="F120" s="10"/>
    </row>
    <row r="121">
      <c r="A121" s="10"/>
      <c r="B121" s="10"/>
      <c r="C121" s="10"/>
      <c r="D121" s="10"/>
      <c r="E121" s="10"/>
      <c r="F121" s="10"/>
    </row>
    <row r="122">
      <c r="A122" s="10"/>
      <c r="B122" s="10"/>
      <c r="C122" s="10"/>
      <c r="D122" s="10"/>
      <c r="E122" s="10"/>
      <c r="F122" s="10"/>
    </row>
    <row r="123">
      <c r="A123" s="10"/>
      <c r="B123" s="10"/>
      <c r="C123" s="10"/>
      <c r="D123" s="10"/>
      <c r="E123" s="10"/>
      <c r="F123" s="10"/>
    </row>
    <row r="124">
      <c r="A124" s="10"/>
      <c r="B124" s="10"/>
      <c r="C124" s="10"/>
      <c r="D124" s="10"/>
      <c r="E124" s="10"/>
      <c r="F124" s="10"/>
    </row>
    <row r="125">
      <c r="A125" s="10"/>
      <c r="B125" s="10"/>
      <c r="C125" s="10"/>
      <c r="D125" s="10"/>
      <c r="E125" s="10"/>
      <c r="F125" s="10"/>
    </row>
    <row r="126">
      <c r="A126" s="10"/>
      <c r="B126" s="10"/>
      <c r="C126" s="10"/>
      <c r="D126" s="10"/>
      <c r="E126" s="10"/>
      <c r="F126" s="10"/>
    </row>
    <row r="127">
      <c r="A127" s="10"/>
      <c r="B127" s="10"/>
      <c r="C127" s="10"/>
      <c r="D127" s="10"/>
      <c r="E127" s="10"/>
      <c r="F127" s="10"/>
    </row>
    <row r="128">
      <c r="A128" s="10"/>
      <c r="B128" s="10"/>
      <c r="C128" s="10"/>
      <c r="D128" s="10"/>
      <c r="E128" s="10"/>
      <c r="F128" s="10"/>
    </row>
    <row r="129">
      <c r="A129" s="10"/>
      <c r="B129" s="10"/>
      <c r="C129" s="10"/>
      <c r="D129" s="10"/>
      <c r="E129" s="10"/>
      <c r="F129" s="10"/>
    </row>
    <row r="130">
      <c r="A130" s="10"/>
      <c r="B130" s="10"/>
      <c r="C130" s="10"/>
      <c r="D130" s="10"/>
      <c r="E130" s="10"/>
      <c r="F130" s="10"/>
    </row>
    <row r="131">
      <c r="A131" s="10"/>
      <c r="B131" s="10"/>
      <c r="C131" s="10"/>
      <c r="D131" s="10"/>
      <c r="E131" s="10"/>
      <c r="F131" s="10"/>
    </row>
    <row r="132">
      <c r="A132" s="10"/>
      <c r="B132" s="10"/>
      <c r="C132" s="10"/>
      <c r="D132" s="10"/>
      <c r="E132" s="10"/>
      <c r="F132" s="10"/>
    </row>
    <row r="133">
      <c r="A133" s="10"/>
      <c r="B133" s="10"/>
      <c r="C133" s="10"/>
      <c r="D133" s="10"/>
      <c r="E133" s="10"/>
      <c r="F133" s="10"/>
    </row>
    <row r="134">
      <c r="A134" s="10"/>
      <c r="B134" s="10"/>
      <c r="C134" s="10"/>
      <c r="D134" s="10"/>
      <c r="E134" s="10"/>
      <c r="F134" s="10"/>
    </row>
    <row r="135">
      <c r="A135" s="10"/>
      <c r="B135" s="10"/>
      <c r="C135" s="10"/>
      <c r="D135" s="10"/>
      <c r="E135" s="10"/>
      <c r="F135" s="10"/>
    </row>
    <row r="136">
      <c r="A136" s="10"/>
      <c r="B136" s="10"/>
      <c r="C136" s="10"/>
      <c r="D136" s="10"/>
      <c r="E136" s="10"/>
      <c r="F136" s="10"/>
    </row>
    <row r="137">
      <c r="A137" s="10"/>
      <c r="B137" s="10"/>
      <c r="C137" s="10"/>
      <c r="D137" s="10"/>
      <c r="E137" s="10"/>
      <c r="F137" s="10"/>
    </row>
    <row r="138">
      <c r="A138" s="10"/>
      <c r="B138" s="10"/>
      <c r="C138" s="10"/>
      <c r="D138" s="10"/>
      <c r="E138" s="10"/>
      <c r="F138" s="10"/>
    </row>
    <row r="139">
      <c r="A139" s="10"/>
      <c r="B139" s="10"/>
      <c r="C139" s="10"/>
      <c r="D139" s="10"/>
      <c r="E139" s="10"/>
      <c r="F139" s="10"/>
    </row>
    <row r="140">
      <c r="A140" s="10"/>
      <c r="B140" s="10"/>
      <c r="C140" s="10"/>
      <c r="D140" s="10"/>
      <c r="E140" s="10"/>
      <c r="F140" s="10"/>
    </row>
    <row r="141">
      <c r="A141" s="10"/>
      <c r="B141" s="10"/>
      <c r="C141" s="10"/>
      <c r="D141" s="10"/>
      <c r="E141" s="10"/>
      <c r="F141" s="10"/>
    </row>
    <row r="142">
      <c r="A142" s="10"/>
      <c r="B142" s="10"/>
      <c r="C142" s="10"/>
      <c r="D142" s="10"/>
      <c r="E142" s="10"/>
      <c r="F142" s="10"/>
    </row>
    <row r="143">
      <c r="A143" s="10"/>
      <c r="B143" s="10"/>
      <c r="C143" s="10"/>
      <c r="D143" s="10"/>
      <c r="E143" s="10"/>
      <c r="F143" s="10"/>
    </row>
    <row r="144">
      <c r="A144" s="10"/>
      <c r="B144" s="10"/>
      <c r="C144" s="10"/>
      <c r="D144" s="10"/>
      <c r="E144" s="10"/>
      <c r="F144" s="10"/>
    </row>
    <row r="145">
      <c r="A145" s="10"/>
      <c r="B145" s="10"/>
      <c r="C145" s="10"/>
      <c r="D145" s="10"/>
      <c r="E145" s="10"/>
      <c r="F145" s="10"/>
    </row>
    <row r="146">
      <c r="A146" s="10"/>
      <c r="B146" s="10"/>
      <c r="C146" s="10"/>
      <c r="D146" s="10"/>
      <c r="E146" s="10"/>
      <c r="F146" s="10"/>
    </row>
    <row r="147">
      <c r="A147" s="10"/>
      <c r="B147" s="10"/>
      <c r="C147" s="10"/>
      <c r="D147" s="10"/>
      <c r="E147" s="10"/>
      <c r="F147" s="10"/>
    </row>
    <row r="148">
      <c r="A148" s="10"/>
      <c r="B148" s="10"/>
      <c r="C148" s="10"/>
      <c r="D148" s="10"/>
      <c r="E148" s="10"/>
      <c r="F148" s="10"/>
    </row>
    <row r="149">
      <c r="A149" s="10"/>
      <c r="B149" s="10"/>
      <c r="C149" s="10"/>
      <c r="D149" s="10"/>
      <c r="E149" s="10"/>
      <c r="F149" s="10"/>
    </row>
    <row r="150">
      <c r="A150" s="10"/>
      <c r="B150" s="10"/>
      <c r="C150" s="10"/>
      <c r="D150" s="10"/>
      <c r="E150" s="10"/>
      <c r="F150" s="10"/>
    </row>
    <row r="151">
      <c r="A151" s="10"/>
      <c r="B151" s="10"/>
      <c r="C151" s="10"/>
      <c r="D151" s="10"/>
      <c r="E151" s="10"/>
      <c r="F151" s="10"/>
    </row>
    <row r="152">
      <c r="A152" s="10"/>
      <c r="B152" s="10"/>
      <c r="C152" s="10"/>
      <c r="D152" s="10"/>
      <c r="E152" s="10"/>
      <c r="F152" s="10"/>
    </row>
    <row r="153">
      <c r="A153" s="10"/>
      <c r="B153" s="10"/>
      <c r="C153" s="10"/>
      <c r="D153" s="10"/>
      <c r="E153" s="10"/>
      <c r="F153" s="10"/>
    </row>
    <row r="154">
      <c r="A154" s="10"/>
      <c r="B154" s="10"/>
      <c r="C154" s="10"/>
      <c r="D154" s="10"/>
      <c r="E154" s="10"/>
      <c r="F154" s="10"/>
    </row>
    <row r="155">
      <c r="A155" s="10"/>
      <c r="B155" s="10"/>
      <c r="C155" s="10"/>
      <c r="D155" s="10"/>
      <c r="E155" s="10"/>
      <c r="F155" s="10"/>
    </row>
    <row r="156">
      <c r="A156" s="10"/>
      <c r="B156" s="10"/>
      <c r="C156" s="10"/>
      <c r="D156" s="10"/>
      <c r="E156" s="10"/>
      <c r="F156" s="10"/>
    </row>
    <row r="157">
      <c r="A157" s="10"/>
      <c r="B157" s="10"/>
      <c r="C157" s="10"/>
      <c r="D157" s="10"/>
      <c r="E157" s="10"/>
      <c r="F157" s="10"/>
    </row>
    <row r="158">
      <c r="A158" s="10"/>
      <c r="B158" s="10"/>
      <c r="C158" s="10"/>
      <c r="D158" s="10"/>
      <c r="E158" s="10"/>
      <c r="F158" s="10"/>
    </row>
    <row r="159">
      <c r="A159" s="10"/>
      <c r="B159" s="10"/>
      <c r="C159" s="10"/>
      <c r="D159" s="10"/>
      <c r="E159" s="10"/>
      <c r="F159" s="10"/>
    </row>
    <row r="160">
      <c r="A160" s="10"/>
      <c r="B160" s="10"/>
      <c r="C160" s="10"/>
      <c r="D160" s="10"/>
      <c r="E160" s="10"/>
      <c r="F160" s="10"/>
    </row>
    <row r="161">
      <c r="A161" s="10"/>
      <c r="B161" s="10"/>
      <c r="C161" s="10"/>
      <c r="D161" s="10"/>
      <c r="E161" s="10"/>
      <c r="F161" s="10"/>
    </row>
    <row r="162">
      <c r="A162" s="10"/>
      <c r="B162" s="10"/>
      <c r="C162" s="10"/>
      <c r="D162" s="10"/>
      <c r="E162" s="10"/>
      <c r="F162" s="10"/>
    </row>
    <row r="163">
      <c r="A163" s="10"/>
      <c r="B163" s="10"/>
      <c r="C163" s="10"/>
      <c r="D163" s="10"/>
      <c r="E163" s="10"/>
      <c r="F163" s="10"/>
    </row>
    <row r="164">
      <c r="A164" s="10"/>
      <c r="B164" s="10"/>
      <c r="C164" s="10"/>
      <c r="D164" s="10"/>
      <c r="E164" s="10"/>
      <c r="F164" s="10"/>
    </row>
    <row r="165">
      <c r="A165" s="10"/>
      <c r="B165" s="10"/>
      <c r="C165" s="10"/>
      <c r="D165" s="10"/>
      <c r="E165" s="10"/>
      <c r="F165" s="10"/>
    </row>
    <row r="166">
      <c r="A166" s="10"/>
      <c r="B166" s="10"/>
      <c r="C166" s="10"/>
      <c r="D166" s="10"/>
      <c r="E166" s="10"/>
      <c r="F166" s="10"/>
    </row>
    <row r="167">
      <c r="A167" s="10"/>
      <c r="B167" s="10"/>
      <c r="C167" s="10"/>
      <c r="D167" s="10"/>
      <c r="E167" s="10"/>
      <c r="F167" s="10"/>
    </row>
    <row r="168">
      <c r="A168" s="10"/>
      <c r="B168" s="10"/>
      <c r="C168" s="10"/>
      <c r="D168" s="10"/>
      <c r="E168" s="10"/>
      <c r="F168" s="10"/>
    </row>
    <row r="169">
      <c r="A169" s="10"/>
      <c r="B169" s="10"/>
      <c r="C169" s="10"/>
      <c r="D169" s="10"/>
      <c r="E169" s="10"/>
      <c r="F169" s="10"/>
    </row>
    <row r="170">
      <c r="A170" s="10"/>
      <c r="B170" s="10"/>
      <c r="C170" s="10"/>
      <c r="D170" s="10"/>
      <c r="E170" s="10"/>
      <c r="F170" s="10"/>
    </row>
    <row r="171">
      <c r="A171" s="10"/>
      <c r="B171" s="10"/>
      <c r="C171" s="10"/>
      <c r="D171" s="10"/>
      <c r="E171" s="10"/>
      <c r="F171" s="10"/>
    </row>
    <row r="172">
      <c r="A172" s="10"/>
      <c r="B172" s="10"/>
      <c r="C172" s="10"/>
      <c r="D172" s="10"/>
      <c r="E172" s="10"/>
      <c r="F172" s="10"/>
    </row>
    <row r="173">
      <c r="A173" s="10"/>
      <c r="B173" s="10"/>
      <c r="C173" s="10"/>
      <c r="D173" s="10"/>
      <c r="E173" s="10"/>
      <c r="F173" s="10"/>
    </row>
    <row r="174">
      <c r="A174" s="10"/>
      <c r="B174" s="10"/>
      <c r="C174" s="10"/>
      <c r="D174" s="10"/>
      <c r="E174" s="10"/>
      <c r="F174" s="10"/>
    </row>
    <row r="175">
      <c r="A175" s="10"/>
      <c r="B175" s="10"/>
      <c r="C175" s="10"/>
      <c r="D175" s="10"/>
      <c r="E175" s="10"/>
      <c r="F175" s="10"/>
    </row>
    <row r="176">
      <c r="A176" s="10"/>
      <c r="B176" s="10"/>
      <c r="C176" s="10"/>
      <c r="D176" s="10"/>
      <c r="E176" s="10"/>
      <c r="F176" s="10"/>
    </row>
    <row r="177">
      <c r="A177" s="10"/>
      <c r="B177" s="10"/>
      <c r="C177" s="10"/>
      <c r="D177" s="10"/>
      <c r="E177" s="10"/>
      <c r="F177" s="10"/>
    </row>
    <row r="178">
      <c r="A178" s="10"/>
      <c r="B178" s="10"/>
      <c r="C178" s="10"/>
      <c r="D178" s="10"/>
      <c r="E178" s="10"/>
      <c r="F178" s="10"/>
    </row>
    <row r="179">
      <c r="A179" s="10"/>
      <c r="B179" s="10"/>
      <c r="C179" s="10"/>
      <c r="D179" s="10"/>
      <c r="E179" s="10"/>
      <c r="F179" s="10"/>
    </row>
    <row r="180">
      <c r="A180" s="10"/>
      <c r="B180" s="10"/>
      <c r="C180" s="10"/>
      <c r="D180" s="10"/>
      <c r="E180" s="10"/>
      <c r="F180" s="10"/>
    </row>
    <row r="181">
      <c r="A181" s="10"/>
      <c r="B181" s="10"/>
      <c r="C181" s="10"/>
      <c r="D181" s="10"/>
      <c r="E181" s="10"/>
      <c r="F181" s="10"/>
    </row>
    <row r="182">
      <c r="A182" s="10"/>
      <c r="B182" s="10"/>
      <c r="C182" s="10"/>
      <c r="D182" s="10"/>
      <c r="E182" s="10"/>
      <c r="F182" s="10"/>
    </row>
    <row r="183">
      <c r="A183" s="10"/>
      <c r="B183" s="10"/>
      <c r="C183" s="10"/>
      <c r="D183" s="10"/>
      <c r="E183" s="10"/>
      <c r="F183" s="10"/>
    </row>
    <row r="184">
      <c r="A184" s="10"/>
      <c r="B184" s="10"/>
      <c r="C184" s="10"/>
      <c r="D184" s="10"/>
      <c r="E184" s="10"/>
      <c r="F184" s="10"/>
    </row>
    <row r="185">
      <c r="A185" s="10"/>
      <c r="B185" s="10"/>
      <c r="C185" s="10"/>
      <c r="D185" s="10"/>
      <c r="E185" s="10"/>
      <c r="F185" s="10"/>
    </row>
    <row r="186">
      <c r="A186" s="10"/>
      <c r="B186" s="10"/>
      <c r="C186" s="10"/>
      <c r="D186" s="10"/>
      <c r="E186" s="10"/>
      <c r="F186" s="10"/>
    </row>
    <row r="187">
      <c r="A187" s="10"/>
      <c r="B187" s="10"/>
      <c r="C187" s="10"/>
      <c r="D187" s="10"/>
      <c r="E187" s="10"/>
      <c r="F187" s="10"/>
    </row>
    <row r="188">
      <c r="A188" s="10"/>
      <c r="B188" s="10"/>
      <c r="C188" s="10"/>
      <c r="D188" s="10"/>
      <c r="E188" s="10"/>
      <c r="F188" s="10"/>
    </row>
    <row r="189">
      <c r="A189" s="10"/>
      <c r="B189" s="10"/>
      <c r="C189" s="10"/>
      <c r="D189" s="10"/>
      <c r="E189" s="10"/>
      <c r="F189" s="10"/>
    </row>
    <row r="190">
      <c r="A190" s="10"/>
      <c r="B190" s="10"/>
      <c r="C190" s="10"/>
      <c r="D190" s="10"/>
      <c r="E190" s="10"/>
      <c r="F190" s="10"/>
    </row>
    <row r="191">
      <c r="A191" s="10"/>
      <c r="B191" s="10"/>
      <c r="C191" s="10"/>
      <c r="D191" s="10"/>
      <c r="E191" s="10"/>
      <c r="F191" s="10"/>
    </row>
    <row r="192">
      <c r="A192" s="10"/>
      <c r="B192" s="10"/>
      <c r="C192" s="10"/>
      <c r="D192" s="10"/>
      <c r="E192" s="10"/>
      <c r="F192" s="10"/>
    </row>
    <row r="193">
      <c r="A193" s="10"/>
      <c r="B193" s="10"/>
      <c r="C193" s="10"/>
      <c r="D193" s="10"/>
      <c r="E193" s="10"/>
      <c r="F193" s="10"/>
    </row>
    <row r="194">
      <c r="A194" s="10"/>
      <c r="B194" s="10"/>
      <c r="C194" s="10"/>
      <c r="D194" s="10"/>
      <c r="E194" s="10"/>
      <c r="F194" s="10"/>
    </row>
    <row r="195">
      <c r="A195" s="10"/>
      <c r="B195" s="10"/>
      <c r="C195" s="10"/>
      <c r="D195" s="10"/>
      <c r="E195" s="10"/>
      <c r="F195" s="10"/>
    </row>
    <row r="196">
      <c r="A196" s="10"/>
      <c r="B196" s="10"/>
      <c r="C196" s="10"/>
      <c r="D196" s="10"/>
      <c r="E196" s="10"/>
      <c r="F196" s="10"/>
    </row>
    <row r="197">
      <c r="A197" s="10"/>
      <c r="B197" s="10"/>
      <c r="C197" s="10"/>
      <c r="D197" s="10"/>
      <c r="E197" s="10"/>
      <c r="F197" s="10"/>
    </row>
    <row r="198">
      <c r="A198" s="10"/>
      <c r="B198" s="10"/>
      <c r="C198" s="10"/>
      <c r="D198" s="10"/>
      <c r="E198" s="10"/>
      <c r="F198" s="10"/>
    </row>
    <row r="199">
      <c r="A199" s="10"/>
      <c r="B199" s="10"/>
      <c r="C199" s="10"/>
      <c r="D199" s="10"/>
      <c r="E199" s="10"/>
      <c r="F199" s="10"/>
    </row>
    <row r="200">
      <c r="A200" s="10"/>
      <c r="B200" s="10"/>
      <c r="C200" s="10"/>
      <c r="D200" s="10"/>
      <c r="E200" s="10"/>
      <c r="F200" s="10"/>
    </row>
    <row r="201">
      <c r="A201" s="10"/>
      <c r="B201" s="10"/>
      <c r="C201" s="10"/>
      <c r="D201" s="10"/>
      <c r="E201" s="10"/>
      <c r="F201" s="10"/>
    </row>
    <row r="202">
      <c r="A202" s="10"/>
      <c r="B202" s="10"/>
      <c r="C202" s="10"/>
      <c r="D202" s="10"/>
      <c r="E202" s="10"/>
      <c r="F202" s="10"/>
    </row>
    <row r="203">
      <c r="A203" s="10"/>
      <c r="B203" s="10"/>
      <c r="C203" s="10"/>
      <c r="D203" s="10"/>
      <c r="E203" s="10"/>
      <c r="F203" s="10"/>
    </row>
    <row r="204">
      <c r="A204" s="10"/>
      <c r="B204" s="10"/>
      <c r="C204" s="10"/>
      <c r="D204" s="10"/>
      <c r="E204" s="10"/>
      <c r="F204" s="10"/>
    </row>
    <row r="205">
      <c r="A205" s="10"/>
      <c r="B205" s="10"/>
      <c r="C205" s="10"/>
      <c r="D205" s="10"/>
      <c r="E205" s="10"/>
      <c r="F205" s="10"/>
    </row>
    <row r="206">
      <c r="A206" s="10"/>
      <c r="B206" s="10"/>
      <c r="C206" s="10"/>
      <c r="D206" s="10"/>
      <c r="E206" s="10"/>
      <c r="F206" s="10"/>
    </row>
    <row r="207">
      <c r="A207" s="10"/>
      <c r="B207" s="10"/>
      <c r="C207" s="10"/>
      <c r="D207" s="10"/>
      <c r="E207" s="10"/>
      <c r="F207" s="10"/>
    </row>
    <row r="208">
      <c r="A208" s="10"/>
      <c r="B208" s="10"/>
      <c r="C208" s="10"/>
      <c r="D208" s="10"/>
      <c r="E208" s="10"/>
      <c r="F208" s="10"/>
    </row>
    <row r="209">
      <c r="A209" s="10"/>
      <c r="B209" s="10"/>
      <c r="C209" s="10"/>
      <c r="D209" s="10"/>
      <c r="E209" s="10"/>
      <c r="F209" s="10"/>
    </row>
    <row r="210">
      <c r="A210" s="10"/>
      <c r="B210" s="10"/>
      <c r="C210" s="10"/>
      <c r="D210" s="10"/>
      <c r="E210" s="10"/>
      <c r="F210" s="10"/>
    </row>
    <row r="211">
      <c r="A211" s="10"/>
      <c r="B211" s="10"/>
      <c r="C211" s="10"/>
      <c r="D211" s="10"/>
      <c r="E211" s="10"/>
      <c r="F211" s="10"/>
    </row>
    <row r="212">
      <c r="A212" s="10"/>
      <c r="B212" s="10"/>
      <c r="C212" s="10"/>
      <c r="D212" s="10"/>
      <c r="E212" s="10"/>
      <c r="F212" s="10"/>
    </row>
    <row r="213">
      <c r="A213" s="10"/>
      <c r="B213" s="10"/>
      <c r="C213" s="10"/>
      <c r="D213" s="10"/>
      <c r="E213" s="10"/>
      <c r="F213" s="10"/>
    </row>
    <row r="214">
      <c r="A214" s="10"/>
      <c r="B214" s="10"/>
      <c r="C214" s="10"/>
      <c r="D214" s="10"/>
      <c r="E214" s="10"/>
      <c r="F214" s="10"/>
    </row>
    <row r="215">
      <c r="A215" s="10"/>
      <c r="B215" s="10"/>
      <c r="C215" s="10"/>
      <c r="D215" s="10"/>
      <c r="E215" s="10"/>
      <c r="F215" s="10"/>
    </row>
    <row r="216">
      <c r="A216" s="10"/>
      <c r="B216" s="10"/>
      <c r="C216" s="10"/>
      <c r="D216" s="10"/>
      <c r="E216" s="10"/>
      <c r="F216" s="10"/>
    </row>
    <row r="217">
      <c r="A217" s="10"/>
      <c r="B217" s="10"/>
      <c r="C217" s="10"/>
      <c r="D217" s="10"/>
      <c r="E217" s="10"/>
      <c r="F217" s="10"/>
    </row>
    <row r="218">
      <c r="A218" s="10"/>
      <c r="B218" s="10"/>
      <c r="C218" s="10"/>
      <c r="D218" s="10"/>
      <c r="E218" s="10"/>
      <c r="F218" s="10"/>
    </row>
    <row r="219">
      <c r="A219" s="10"/>
      <c r="B219" s="10"/>
      <c r="C219" s="10"/>
      <c r="D219" s="10"/>
      <c r="E219" s="10"/>
      <c r="F219" s="10"/>
    </row>
    <row r="220">
      <c r="A220" s="10"/>
      <c r="B220" s="10"/>
      <c r="C220" s="10"/>
      <c r="D220" s="10"/>
      <c r="E220" s="10"/>
      <c r="F220" s="10"/>
    </row>
    <row r="221">
      <c r="A221" s="10"/>
      <c r="B221" s="10"/>
      <c r="C221" s="10"/>
      <c r="D221" s="10"/>
      <c r="E221" s="10"/>
      <c r="F221" s="10"/>
    </row>
    <row r="222">
      <c r="A222" s="10"/>
      <c r="B222" s="10"/>
      <c r="C222" s="10"/>
      <c r="D222" s="10"/>
      <c r="E222" s="10"/>
      <c r="F222" s="10"/>
    </row>
    <row r="223">
      <c r="A223" s="10"/>
      <c r="B223" s="10"/>
      <c r="C223" s="10"/>
      <c r="D223" s="10"/>
      <c r="E223" s="10"/>
      <c r="F223" s="10"/>
    </row>
    <row r="224">
      <c r="A224" s="10"/>
      <c r="B224" s="10"/>
      <c r="C224" s="10"/>
      <c r="D224" s="10"/>
      <c r="E224" s="10"/>
      <c r="F224" s="10"/>
    </row>
    <row r="225">
      <c r="A225" s="10"/>
      <c r="B225" s="10"/>
      <c r="C225" s="10"/>
      <c r="D225" s="10"/>
      <c r="E225" s="10"/>
      <c r="F225" s="10"/>
    </row>
    <row r="226">
      <c r="A226" s="10"/>
      <c r="B226" s="10"/>
      <c r="C226" s="10"/>
      <c r="D226" s="10"/>
      <c r="E226" s="10"/>
      <c r="F226" s="10"/>
    </row>
    <row r="227">
      <c r="A227" s="10"/>
      <c r="B227" s="10"/>
      <c r="C227" s="10"/>
      <c r="D227" s="10"/>
      <c r="E227" s="10"/>
      <c r="F227" s="10"/>
    </row>
    <row r="228">
      <c r="A228" s="10"/>
      <c r="B228" s="10"/>
      <c r="C228" s="10"/>
      <c r="D228" s="10"/>
      <c r="E228" s="10"/>
      <c r="F228" s="10"/>
    </row>
    <row r="229">
      <c r="A229" s="10"/>
      <c r="B229" s="10"/>
      <c r="C229" s="10"/>
      <c r="D229" s="10"/>
      <c r="E229" s="10"/>
      <c r="F229" s="10"/>
    </row>
    <row r="230">
      <c r="A230" s="10"/>
      <c r="B230" s="10"/>
      <c r="C230" s="10"/>
      <c r="D230" s="10"/>
      <c r="E230" s="10"/>
      <c r="F230" s="10"/>
    </row>
    <row r="231">
      <c r="A231" s="10"/>
      <c r="B231" s="10"/>
      <c r="C231" s="10"/>
      <c r="D231" s="10"/>
      <c r="E231" s="10"/>
      <c r="F231" s="10"/>
    </row>
    <row r="232">
      <c r="A232" s="10"/>
      <c r="B232" s="10"/>
      <c r="C232" s="10"/>
      <c r="D232" s="10"/>
      <c r="E232" s="10"/>
      <c r="F232" s="10"/>
    </row>
    <row r="233">
      <c r="A233" s="10"/>
      <c r="B233" s="10"/>
      <c r="C233" s="10"/>
      <c r="D233" s="10"/>
      <c r="E233" s="10"/>
      <c r="F233" s="10"/>
    </row>
    <row r="234">
      <c r="A234" s="10"/>
      <c r="B234" s="10"/>
      <c r="C234" s="10"/>
      <c r="D234" s="10"/>
      <c r="E234" s="10"/>
      <c r="F234" s="10"/>
    </row>
    <row r="235">
      <c r="A235" s="10"/>
      <c r="B235" s="10"/>
      <c r="C235" s="10"/>
      <c r="D235" s="10"/>
      <c r="E235" s="10"/>
      <c r="F235" s="10"/>
    </row>
    <row r="236">
      <c r="A236" s="10"/>
      <c r="B236" s="10"/>
      <c r="C236" s="10"/>
      <c r="D236" s="10"/>
      <c r="E236" s="10"/>
      <c r="F236" s="10"/>
    </row>
    <row r="237">
      <c r="A237" s="10"/>
      <c r="B237" s="10"/>
      <c r="C237" s="10"/>
      <c r="D237" s="10"/>
      <c r="E237" s="10"/>
      <c r="F237" s="10"/>
    </row>
    <row r="238">
      <c r="A238" s="10"/>
      <c r="B238" s="10"/>
      <c r="C238" s="10"/>
      <c r="D238" s="10"/>
      <c r="E238" s="10"/>
      <c r="F238" s="10"/>
    </row>
    <row r="239">
      <c r="A239" s="10"/>
      <c r="B239" s="10"/>
      <c r="C239" s="10"/>
      <c r="D239" s="10"/>
      <c r="E239" s="10"/>
      <c r="F239" s="10"/>
    </row>
    <row r="240">
      <c r="A240" s="10"/>
      <c r="B240" s="10"/>
      <c r="C240" s="10"/>
      <c r="D240" s="10"/>
      <c r="E240" s="10"/>
      <c r="F240" s="10"/>
    </row>
    <row r="241">
      <c r="A241" s="10"/>
      <c r="B241" s="10"/>
      <c r="C241" s="10"/>
      <c r="D241" s="10"/>
      <c r="E241" s="10"/>
      <c r="F241" s="10"/>
    </row>
    <row r="242">
      <c r="A242" s="10"/>
      <c r="B242" s="10"/>
      <c r="C242" s="10"/>
      <c r="D242" s="10"/>
      <c r="E242" s="10"/>
      <c r="F242" s="10"/>
    </row>
    <row r="243">
      <c r="A243" s="10"/>
      <c r="B243" s="10"/>
      <c r="C243" s="10"/>
      <c r="D243" s="10"/>
      <c r="E243" s="10"/>
      <c r="F243" s="10"/>
    </row>
    <row r="244">
      <c r="A244" s="10"/>
      <c r="B244" s="10"/>
      <c r="C244" s="10"/>
      <c r="D244" s="10"/>
      <c r="E244" s="10"/>
      <c r="F244" s="10"/>
    </row>
    <row r="245">
      <c r="A245" s="10"/>
      <c r="B245" s="10"/>
      <c r="C245" s="10"/>
      <c r="D245" s="10"/>
      <c r="E245" s="10"/>
      <c r="F245" s="10"/>
    </row>
    <row r="246">
      <c r="A246" s="10"/>
      <c r="B246" s="10"/>
      <c r="C246" s="10"/>
      <c r="D246" s="10"/>
      <c r="E246" s="10"/>
      <c r="F246" s="10"/>
    </row>
    <row r="247">
      <c r="A247" s="10"/>
      <c r="B247" s="10"/>
      <c r="C247" s="10"/>
      <c r="D247" s="10"/>
      <c r="E247" s="10"/>
      <c r="F247" s="10"/>
    </row>
    <row r="248">
      <c r="A248" s="10"/>
      <c r="B248" s="10"/>
      <c r="C248" s="10"/>
      <c r="D248" s="10"/>
      <c r="E248" s="10"/>
      <c r="F248" s="10"/>
    </row>
    <row r="249">
      <c r="A249" s="10"/>
      <c r="B249" s="10"/>
      <c r="C249" s="10"/>
      <c r="D249" s="10"/>
      <c r="E249" s="10"/>
      <c r="F249" s="10"/>
    </row>
    <row r="250">
      <c r="A250" s="10"/>
      <c r="B250" s="10"/>
      <c r="C250" s="10"/>
      <c r="D250" s="10"/>
      <c r="E250" s="10"/>
      <c r="F250" s="10"/>
    </row>
    <row r="251">
      <c r="A251" s="10"/>
      <c r="B251" s="10"/>
      <c r="C251" s="10"/>
      <c r="D251" s="10"/>
      <c r="E251" s="10"/>
      <c r="F251" s="10"/>
    </row>
    <row r="252">
      <c r="A252" s="10"/>
      <c r="B252" s="10"/>
      <c r="C252" s="10"/>
      <c r="D252" s="10"/>
      <c r="E252" s="10"/>
      <c r="F252" s="10"/>
    </row>
    <row r="253">
      <c r="A253" s="10"/>
      <c r="B253" s="10"/>
      <c r="C253" s="10"/>
      <c r="D253" s="10"/>
      <c r="E253" s="10"/>
      <c r="F253" s="10"/>
    </row>
    <row r="254">
      <c r="A254" s="10"/>
      <c r="B254" s="10"/>
      <c r="C254" s="10"/>
      <c r="D254" s="10"/>
      <c r="E254" s="10"/>
      <c r="F254" s="10"/>
    </row>
    <row r="255">
      <c r="A255" s="10"/>
      <c r="B255" s="10"/>
      <c r="C255" s="10"/>
      <c r="D255" s="10"/>
      <c r="E255" s="10"/>
      <c r="F255" s="10"/>
    </row>
    <row r="256">
      <c r="A256" s="10"/>
      <c r="B256" s="10"/>
      <c r="C256" s="10"/>
      <c r="D256" s="10"/>
      <c r="E256" s="10"/>
      <c r="F256" s="10"/>
    </row>
    <row r="257">
      <c r="A257" s="10"/>
      <c r="B257" s="10"/>
      <c r="C257" s="10"/>
      <c r="D257" s="10"/>
      <c r="E257" s="10"/>
      <c r="F257" s="10"/>
    </row>
    <row r="258">
      <c r="A258" s="10"/>
      <c r="B258" s="10"/>
      <c r="C258" s="10"/>
      <c r="D258" s="10"/>
      <c r="E258" s="10"/>
      <c r="F258" s="10"/>
    </row>
    <row r="259">
      <c r="A259" s="10"/>
      <c r="B259" s="10"/>
      <c r="C259" s="10"/>
      <c r="D259" s="10"/>
      <c r="E259" s="10"/>
      <c r="F259" s="10"/>
    </row>
    <row r="260">
      <c r="A260" s="10"/>
      <c r="B260" s="10"/>
      <c r="C260" s="10"/>
      <c r="D260" s="10"/>
      <c r="E260" s="10"/>
      <c r="F260" s="10"/>
    </row>
    <row r="261">
      <c r="A261" s="10"/>
      <c r="B261" s="10"/>
      <c r="C261" s="10"/>
      <c r="D261" s="10"/>
      <c r="E261" s="10"/>
      <c r="F261" s="10"/>
    </row>
    <row r="262">
      <c r="A262" s="10"/>
      <c r="B262" s="10"/>
      <c r="C262" s="10"/>
      <c r="D262" s="10"/>
      <c r="E262" s="10"/>
      <c r="F262" s="10"/>
    </row>
    <row r="263">
      <c r="A263" s="10"/>
      <c r="B263" s="10"/>
      <c r="C263" s="10"/>
      <c r="D263" s="10"/>
      <c r="E263" s="10"/>
      <c r="F263" s="10"/>
    </row>
    <row r="264">
      <c r="A264" s="10"/>
      <c r="B264" s="10"/>
      <c r="C264" s="10"/>
      <c r="D264" s="10"/>
      <c r="E264" s="10"/>
      <c r="F264" s="10"/>
    </row>
    <row r="265">
      <c r="A265" s="10"/>
      <c r="B265" s="10"/>
      <c r="C265" s="10"/>
      <c r="D265" s="10"/>
      <c r="E265" s="10"/>
      <c r="F265" s="10"/>
    </row>
    <row r="266">
      <c r="A266" s="10"/>
      <c r="B266" s="10"/>
      <c r="C266" s="10"/>
      <c r="D266" s="10"/>
      <c r="E266" s="10"/>
      <c r="F266" s="10"/>
    </row>
    <row r="267">
      <c r="A267" s="10"/>
      <c r="B267" s="10"/>
      <c r="C267" s="10"/>
      <c r="D267" s="10"/>
      <c r="E267" s="10"/>
      <c r="F267" s="10"/>
    </row>
    <row r="268">
      <c r="A268" s="10"/>
      <c r="B268" s="10"/>
      <c r="C268" s="10"/>
      <c r="D268" s="10"/>
      <c r="E268" s="10"/>
      <c r="F268" s="10"/>
    </row>
    <row r="269">
      <c r="A269" s="10"/>
      <c r="B269" s="10"/>
      <c r="C269" s="10"/>
      <c r="D269" s="10"/>
      <c r="E269" s="10"/>
      <c r="F269" s="10"/>
    </row>
    <row r="270">
      <c r="A270" s="10"/>
      <c r="B270" s="10"/>
      <c r="C270" s="10"/>
      <c r="D270" s="10"/>
      <c r="E270" s="10"/>
      <c r="F270" s="10"/>
    </row>
    <row r="271">
      <c r="A271" s="10"/>
      <c r="B271" s="10"/>
      <c r="C271" s="10"/>
      <c r="D271" s="10"/>
      <c r="E271" s="10"/>
      <c r="F271" s="10"/>
    </row>
    <row r="272">
      <c r="A272" s="10"/>
      <c r="B272" s="10"/>
      <c r="C272" s="10"/>
      <c r="D272" s="10"/>
      <c r="E272" s="10"/>
      <c r="F272" s="10"/>
    </row>
    <row r="273">
      <c r="A273" s="10"/>
      <c r="B273" s="10"/>
      <c r="C273" s="10"/>
      <c r="D273" s="10"/>
      <c r="E273" s="10"/>
      <c r="F273" s="10"/>
    </row>
    <row r="274">
      <c r="A274" s="10"/>
      <c r="B274" s="10"/>
      <c r="C274" s="10"/>
      <c r="D274" s="10"/>
      <c r="E274" s="10"/>
      <c r="F274" s="10"/>
    </row>
    <row r="275">
      <c r="A275" s="10"/>
      <c r="B275" s="10"/>
      <c r="C275" s="10"/>
      <c r="D275" s="10"/>
      <c r="E275" s="10"/>
      <c r="F275" s="10"/>
    </row>
    <row r="276">
      <c r="A276" s="10"/>
      <c r="B276" s="10"/>
      <c r="C276" s="10"/>
      <c r="D276" s="10"/>
      <c r="E276" s="10"/>
      <c r="F276" s="10"/>
    </row>
    <row r="277">
      <c r="A277" s="10"/>
      <c r="B277" s="10"/>
      <c r="C277" s="10"/>
      <c r="D277" s="10"/>
      <c r="E277" s="10"/>
      <c r="F277" s="10"/>
    </row>
    <row r="278">
      <c r="A278" s="10"/>
      <c r="B278" s="10"/>
      <c r="C278" s="10"/>
      <c r="D278" s="10"/>
      <c r="E278" s="10"/>
      <c r="F278" s="10"/>
    </row>
    <row r="279">
      <c r="A279" s="10"/>
      <c r="B279" s="10"/>
      <c r="C279" s="10"/>
      <c r="D279" s="10"/>
      <c r="E279" s="10"/>
      <c r="F279" s="10"/>
    </row>
    <row r="280">
      <c r="A280" s="10"/>
      <c r="B280" s="10"/>
      <c r="C280" s="10"/>
      <c r="D280" s="10"/>
      <c r="E280" s="10"/>
      <c r="F280" s="10"/>
    </row>
    <row r="281">
      <c r="A281" s="10"/>
      <c r="B281" s="10"/>
      <c r="C281" s="10"/>
      <c r="D281" s="10"/>
      <c r="E281" s="10"/>
      <c r="F281" s="10"/>
    </row>
    <row r="282">
      <c r="A282" s="10"/>
      <c r="B282" s="10"/>
      <c r="C282" s="10"/>
      <c r="D282" s="10"/>
      <c r="E282" s="10"/>
      <c r="F282" s="10"/>
    </row>
    <row r="283">
      <c r="A283" s="10"/>
      <c r="B283" s="10"/>
      <c r="C283" s="10"/>
      <c r="D283" s="10"/>
      <c r="E283" s="10"/>
      <c r="F283" s="10"/>
    </row>
    <row r="284">
      <c r="A284" s="10"/>
      <c r="B284" s="10"/>
      <c r="C284" s="10"/>
      <c r="D284" s="10"/>
      <c r="E284" s="10"/>
      <c r="F284" s="10"/>
    </row>
    <row r="285">
      <c r="A285" s="10"/>
      <c r="B285" s="10"/>
      <c r="C285" s="10"/>
      <c r="D285" s="10"/>
      <c r="E285" s="10"/>
      <c r="F285" s="10"/>
    </row>
    <row r="286">
      <c r="A286" s="10"/>
      <c r="B286" s="10"/>
      <c r="C286" s="10"/>
      <c r="D286" s="10"/>
      <c r="E286" s="10"/>
      <c r="F286" s="10"/>
    </row>
    <row r="287">
      <c r="A287" s="10"/>
      <c r="B287" s="10"/>
      <c r="C287" s="10"/>
      <c r="D287" s="10"/>
      <c r="E287" s="10"/>
      <c r="F287" s="10"/>
    </row>
    <row r="288">
      <c r="A288" s="10"/>
      <c r="B288" s="10"/>
      <c r="C288" s="10"/>
      <c r="D288" s="10"/>
      <c r="E288" s="10"/>
      <c r="F288" s="10"/>
    </row>
    <row r="289">
      <c r="A289" s="10"/>
      <c r="B289" s="10"/>
      <c r="C289" s="10"/>
      <c r="D289" s="10"/>
      <c r="E289" s="10"/>
      <c r="F289" s="10"/>
    </row>
    <row r="290">
      <c r="A290" s="10"/>
      <c r="B290" s="10"/>
      <c r="C290" s="10"/>
      <c r="D290" s="10"/>
      <c r="E290" s="10"/>
      <c r="F290" s="10"/>
    </row>
    <row r="291">
      <c r="A291" s="10"/>
      <c r="B291" s="10"/>
      <c r="C291" s="10"/>
      <c r="D291" s="10"/>
      <c r="E291" s="10"/>
      <c r="F291" s="10"/>
    </row>
    <row r="292">
      <c r="A292" s="10"/>
      <c r="B292" s="10"/>
      <c r="C292" s="10"/>
      <c r="D292" s="10"/>
      <c r="E292" s="10"/>
      <c r="F292" s="10"/>
    </row>
    <row r="293">
      <c r="A293" s="10"/>
      <c r="B293" s="10"/>
      <c r="C293" s="10"/>
      <c r="D293" s="10"/>
      <c r="E293" s="10"/>
      <c r="F293" s="10"/>
    </row>
    <row r="294">
      <c r="A294" s="10"/>
      <c r="B294" s="10"/>
      <c r="C294" s="10"/>
      <c r="D294" s="10"/>
      <c r="E294" s="10"/>
      <c r="F294" s="10"/>
    </row>
    <row r="295">
      <c r="A295" s="10"/>
      <c r="B295" s="10"/>
      <c r="C295" s="10"/>
      <c r="D295" s="10"/>
      <c r="E295" s="10"/>
      <c r="F295" s="10"/>
    </row>
    <row r="296">
      <c r="A296" s="10"/>
      <c r="B296" s="10"/>
      <c r="C296" s="10"/>
      <c r="D296" s="10"/>
      <c r="E296" s="10"/>
      <c r="F296" s="10"/>
    </row>
    <row r="297">
      <c r="A297" s="10"/>
      <c r="B297" s="10"/>
      <c r="C297" s="10"/>
      <c r="D297" s="10"/>
      <c r="E297" s="10"/>
      <c r="F297" s="10"/>
    </row>
    <row r="298">
      <c r="A298" s="10"/>
      <c r="B298" s="10"/>
      <c r="C298" s="10"/>
      <c r="D298" s="10"/>
      <c r="E298" s="10"/>
      <c r="F298" s="10"/>
    </row>
    <row r="299">
      <c r="A299" s="10"/>
      <c r="B299" s="10"/>
      <c r="C299" s="10"/>
      <c r="D299" s="10"/>
      <c r="E299" s="10"/>
      <c r="F299" s="10"/>
    </row>
    <row r="300">
      <c r="A300" s="10"/>
      <c r="B300" s="10"/>
      <c r="C300" s="10"/>
      <c r="D300" s="10"/>
      <c r="E300" s="10"/>
      <c r="F300" s="10"/>
    </row>
    <row r="301">
      <c r="A301" s="10"/>
      <c r="B301" s="10"/>
      <c r="C301" s="10"/>
      <c r="D301" s="10"/>
      <c r="E301" s="10"/>
      <c r="F301" s="10"/>
    </row>
    <row r="302">
      <c r="A302" s="10"/>
      <c r="B302" s="10"/>
      <c r="C302" s="10"/>
      <c r="D302" s="10"/>
      <c r="E302" s="10"/>
      <c r="F302" s="10"/>
    </row>
    <row r="303">
      <c r="A303" s="10"/>
      <c r="B303" s="10"/>
      <c r="C303" s="10"/>
      <c r="D303" s="10"/>
      <c r="E303" s="10"/>
      <c r="F303" s="10"/>
    </row>
    <row r="304">
      <c r="A304" s="10"/>
      <c r="B304" s="10"/>
      <c r="C304" s="10"/>
      <c r="D304" s="10"/>
      <c r="E304" s="10"/>
      <c r="F304" s="10"/>
    </row>
    <row r="305">
      <c r="A305" s="10"/>
      <c r="B305" s="10"/>
      <c r="C305" s="10"/>
      <c r="D305" s="10"/>
      <c r="E305" s="10"/>
      <c r="F305" s="10"/>
    </row>
    <row r="306">
      <c r="A306" s="10"/>
      <c r="B306" s="10"/>
      <c r="C306" s="10"/>
      <c r="D306" s="10"/>
      <c r="E306" s="10"/>
      <c r="F306" s="10"/>
    </row>
    <row r="307">
      <c r="A307" s="10"/>
      <c r="B307" s="10"/>
      <c r="C307" s="10"/>
      <c r="D307" s="10"/>
      <c r="E307" s="10"/>
      <c r="F307" s="10"/>
    </row>
    <row r="308">
      <c r="A308" s="10"/>
      <c r="B308" s="10"/>
      <c r="C308" s="10"/>
      <c r="D308" s="10"/>
      <c r="E308" s="10"/>
      <c r="F308" s="10"/>
    </row>
    <row r="309">
      <c r="A309" s="10"/>
      <c r="B309" s="10"/>
      <c r="C309" s="10"/>
      <c r="D309" s="10"/>
      <c r="E309" s="10"/>
      <c r="F309" s="10"/>
    </row>
    <row r="310">
      <c r="A310" s="10"/>
      <c r="B310" s="10"/>
      <c r="C310" s="10"/>
      <c r="D310" s="10"/>
      <c r="E310" s="10"/>
      <c r="F310" s="10"/>
    </row>
    <row r="311">
      <c r="A311" s="10"/>
      <c r="B311" s="10"/>
      <c r="C311" s="10"/>
      <c r="D311" s="10"/>
      <c r="E311" s="10"/>
      <c r="F311" s="10"/>
    </row>
    <row r="312">
      <c r="A312" s="10"/>
      <c r="B312" s="10"/>
      <c r="C312" s="10"/>
      <c r="D312" s="10"/>
      <c r="E312" s="10"/>
      <c r="F312" s="10"/>
    </row>
    <row r="313">
      <c r="A313" s="10"/>
      <c r="B313" s="10"/>
      <c r="C313" s="10"/>
      <c r="D313" s="10"/>
      <c r="E313" s="10"/>
      <c r="F313" s="10"/>
    </row>
    <row r="314">
      <c r="A314" s="10"/>
      <c r="B314" s="10"/>
      <c r="C314" s="10"/>
      <c r="D314" s="10"/>
      <c r="E314" s="10"/>
      <c r="F314" s="10"/>
    </row>
    <row r="315">
      <c r="A315" s="10"/>
      <c r="B315" s="10"/>
      <c r="C315" s="10"/>
      <c r="D315" s="10"/>
      <c r="E315" s="10"/>
      <c r="F315" s="10"/>
    </row>
    <row r="316">
      <c r="A316" s="10"/>
      <c r="B316" s="10"/>
      <c r="C316" s="10"/>
      <c r="D316" s="10"/>
      <c r="E316" s="10"/>
      <c r="F316" s="10"/>
    </row>
    <row r="317">
      <c r="A317" s="10"/>
      <c r="B317" s="10"/>
      <c r="C317" s="10"/>
      <c r="D317" s="10"/>
      <c r="E317" s="10"/>
      <c r="F317" s="10"/>
    </row>
    <row r="318">
      <c r="A318" s="10"/>
      <c r="B318" s="10"/>
      <c r="C318" s="10"/>
      <c r="D318" s="10"/>
      <c r="E318" s="10"/>
      <c r="F318" s="10"/>
    </row>
    <row r="319">
      <c r="A319" s="10"/>
      <c r="B319" s="10"/>
      <c r="C319" s="10"/>
      <c r="D319" s="10"/>
      <c r="E319" s="10"/>
      <c r="F319" s="10"/>
    </row>
    <row r="320">
      <c r="A320" s="10"/>
      <c r="B320" s="10"/>
      <c r="C320" s="10"/>
      <c r="D320" s="10"/>
      <c r="E320" s="10"/>
      <c r="F320" s="10"/>
    </row>
    <row r="321">
      <c r="A321" s="10"/>
      <c r="B321" s="10"/>
      <c r="C321" s="10"/>
      <c r="D321" s="10"/>
      <c r="E321" s="10"/>
      <c r="F321" s="10"/>
    </row>
    <row r="322">
      <c r="A322" s="10"/>
      <c r="B322" s="10"/>
      <c r="C322" s="10"/>
      <c r="D322" s="10"/>
      <c r="E322" s="10"/>
      <c r="F322" s="10"/>
    </row>
    <row r="323">
      <c r="A323" s="10"/>
      <c r="B323" s="10"/>
      <c r="C323" s="10"/>
      <c r="D323" s="10"/>
      <c r="E323" s="10"/>
      <c r="F323" s="10"/>
    </row>
    <row r="324">
      <c r="A324" s="10"/>
      <c r="B324" s="10"/>
      <c r="C324" s="10"/>
      <c r="D324" s="10"/>
      <c r="E324" s="10"/>
      <c r="F324" s="10"/>
    </row>
    <row r="325">
      <c r="A325" s="10"/>
      <c r="B325" s="10"/>
      <c r="C325" s="10"/>
      <c r="D325" s="10"/>
      <c r="E325" s="10"/>
      <c r="F325" s="10"/>
    </row>
    <row r="326">
      <c r="A326" s="10"/>
      <c r="B326" s="10"/>
      <c r="C326" s="10"/>
      <c r="D326" s="10"/>
      <c r="E326" s="10"/>
      <c r="F326" s="10"/>
    </row>
    <row r="327">
      <c r="A327" s="10"/>
      <c r="B327" s="10"/>
      <c r="C327" s="10"/>
      <c r="D327" s="10"/>
      <c r="E327" s="10"/>
      <c r="F327" s="10"/>
    </row>
    <row r="328">
      <c r="A328" s="10"/>
      <c r="B328" s="10"/>
      <c r="C328" s="10"/>
      <c r="D328" s="10"/>
      <c r="E328" s="10"/>
      <c r="F328" s="10"/>
    </row>
    <row r="329">
      <c r="A329" s="10"/>
      <c r="B329" s="10"/>
      <c r="C329" s="10"/>
      <c r="D329" s="10"/>
      <c r="E329" s="10"/>
      <c r="F329" s="10"/>
    </row>
    <row r="330">
      <c r="A330" s="10"/>
      <c r="B330" s="10"/>
      <c r="C330" s="10"/>
      <c r="D330" s="10"/>
      <c r="E330" s="10"/>
      <c r="F330" s="10"/>
    </row>
    <row r="331">
      <c r="A331" s="10"/>
      <c r="B331" s="10"/>
      <c r="C331" s="10"/>
      <c r="D331" s="10"/>
      <c r="E331" s="10"/>
      <c r="F331" s="10"/>
    </row>
    <row r="332">
      <c r="A332" s="10"/>
      <c r="B332" s="10"/>
      <c r="C332" s="10"/>
      <c r="D332" s="10"/>
      <c r="E332" s="10"/>
      <c r="F332" s="10"/>
    </row>
    <row r="333">
      <c r="A333" s="10"/>
      <c r="B333" s="10"/>
      <c r="C333" s="10"/>
      <c r="D333" s="10"/>
      <c r="E333" s="10"/>
      <c r="F333" s="10"/>
    </row>
    <row r="334">
      <c r="A334" s="10"/>
      <c r="B334" s="10"/>
      <c r="C334" s="10"/>
      <c r="D334" s="10"/>
      <c r="E334" s="10"/>
      <c r="F334" s="10"/>
    </row>
    <row r="335">
      <c r="A335" s="10"/>
      <c r="B335" s="10"/>
      <c r="C335" s="10"/>
      <c r="D335" s="10"/>
      <c r="E335" s="10"/>
      <c r="F335" s="10"/>
    </row>
    <row r="336">
      <c r="A336" s="10"/>
      <c r="B336" s="10"/>
      <c r="C336" s="10"/>
      <c r="D336" s="10"/>
      <c r="E336" s="10"/>
      <c r="F336" s="10"/>
    </row>
    <row r="337">
      <c r="A337" s="10"/>
      <c r="B337" s="10"/>
      <c r="C337" s="10"/>
      <c r="D337" s="10"/>
      <c r="E337" s="10"/>
      <c r="F337" s="10"/>
    </row>
    <row r="338">
      <c r="A338" s="10"/>
      <c r="B338" s="10"/>
      <c r="C338" s="10"/>
      <c r="D338" s="10"/>
      <c r="E338" s="10"/>
      <c r="F338" s="10"/>
    </row>
    <row r="339">
      <c r="A339" s="10"/>
      <c r="B339" s="10"/>
      <c r="C339" s="10"/>
      <c r="D339" s="10"/>
      <c r="E339" s="10"/>
      <c r="F339" s="10"/>
    </row>
    <row r="340">
      <c r="A340" s="10"/>
      <c r="B340" s="10"/>
      <c r="C340" s="10"/>
      <c r="D340" s="10"/>
      <c r="E340" s="10"/>
      <c r="F340" s="10"/>
    </row>
    <row r="341">
      <c r="A341" s="10"/>
      <c r="B341" s="10"/>
      <c r="C341" s="10"/>
      <c r="D341" s="10"/>
      <c r="E341" s="10"/>
      <c r="F341" s="10"/>
    </row>
    <row r="342">
      <c r="A342" s="10"/>
      <c r="B342" s="10"/>
      <c r="C342" s="10"/>
      <c r="D342" s="10"/>
      <c r="E342" s="10"/>
      <c r="F342" s="10"/>
    </row>
    <row r="343">
      <c r="A343" s="10"/>
      <c r="B343" s="10"/>
      <c r="C343" s="10"/>
      <c r="D343" s="10"/>
      <c r="E343" s="10"/>
      <c r="F343" s="10"/>
    </row>
    <row r="344">
      <c r="A344" s="10"/>
      <c r="B344" s="10"/>
      <c r="C344" s="10"/>
      <c r="D344" s="10"/>
      <c r="E344" s="10"/>
      <c r="F344" s="10"/>
    </row>
    <row r="345">
      <c r="A345" s="10"/>
      <c r="B345" s="10"/>
      <c r="C345" s="10"/>
      <c r="D345" s="10"/>
      <c r="E345" s="10"/>
      <c r="F345" s="10"/>
    </row>
    <row r="346">
      <c r="A346" s="10"/>
      <c r="B346" s="10"/>
      <c r="C346" s="10"/>
      <c r="D346" s="10"/>
      <c r="E346" s="10"/>
      <c r="F346" s="10"/>
    </row>
    <row r="347">
      <c r="A347" s="10"/>
      <c r="B347" s="10"/>
      <c r="C347" s="10"/>
      <c r="D347" s="10"/>
      <c r="E347" s="10"/>
      <c r="F347" s="10"/>
    </row>
    <row r="348">
      <c r="A348" s="10"/>
      <c r="B348" s="10"/>
      <c r="C348" s="10"/>
      <c r="D348" s="10"/>
      <c r="E348" s="10"/>
      <c r="F348" s="10"/>
    </row>
    <row r="349">
      <c r="A349" s="10"/>
      <c r="B349" s="10"/>
      <c r="C349" s="10"/>
      <c r="D349" s="10"/>
      <c r="E349" s="10"/>
      <c r="F349" s="10"/>
    </row>
    <row r="350">
      <c r="A350" s="10"/>
      <c r="B350" s="10"/>
      <c r="C350" s="10"/>
      <c r="D350" s="10"/>
      <c r="E350" s="10"/>
      <c r="F350" s="10"/>
    </row>
    <row r="351">
      <c r="A351" s="10"/>
      <c r="B351" s="10"/>
      <c r="C351" s="10"/>
      <c r="D351" s="10"/>
      <c r="E351" s="10"/>
      <c r="F351" s="10"/>
    </row>
    <row r="352">
      <c r="A352" s="10"/>
      <c r="B352" s="10"/>
      <c r="C352" s="10"/>
      <c r="D352" s="10"/>
      <c r="E352" s="10"/>
      <c r="F352" s="10"/>
    </row>
    <row r="353">
      <c r="A353" s="10"/>
      <c r="B353" s="10"/>
      <c r="C353" s="10"/>
      <c r="D353" s="10"/>
      <c r="E353" s="10"/>
      <c r="F353" s="10"/>
    </row>
    <row r="354">
      <c r="A354" s="10"/>
      <c r="B354" s="10"/>
      <c r="C354" s="10"/>
      <c r="D354" s="10"/>
      <c r="E354" s="10"/>
      <c r="F354" s="10"/>
    </row>
    <row r="355">
      <c r="A355" s="10"/>
      <c r="B355" s="10"/>
      <c r="C355" s="10"/>
      <c r="D355" s="10"/>
      <c r="E355" s="10"/>
      <c r="F355" s="10"/>
    </row>
    <row r="356">
      <c r="A356" s="10"/>
      <c r="B356" s="10"/>
      <c r="C356" s="10"/>
      <c r="D356" s="10"/>
      <c r="E356" s="10"/>
      <c r="F356" s="10"/>
    </row>
    <row r="357">
      <c r="A357" s="10"/>
      <c r="B357" s="10"/>
      <c r="C357" s="10"/>
      <c r="D357" s="10"/>
      <c r="E357" s="10"/>
      <c r="F357" s="10"/>
    </row>
    <row r="358">
      <c r="A358" s="10"/>
      <c r="B358" s="10"/>
      <c r="C358" s="10"/>
      <c r="D358" s="10"/>
      <c r="E358" s="10"/>
      <c r="F358" s="10"/>
    </row>
    <row r="359">
      <c r="A359" s="10"/>
      <c r="B359" s="10"/>
      <c r="C359" s="10"/>
      <c r="D359" s="10"/>
      <c r="E359" s="10"/>
      <c r="F359" s="10"/>
    </row>
    <row r="360">
      <c r="A360" s="10"/>
      <c r="B360" s="10"/>
      <c r="C360" s="10"/>
      <c r="D360" s="10"/>
      <c r="E360" s="10"/>
      <c r="F360" s="10"/>
    </row>
    <row r="361">
      <c r="A361" s="10"/>
      <c r="B361" s="10"/>
      <c r="C361" s="10"/>
      <c r="D361" s="10"/>
      <c r="E361" s="10"/>
      <c r="F361" s="10"/>
    </row>
    <row r="362">
      <c r="A362" s="10"/>
      <c r="B362" s="10"/>
      <c r="C362" s="10"/>
      <c r="D362" s="10"/>
      <c r="E362" s="10"/>
      <c r="F362" s="10"/>
    </row>
    <row r="363">
      <c r="A363" s="10"/>
      <c r="B363" s="10"/>
      <c r="C363" s="10"/>
      <c r="D363" s="10"/>
      <c r="E363" s="10"/>
      <c r="F363" s="10"/>
    </row>
    <row r="364">
      <c r="A364" s="10"/>
      <c r="B364" s="10"/>
      <c r="C364" s="10"/>
      <c r="D364" s="10"/>
      <c r="E364" s="10"/>
      <c r="F364" s="10"/>
    </row>
    <row r="365">
      <c r="A365" s="10"/>
      <c r="B365" s="10"/>
      <c r="C365" s="10"/>
      <c r="D365" s="10"/>
      <c r="E365" s="10"/>
      <c r="F365" s="10"/>
    </row>
    <row r="366">
      <c r="A366" s="10"/>
      <c r="B366" s="10"/>
      <c r="C366" s="10"/>
      <c r="D366" s="10"/>
      <c r="E366" s="10"/>
      <c r="F366" s="10"/>
    </row>
    <row r="367">
      <c r="A367" s="10"/>
      <c r="B367" s="10"/>
      <c r="C367" s="10"/>
      <c r="D367" s="10"/>
      <c r="E367" s="10"/>
      <c r="F367" s="10"/>
    </row>
    <row r="368">
      <c r="A368" s="10"/>
      <c r="B368" s="10"/>
      <c r="C368" s="10"/>
      <c r="D368" s="10"/>
      <c r="E368" s="10"/>
      <c r="F368" s="10"/>
    </row>
    <row r="369">
      <c r="A369" s="10"/>
      <c r="B369" s="10"/>
      <c r="C369" s="10"/>
      <c r="D369" s="10"/>
      <c r="E369" s="10"/>
      <c r="F369" s="10"/>
    </row>
    <row r="370">
      <c r="A370" s="10"/>
      <c r="B370" s="10"/>
      <c r="C370" s="10"/>
      <c r="D370" s="10"/>
      <c r="E370" s="10"/>
      <c r="F370" s="10"/>
    </row>
    <row r="371">
      <c r="A371" s="10"/>
      <c r="B371" s="10"/>
      <c r="C371" s="10"/>
      <c r="D371" s="10"/>
      <c r="E371" s="10"/>
      <c r="F371" s="10"/>
    </row>
    <row r="372">
      <c r="A372" s="10"/>
      <c r="B372" s="10"/>
      <c r="C372" s="10"/>
      <c r="D372" s="10"/>
      <c r="E372" s="10"/>
      <c r="F372" s="10"/>
    </row>
    <row r="373">
      <c r="A373" s="10"/>
      <c r="B373" s="10"/>
      <c r="C373" s="10"/>
      <c r="D373" s="10"/>
      <c r="E373" s="10"/>
      <c r="F373" s="10"/>
    </row>
    <row r="374">
      <c r="A374" s="10"/>
      <c r="B374" s="10"/>
      <c r="C374" s="10"/>
      <c r="D374" s="10"/>
      <c r="E374" s="10"/>
      <c r="F374" s="10"/>
    </row>
    <row r="375">
      <c r="A375" s="10"/>
      <c r="B375" s="10"/>
      <c r="C375" s="10"/>
      <c r="D375" s="10"/>
      <c r="E375" s="10"/>
      <c r="F375" s="10"/>
    </row>
    <row r="376">
      <c r="A376" s="10"/>
      <c r="B376" s="10"/>
      <c r="C376" s="10"/>
      <c r="D376" s="10"/>
      <c r="E376" s="10"/>
      <c r="F376" s="10"/>
    </row>
    <row r="377">
      <c r="A377" s="10"/>
      <c r="B377" s="10"/>
      <c r="C377" s="10"/>
      <c r="D377" s="10"/>
      <c r="E377" s="10"/>
      <c r="F377" s="10"/>
    </row>
    <row r="378">
      <c r="A378" s="10"/>
      <c r="B378" s="10"/>
      <c r="C378" s="10"/>
      <c r="D378" s="10"/>
      <c r="E378" s="10"/>
      <c r="F378" s="10"/>
    </row>
    <row r="379">
      <c r="A379" s="10"/>
      <c r="B379" s="10"/>
      <c r="C379" s="10"/>
      <c r="D379" s="10"/>
      <c r="E379" s="10"/>
      <c r="F379" s="10"/>
    </row>
    <row r="380">
      <c r="A380" s="10"/>
      <c r="B380" s="10"/>
      <c r="C380" s="10"/>
      <c r="D380" s="10"/>
      <c r="E380" s="10"/>
      <c r="F380" s="10"/>
    </row>
    <row r="381">
      <c r="A381" s="10"/>
      <c r="B381" s="10"/>
      <c r="C381" s="10"/>
      <c r="D381" s="10"/>
      <c r="E381" s="10"/>
      <c r="F381" s="10"/>
    </row>
    <row r="382">
      <c r="A382" s="10"/>
      <c r="B382" s="10"/>
      <c r="C382" s="10"/>
      <c r="D382" s="10"/>
      <c r="E382" s="10"/>
      <c r="F382" s="10"/>
    </row>
    <row r="383">
      <c r="A383" s="10"/>
      <c r="B383" s="10"/>
      <c r="C383" s="10"/>
      <c r="D383" s="10"/>
      <c r="E383" s="10"/>
      <c r="F383" s="10"/>
    </row>
    <row r="384">
      <c r="A384" s="10"/>
      <c r="B384" s="10"/>
      <c r="C384" s="10"/>
      <c r="D384" s="10"/>
      <c r="E384" s="10"/>
      <c r="F384" s="10"/>
    </row>
    <row r="385">
      <c r="A385" s="10"/>
      <c r="B385" s="10"/>
      <c r="C385" s="10"/>
      <c r="D385" s="10"/>
      <c r="E385" s="10"/>
      <c r="F385" s="10"/>
    </row>
    <row r="386">
      <c r="A386" s="10"/>
      <c r="B386" s="10"/>
      <c r="C386" s="10"/>
      <c r="D386" s="10"/>
      <c r="E386" s="10"/>
      <c r="F386" s="10"/>
    </row>
    <row r="387">
      <c r="A387" s="10"/>
      <c r="B387" s="10"/>
      <c r="C387" s="10"/>
      <c r="D387" s="10"/>
      <c r="E387" s="10"/>
      <c r="F387" s="10"/>
    </row>
    <row r="388">
      <c r="A388" s="10"/>
      <c r="B388" s="10"/>
      <c r="C388" s="10"/>
      <c r="D388" s="10"/>
      <c r="E388" s="10"/>
      <c r="F388" s="10"/>
    </row>
    <row r="389">
      <c r="A389" s="10"/>
      <c r="B389" s="10"/>
      <c r="C389" s="10"/>
      <c r="D389" s="10"/>
      <c r="E389" s="10"/>
      <c r="F389" s="10"/>
    </row>
    <row r="390">
      <c r="A390" s="10"/>
      <c r="B390" s="10"/>
      <c r="C390" s="10"/>
      <c r="D390" s="10"/>
      <c r="E390" s="10"/>
      <c r="F390" s="10"/>
    </row>
    <row r="391">
      <c r="A391" s="10"/>
      <c r="B391" s="10"/>
      <c r="C391" s="10"/>
      <c r="D391" s="10"/>
      <c r="E391" s="10"/>
      <c r="F391" s="10"/>
    </row>
    <row r="392">
      <c r="A392" s="10"/>
      <c r="B392" s="10"/>
      <c r="C392" s="10"/>
      <c r="D392" s="10"/>
      <c r="E392" s="10"/>
      <c r="F392" s="10"/>
    </row>
    <row r="393">
      <c r="A393" s="10"/>
      <c r="B393" s="10"/>
      <c r="C393" s="10"/>
      <c r="D393" s="10"/>
      <c r="E393" s="10"/>
      <c r="F393" s="10"/>
    </row>
    <row r="394">
      <c r="A394" s="10"/>
      <c r="B394" s="10"/>
      <c r="C394" s="10"/>
      <c r="D394" s="10"/>
      <c r="E394" s="10"/>
      <c r="F394" s="10"/>
    </row>
    <row r="395">
      <c r="A395" s="10"/>
      <c r="B395" s="10"/>
      <c r="C395" s="10"/>
      <c r="D395" s="10"/>
      <c r="E395" s="10"/>
      <c r="F395" s="10"/>
    </row>
    <row r="396">
      <c r="A396" s="10"/>
      <c r="B396" s="10"/>
      <c r="C396" s="10"/>
      <c r="D396" s="10"/>
      <c r="E396" s="10"/>
      <c r="F396" s="10"/>
    </row>
    <row r="397">
      <c r="A397" s="10"/>
      <c r="B397" s="10"/>
      <c r="C397" s="10"/>
      <c r="D397" s="10"/>
      <c r="E397" s="10"/>
      <c r="F397" s="10"/>
    </row>
    <row r="398">
      <c r="A398" s="10"/>
      <c r="B398" s="10"/>
      <c r="C398" s="10"/>
      <c r="D398" s="10"/>
      <c r="E398" s="10"/>
      <c r="F398" s="10"/>
    </row>
    <row r="399">
      <c r="A399" s="10"/>
      <c r="B399" s="10"/>
      <c r="C399" s="10"/>
      <c r="D399" s="10"/>
      <c r="E399" s="10"/>
      <c r="F399" s="10"/>
    </row>
    <row r="400">
      <c r="A400" s="10"/>
      <c r="B400" s="10"/>
      <c r="C400" s="10"/>
      <c r="D400" s="10"/>
      <c r="E400" s="10"/>
      <c r="F400" s="10"/>
    </row>
    <row r="401">
      <c r="A401" s="10"/>
      <c r="B401" s="10"/>
      <c r="C401" s="10"/>
      <c r="D401" s="10"/>
      <c r="E401" s="10"/>
      <c r="F401" s="10"/>
    </row>
    <row r="402">
      <c r="A402" s="10"/>
      <c r="B402" s="10"/>
      <c r="C402" s="10"/>
      <c r="D402" s="10"/>
      <c r="E402" s="10"/>
      <c r="F402" s="10"/>
    </row>
    <row r="403">
      <c r="A403" s="10"/>
      <c r="B403" s="10"/>
      <c r="C403" s="10"/>
      <c r="D403" s="10"/>
      <c r="E403" s="10"/>
      <c r="F403" s="10"/>
    </row>
    <row r="404">
      <c r="A404" s="10"/>
      <c r="B404" s="10"/>
      <c r="C404" s="10"/>
      <c r="D404" s="10"/>
      <c r="E404" s="10"/>
      <c r="F404" s="10"/>
    </row>
    <row r="405">
      <c r="A405" s="10"/>
      <c r="B405" s="10"/>
      <c r="C405" s="10"/>
      <c r="D405" s="10"/>
      <c r="E405" s="10"/>
      <c r="F405" s="10"/>
    </row>
    <row r="406">
      <c r="A406" s="10"/>
      <c r="B406" s="10"/>
      <c r="C406" s="10"/>
      <c r="D406" s="10"/>
      <c r="E406" s="10"/>
      <c r="F406" s="10"/>
    </row>
    <row r="407">
      <c r="A407" s="10"/>
      <c r="B407" s="10"/>
      <c r="C407" s="10"/>
      <c r="D407" s="10"/>
      <c r="E407" s="10"/>
      <c r="F407" s="10"/>
    </row>
    <row r="408">
      <c r="A408" s="10"/>
      <c r="B408" s="10"/>
      <c r="C408" s="10"/>
      <c r="D408" s="10"/>
      <c r="E408" s="10"/>
      <c r="F408" s="10"/>
    </row>
    <row r="409">
      <c r="A409" s="10"/>
      <c r="B409" s="10"/>
      <c r="C409" s="10"/>
      <c r="D409" s="10"/>
      <c r="E409" s="10"/>
      <c r="F409" s="10"/>
    </row>
    <row r="410">
      <c r="A410" s="10"/>
      <c r="B410" s="10"/>
      <c r="C410" s="10"/>
      <c r="D410" s="10"/>
      <c r="E410" s="10"/>
      <c r="F410" s="10"/>
    </row>
    <row r="411">
      <c r="A411" s="10"/>
      <c r="B411" s="10"/>
      <c r="C411" s="10"/>
      <c r="D411" s="10"/>
      <c r="E411" s="10"/>
      <c r="F411" s="10"/>
    </row>
    <row r="412">
      <c r="A412" s="10"/>
      <c r="B412" s="10"/>
      <c r="C412" s="10"/>
      <c r="D412" s="10"/>
      <c r="E412" s="10"/>
      <c r="F412" s="10"/>
    </row>
    <row r="413">
      <c r="A413" s="10"/>
      <c r="B413" s="10"/>
      <c r="C413" s="10"/>
      <c r="D413" s="10"/>
      <c r="E413" s="10"/>
      <c r="F413" s="10"/>
    </row>
    <row r="414">
      <c r="A414" s="10"/>
      <c r="B414" s="10"/>
      <c r="C414" s="10"/>
      <c r="D414" s="10"/>
      <c r="E414" s="10"/>
      <c r="F414" s="10"/>
    </row>
    <row r="415">
      <c r="A415" s="10"/>
      <c r="B415" s="10"/>
      <c r="C415" s="10"/>
      <c r="D415" s="10"/>
      <c r="E415" s="10"/>
      <c r="F415" s="10"/>
    </row>
    <row r="416">
      <c r="A416" s="10"/>
      <c r="B416" s="10"/>
      <c r="C416" s="10"/>
      <c r="D416" s="10"/>
      <c r="E416" s="10"/>
      <c r="F416" s="10"/>
    </row>
    <row r="417">
      <c r="A417" s="10"/>
      <c r="B417" s="10"/>
      <c r="C417" s="10"/>
      <c r="D417" s="10"/>
      <c r="E417" s="10"/>
      <c r="F417" s="10"/>
    </row>
    <row r="418">
      <c r="A418" s="10"/>
      <c r="B418" s="10"/>
      <c r="C418" s="10"/>
      <c r="D418" s="10"/>
      <c r="E418" s="10"/>
      <c r="F418" s="10"/>
    </row>
    <row r="419">
      <c r="A419" s="10"/>
      <c r="B419" s="10"/>
      <c r="C419" s="10"/>
      <c r="D419" s="10"/>
      <c r="E419" s="10"/>
      <c r="F419" s="10"/>
    </row>
    <row r="420">
      <c r="A420" s="10"/>
      <c r="B420" s="10"/>
      <c r="C420" s="10"/>
      <c r="D420" s="10"/>
      <c r="E420" s="10"/>
      <c r="F420" s="10"/>
    </row>
    <row r="421">
      <c r="A421" s="10"/>
      <c r="B421" s="10"/>
      <c r="C421" s="10"/>
      <c r="D421" s="10"/>
      <c r="E421" s="10"/>
      <c r="F421" s="10"/>
    </row>
    <row r="422">
      <c r="A422" s="10"/>
      <c r="B422" s="10"/>
      <c r="C422" s="10"/>
      <c r="D422" s="10"/>
      <c r="E422" s="10"/>
      <c r="F422" s="10"/>
    </row>
    <row r="423">
      <c r="A423" s="10"/>
      <c r="B423" s="10"/>
      <c r="C423" s="10"/>
      <c r="D423" s="10"/>
      <c r="E423" s="10"/>
      <c r="F423" s="10"/>
    </row>
    <row r="424">
      <c r="A424" s="10"/>
      <c r="B424" s="10"/>
      <c r="C424" s="10"/>
      <c r="D424" s="10"/>
      <c r="E424" s="10"/>
      <c r="F424" s="10"/>
    </row>
    <row r="425">
      <c r="A425" s="10"/>
      <c r="B425" s="10"/>
      <c r="C425" s="10"/>
      <c r="D425" s="10"/>
      <c r="E425" s="10"/>
      <c r="F425" s="10"/>
    </row>
    <row r="426">
      <c r="A426" s="10"/>
      <c r="B426" s="10"/>
      <c r="C426" s="10"/>
      <c r="D426" s="10"/>
      <c r="E426" s="10"/>
      <c r="F426" s="10"/>
    </row>
    <row r="427">
      <c r="A427" s="10"/>
      <c r="B427" s="10"/>
      <c r="C427" s="10"/>
      <c r="D427" s="10"/>
      <c r="E427" s="10"/>
      <c r="F427" s="10"/>
    </row>
    <row r="428">
      <c r="A428" s="10"/>
      <c r="B428" s="10"/>
      <c r="C428" s="10"/>
      <c r="D428" s="10"/>
      <c r="E428" s="10"/>
      <c r="F428" s="10"/>
    </row>
    <row r="429">
      <c r="A429" s="10"/>
      <c r="B429" s="10"/>
      <c r="C429" s="10"/>
      <c r="D429" s="10"/>
      <c r="E429" s="10"/>
      <c r="F429" s="10"/>
    </row>
    <row r="430">
      <c r="A430" s="10"/>
      <c r="B430" s="10"/>
      <c r="C430" s="10"/>
      <c r="D430" s="10"/>
      <c r="E430" s="10"/>
      <c r="F430" s="10"/>
    </row>
    <row r="431">
      <c r="A431" s="10"/>
      <c r="B431" s="10"/>
      <c r="C431" s="10"/>
      <c r="D431" s="10"/>
      <c r="E431" s="10"/>
      <c r="F431" s="10"/>
    </row>
    <row r="432">
      <c r="A432" s="10"/>
      <c r="B432" s="10"/>
      <c r="C432" s="10"/>
      <c r="D432" s="10"/>
      <c r="E432" s="10"/>
      <c r="F432" s="10"/>
    </row>
    <row r="433">
      <c r="A433" s="10"/>
      <c r="B433" s="10"/>
      <c r="C433" s="10"/>
      <c r="D433" s="10"/>
      <c r="E433" s="10"/>
      <c r="F433" s="10"/>
    </row>
    <row r="434">
      <c r="A434" s="10"/>
      <c r="B434" s="10"/>
      <c r="C434" s="10"/>
      <c r="D434" s="10"/>
      <c r="E434" s="10"/>
      <c r="F434" s="10"/>
    </row>
    <row r="435">
      <c r="A435" s="10"/>
      <c r="B435" s="10"/>
      <c r="C435" s="10"/>
      <c r="D435" s="10"/>
      <c r="E435" s="10"/>
      <c r="F435" s="10"/>
    </row>
    <row r="436">
      <c r="A436" s="10"/>
      <c r="B436" s="10"/>
      <c r="C436" s="10"/>
      <c r="D436" s="10"/>
      <c r="E436" s="10"/>
      <c r="F436" s="10"/>
    </row>
    <row r="437">
      <c r="A437" s="10"/>
      <c r="B437" s="10"/>
      <c r="C437" s="10"/>
      <c r="D437" s="10"/>
      <c r="E437" s="10"/>
      <c r="F437" s="10"/>
    </row>
    <row r="438">
      <c r="A438" s="10"/>
      <c r="B438" s="10"/>
      <c r="C438" s="10"/>
      <c r="D438" s="10"/>
      <c r="E438" s="10"/>
      <c r="F438" s="10"/>
    </row>
    <row r="439">
      <c r="A439" s="10"/>
      <c r="B439" s="10"/>
      <c r="C439" s="10"/>
      <c r="D439" s="10"/>
      <c r="E439" s="10"/>
      <c r="F439" s="10"/>
    </row>
    <row r="440">
      <c r="A440" s="10"/>
      <c r="B440" s="10"/>
      <c r="C440" s="10"/>
      <c r="D440" s="10"/>
      <c r="E440" s="10"/>
      <c r="F440" s="10"/>
    </row>
    <row r="441">
      <c r="A441" s="10"/>
      <c r="B441" s="10"/>
      <c r="C441" s="10"/>
      <c r="D441" s="10"/>
      <c r="E441" s="10"/>
      <c r="F441" s="10"/>
    </row>
    <row r="442">
      <c r="A442" s="10"/>
      <c r="B442" s="10"/>
      <c r="C442" s="10"/>
      <c r="D442" s="10"/>
      <c r="E442" s="10"/>
      <c r="F442" s="10"/>
    </row>
    <row r="443">
      <c r="A443" s="10"/>
      <c r="B443" s="10"/>
      <c r="C443" s="10"/>
      <c r="D443" s="10"/>
      <c r="E443" s="10"/>
      <c r="F443" s="10"/>
    </row>
    <row r="444">
      <c r="A444" s="10"/>
      <c r="B444" s="10"/>
      <c r="C444" s="10"/>
      <c r="D444" s="10"/>
      <c r="E444" s="10"/>
      <c r="F444" s="10"/>
    </row>
    <row r="445">
      <c r="A445" s="10"/>
      <c r="B445" s="10"/>
      <c r="C445" s="10"/>
      <c r="D445" s="10"/>
      <c r="E445" s="10"/>
      <c r="F445" s="10"/>
    </row>
    <row r="446">
      <c r="A446" s="10"/>
      <c r="B446" s="10"/>
      <c r="C446" s="10"/>
      <c r="D446" s="10"/>
      <c r="E446" s="10"/>
      <c r="F446" s="10"/>
    </row>
    <row r="447">
      <c r="A447" s="10"/>
      <c r="B447" s="10"/>
      <c r="C447" s="10"/>
      <c r="D447" s="10"/>
      <c r="E447" s="10"/>
      <c r="F447" s="10"/>
    </row>
    <row r="448">
      <c r="A448" s="10"/>
      <c r="B448" s="10"/>
      <c r="C448" s="10"/>
      <c r="D448" s="10"/>
      <c r="E448" s="10"/>
      <c r="F448" s="10"/>
    </row>
    <row r="449">
      <c r="A449" s="10"/>
      <c r="B449" s="10"/>
      <c r="C449" s="10"/>
      <c r="D449" s="10"/>
      <c r="E449" s="10"/>
      <c r="F449" s="10"/>
    </row>
    <row r="450">
      <c r="A450" s="10"/>
      <c r="B450" s="10"/>
      <c r="C450" s="10"/>
      <c r="D450" s="10"/>
      <c r="E450" s="10"/>
      <c r="F450" s="10"/>
    </row>
    <row r="451">
      <c r="A451" s="10"/>
      <c r="B451" s="10"/>
      <c r="C451" s="10"/>
      <c r="D451" s="10"/>
      <c r="E451" s="10"/>
      <c r="F451" s="10"/>
    </row>
    <row r="452">
      <c r="A452" s="10"/>
      <c r="B452" s="10"/>
      <c r="C452" s="10"/>
      <c r="D452" s="10"/>
      <c r="E452" s="10"/>
      <c r="F452" s="10"/>
    </row>
    <row r="453">
      <c r="A453" s="10"/>
      <c r="B453" s="10"/>
      <c r="C453" s="10"/>
      <c r="D453" s="10"/>
      <c r="E453" s="10"/>
      <c r="F453" s="10"/>
    </row>
    <row r="454">
      <c r="A454" s="10"/>
      <c r="B454" s="10"/>
      <c r="C454" s="10"/>
      <c r="D454" s="10"/>
      <c r="E454" s="10"/>
      <c r="F454" s="10"/>
    </row>
    <row r="455">
      <c r="A455" s="10"/>
      <c r="B455" s="10"/>
      <c r="C455" s="10"/>
      <c r="D455" s="10"/>
      <c r="E455" s="10"/>
      <c r="F455" s="10"/>
    </row>
    <row r="456">
      <c r="A456" s="10"/>
      <c r="B456" s="10"/>
      <c r="C456" s="10"/>
      <c r="D456" s="10"/>
      <c r="E456" s="10"/>
      <c r="F456" s="10"/>
    </row>
    <row r="457">
      <c r="A457" s="10"/>
      <c r="B457" s="10"/>
      <c r="C457" s="10"/>
      <c r="D457" s="10"/>
      <c r="E457" s="10"/>
      <c r="F457" s="10"/>
    </row>
    <row r="458">
      <c r="A458" s="10"/>
      <c r="B458" s="10"/>
      <c r="C458" s="10"/>
      <c r="D458" s="10"/>
      <c r="E458" s="10"/>
      <c r="F458" s="10"/>
    </row>
    <row r="459">
      <c r="A459" s="10"/>
      <c r="B459" s="10"/>
      <c r="C459" s="10"/>
      <c r="D459" s="10"/>
      <c r="E459" s="10"/>
      <c r="F459" s="10"/>
    </row>
    <row r="460">
      <c r="A460" s="10"/>
      <c r="B460" s="10"/>
      <c r="C460" s="10"/>
      <c r="D460" s="10"/>
      <c r="E460" s="10"/>
      <c r="F460" s="10"/>
    </row>
    <row r="461">
      <c r="A461" s="10"/>
      <c r="B461" s="10"/>
      <c r="C461" s="10"/>
      <c r="D461" s="10"/>
      <c r="E461" s="10"/>
      <c r="F461" s="10"/>
    </row>
    <row r="462">
      <c r="A462" s="10"/>
      <c r="B462" s="10"/>
      <c r="C462" s="10"/>
      <c r="D462" s="10"/>
      <c r="E462" s="10"/>
      <c r="F462" s="10"/>
    </row>
    <row r="463">
      <c r="A463" s="10"/>
      <c r="B463" s="10"/>
      <c r="C463" s="10"/>
      <c r="D463" s="10"/>
      <c r="E463" s="10"/>
      <c r="F463" s="10"/>
    </row>
    <row r="464">
      <c r="A464" s="10"/>
      <c r="B464" s="10"/>
      <c r="C464" s="10"/>
      <c r="D464" s="10"/>
      <c r="E464" s="10"/>
      <c r="F464" s="10"/>
    </row>
    <row r="465">
      <c r="A465" s="10"/>
      <c r="B465" s="10"/>
      <c r="C465" s="10"/>
      <c r="D465" s="10"/>
      <c r="E465" s="10"/>
      <c r="F465" s="10"/>
    </row>
    <row r="466">
      <c r="A466" s="10"/>
      <c r="B466" s="10"/>
      <c r="C466" s="10"/>
      <c r="D466" s="10"/>
      <c r="E466" s="10"/>
      <c r="F466" s="10"/>
    </row>
    <row r="467">
      <c r="A467" s="10"/>
      <c r="B467" s="10"/>
      <c r="C467" s="10"/>
      <c r="D467" s="10"/>
      <c r="E467" s="10"/>
      <c r="F467" s="10"/>
    </row>
    <row r="468">
      <c r="A468" s="10"/>
      <c r="B468" s="10"/>
      <c r="C468" s="10"/>
      <c r="D468" s="10"/>
      <c r="E468" s="10"/>
      <c r="F468" s="10"/>
    </row>
    <row r="469">
      <c r="A469" s="10"/>
      <c r="B469" s="10"/>
      <c r="C469" s="10"/>
      <c r="D469" s="10"/>
      <c r="E469" s="10"/>
      <c r="F469" s="10"/>
    </row>
    <row r="470">
      <c r="A470" s="10"/>
      <c r="B470" s="10"/>
      <c r="C470" s="10"/>
      <c r="D470" s="10"/>
      <c r="E470" s="10"/>
      <c r="F470" s="10"/>
    </row>
    <row r="471">
      <c r="A471" s="10"/>
      <c r="B471" s="10"/>
      <c r="C471" s="10"/>
      <c r="D471" s="10"/>
      <c r="E471" s="10"/>
      <c r="F471" s="10"/>
    </row>
    <row r="472">
      <c r="A472" s="10"/>
      <c r="B472" s="10"/>
      <c r="C472" s="10"/>
      <c r="D472" s="10"/>
      <c r="E472" s="10"/>
      <c r="F472" s="10"/>
    </row>
    <row r="473">
      <c r="A473" s="10"/>
      <c r="B473" s="10"/>
      <c r="C473" s="10"/>
      <c r="D473" s="10"/>
      <c r="E473" s="10"/>
      <c r="F473" s="10"/>
    </row>
    <row r="474">
      <c r="A474" s="10"/>
      <c r="B474" s="10"/>
      <c r="C474" s="10"/>
      <c r="D474" s="10"/>
      <c r="E474" s="10"/>
      <c r="F474" s="10"/>
    </row>
    <row r="475">
      <c r="A475" s="10"/>
      <c r="B475" s="10"/>
      <c r="C475" s="10"/>
      <c r="D475" s="10"/>
      <c r="E475" s="10"/>
      <c r="F475" s="10"/>
    </row>
    <row r="476">
      <c r="A476" s="10"/>
      <c r="B476" s="10"/>
      <c r="C476" s="10"/>
      <c r="D476" s="10"/>
      <c r="E476" s="10"/>
      <c r="F476" s="10"/>
    </row>
    <row r="477">
      <c r="A477" s="10"/>
      <c r="B477" s="10"/>
      <c r="C477" s="10"/>
      <c r="D477" s="10"/>
      <c r="E477" s="10"/>
      <c r="F477" s="10"/>
    </row>
    <row r="478">
      <c r="A478" s="10"/>
      <c r="B478" s="10"/>
      <c r="C478" s="10"/>
      <c r="D478" s="10"/>
      <c r="E478" s="10"/>
      <c r="F478" s="10"/>
    </row>
    <row r="479">
      <c r="A479" s="10"/>
      <c r="B479" s="10"/>
      <c r="C479" s="10"/>
      <c r="D479" s="10"/>
      <c r="E479" s="10"/>
      <c r="F479" s="10"/>
    </row>
    <row r="480">
      <c r="A480" s="10"/>
      <c r="B480" s="10"/>
      <c r="C480" s="10"/>
      <c r="D480" s="10"/>
      <c r="E480" s="10"/>
      <c r="F480" s="10"/>
    </row>
    <row r="481">
      <c r="A481" s="10"/>
      <c r="B481" s="10"/>
      <c r="C481" s="10"/>
      <c r="D481" s="10"/>
      <c r="E481" s="10"/>
      <c r="F481" s="10"/>
    </row>
    <row r="482">
      <c r="A482" s="10"/>
      <c r="B482" s="10"/>
      <c r="C482" s="10"/>
      <c r="D482" s="10"/>
      <c r="E482" s="10"/>
      <c r="F482" s="10"/>
    </row>
    <row r="483">
      <c r="A483" s="10"/>
      <c r="B483" s="10"/>
      <c r="C483" s="10"/>
      <c r="D483" s="10"/>
      <c r="E483" s="10"/>
      <c r="F483" s="10"/>
    </row>
    <row r="484">
      <c r="A484" s="10"/>
      <c r="B484" s="10"/>
      <c r="C484" s="10"/>
      <c r="D484" s="10"/>
      <c r="E484" s="10"/>
      <c r="F484" s="10"/>
    </row>
    <row r="485">
      <c r="A485" s="10"/>
      <c r="B485" s="10"/>
      <c r="C485" s="10"/>
      <c r="D485" s="10"/>
      <c r="E485" s="10"/>
      <c r="F485" s="10"/>
    </row>
    <row r="486">
      <c r="A486" s="10"/>
      <c r="B486" s="10"/>
      <c r="C486" s="10"/>
      <c r="D486" s="10"/>
      <c r="E486" s="10"/>
      <c r="F486" s="10"/>
    </row>
    <row r="487">
      <c r="A487" s="10"/>
      <c r="B487" s="10"/>
      <c r="C487" s="10"/>
      <c r="D487" s="10"/>
      <c r="E487" s="10"/>
      <c r="F487" s="10"/>
    </row>
    <row r="488">
      <c r="A488" s="10"/>
      <c r="B488" s="10"/>
      <c r="C488" s="10"/>
      <c r="D488" s="10"/>
      <c r="E488" s="10"/>
      <c r="F488" s="10"/>
    </row>
    <row r="489">
      <c r="A489" s="10"/>
      <c r="B489" s="10"/>
      <c r="C489" s="10"/>
      <c r="D489" s="10"/>
      <c r="E489" s="10"/>
      <c r="F489" s="10"/>
    </row>
    <row r="490">
      <c r="A490" s="10"/>
      <c r="B490" s="10"/>
      <c r="C490" s="10"/>
      <c r="D490" s="10"/>
      <c r="E490" s="10"/>
      <c r="F490" s="10"/>
    </row>
    <row r="491">
      <c r="A491" s="10"/>
      <c r="B491" s="10"/>
      <c r="C491" s="10"/>
      <c r="D491" s="10"/>
      <c r="E491" s="10"/>
      <c r="F491" s="10"/>
    </row>
    <row r="492">
      <c r="A492" s="10"/>
      <c r="B492" s="10"/>
      <c r="C492" s="10"/>
      <c r="D492" s="10"/>
      <c r="E492" s="10"/>
      <c r="F492" s="10"/>
    </row>
    <row r="493">
      <c r="A493" s="10"/>
      <c r="B493" s="10"/>
      <c r="C493" s="10"/>
      <c r="D493" s="10"/>
      <c r="E493" s="10"/>
      <c r="F493" s="10"/>
    </row>
    <row r="494">
      <c r="A494" s="10"/>
      <c r="B494" s="10"/>
      <c r="C494" s="10"/>
      <c r="D494" s="10"/>
      <c r="E494" s="10"/>
      <c r="F494" s="10"/>
    </row>
    <row r="495">
      <c r="A495" s="10"/>
      <c r="B495" s="10"/>
      <c r="C495" s="10"/>
      <c r="D495" s="10"/>
      <c r="E495" s="10"/>
      <c r="F495" s="10"/>
    </row>
    <row r="496">
      <c r="A496" s="10"/>
      <c r="B496" s="10"/>
      <c r="C496" s="10"/>
      <c r="D496" s="10"/>
      <c r="E496" s="10"/>
      <c r="F496" s="10"/>
    </row>
    <row r="497">
      <c r="A497" s="10"/>
      <c r="B497" s="10"/>
      <c r="C497" s="10"/>
      <c r="D497" s="10"/>
      <c r="E497" s="10"/>
      <c r="F497" s="10"/>
    </row>
    <row r="498">
      <c r="A498" s="10"/>
      <c r="B498" s="10"/>
      <c r="C498" s="10"/>
      <c r="D498" s="10"/>
      <c r="E498" s="10"/>
      <c r="F498" s="10"/>
    </row>
    <row r="499">
      <c r="A499" s="10"/>
      <c r="B499" s="10"/>
      <c r="C499" s="10"/>
      <c r="D499" s="10"/>
      <c r="E499" s="10"/>
      <c r="F499" s="10"/>
    </row>
    <row r="500">
      <c r="A500" s="10"/>
      <c r="B500" s="10"/>
      <c r="C500" s="10"/>
      <c r="D500" s="10"/>
      <c r="E500" s="10"/>
      <c r="F500" s="10"/>
    </row>
    <row r="501">
      <c r="A501" s="10"/>
      <c r="B501" s="10"/>
      <c r="C501" s="10"/>
      <c r="D501" s="10"/>
      <c r="E501" s="10"/>
      <c r="F501" s="10"/>
    </row>
    <row r="502">
      <c r="A502" s="10"/>
      <c r="B502" s="10"/>
      <c r="C502" s="10"/>
      <c r="D502" s="10"/>
      <c r="E502" s="10"/>
      <c r="F502" s="10"/>
    </row>
    <row r="503">
      <c r="A503" s="10"/>
      <c r="B503" s="10"/>
      <c r="C503" s="10"/>
      <c r="D503" s="10"/>
      <c r="E503" s="10"/>
      <c r="F503" s="10"/>
    </row>
    <row r="504">
      <c r="A504" s="10"/>
      <c r="B504" s="10"/>
      <c r="C504" s="10"/>
      <c r="D504" s="10"/>
      <c r="E504" s="10"/>
      <c r="F504" s="10"/>
    </row>
    <row r="505">
      <c r="A505" s="10"/>
      <c r="B505" s="10"/>
      <c r="C505" s="10"/>
      <c r="D505" s="10"/>
      <c r="E505" s="10"/>
      <c r="F505" s="10"/>
    </row>
    <row r="506">
      <c r="A506" s="10"/>
      <c r="B506" s="10"/>
      <c r="C506" s="10"/>
      <c r="D506" s="10"/>
      <c r="E506" s="10"/>
      <c r="F506" s="10"/>
    </row>
    <row r="507">
      <c r="A507" s="10"/>
      <c r="B507" s="10"/>
      <c r="C507" s="10"/>
      <c r="D507" s="10"/>
      <c r="E507" s="10"/>
      <c r="F507" s="10"/>
    </row>
    <row r="508">
      <c r="A508" s="10"/>
      <c r="B508" s="10"/>
      <c r="C508" s="10"/>
      <c r="D508" s="10"/>
      <c r="E508" s="10"/>
      <c r="F508" s="10"/>
    </row>
    <row r="509">
      <c r="A509" s="10"/>
      <c r="B509" s="10"/>
      <c r="C509" s="10"/>
      <c r="D509" s="10"/>
      <c r="E509" s="10"/>
      <c r="F509" s="10"/>
    </row>
    <row r="510">
      <c r="A510" s="10"/>
      <c r="B510" s="10"/>
      <c r="C510" s="10"/>
      <c r="D510" s="10"/>
      <c r="E510" s="10"/>
      <c r="F510" s="10"/>
    </row>
    <row r="511">
      <c r="A511" s="10"/>
      <c r="B511" s="10"/>
      <c r="C511" s="10"/>
      <c r="D511" s="10"/>
      <c r="E511" s="10"/>
      <c r="F511" s="10"/>
    </row>
    <row r="512">
      <c r="A512" s="10"/>
      <c r="B512" s="10"/>
      <c r="C512" s="10"/>
      <c r="D512" s="10"/>
      <c r="E512" s="10"/>
      <c r="F512" s="10"/>
    </row>
    <row r="513">
      <c r="A513" s="10"/>
      <c r="B513" s="10"/>
      <c r="C513" s="10"/>
      <c r="D513" s="10"/>
      <c r="E513" s="10"/>
      <c r="F513" s="10"/>
    </row>
    <row r="514">
      <c r="A514" s="10"/>
      <c r="B514" s="10"/>
      <c r="C514" s="10"/>
      <c r="D514" s="10"/>
      <c r="E514" s="10"/>
      <c r="F514" s="10"/>
    </row>
    <row r="515">
      <c r="A515" s="10"/>
      <c r="B515" s="10"/>
      <c r="C515" s="10"/>
      <c r="D515" s="10"/>
      <c r="E515" s="10"/>
      <c r="F515" s="10"/>
    </row>
    <row r="516">
      <c r="A516" s="10"/>
      <c r="B516" s="10"/>
      <c r="C516" s="10"/>
      <c r="D516" s="10"/>
      <c r="E516" s="10"/>
      <c r="F516" s="10"/>
    </row>
    <row r="517">
      <c r="A517" s="10"/>
      <c r="B517" s="10"/>
      <c r="C517" s="10"/>
      <c r="D517" s="10"/>
      <c r="E517" s="10"/>
      <c r="F517" s="10"/>
    </row>
    <row r="518">
      <c r="A518" s="10"/>
      <c r="B518" s="10"/>
      <c r="C518" s="10"/>
      <c r="D518" s="10"/>
      <c r="E518" s="10"/>
      <c r="F518" s="10"/>
    </row>
    <row r="519">
      <c r="A519" s="10"/>
      <c r="B519" s="10"/>
      <c r="C519" s="10"/>
      <c r="D519" s="10"/>
      <c r="E519" s="10"/>
      <c r="F519" s="10"/>
    </row>
    <row r="520">
      <c r="A520" s="10"/>
      <c r="B520" s="10"/>
      <c r="C520" s="10"/>
      <c r="D520" s="10"/>
      <c r="E520" s="10"/>
      <c r="F520" s="10"/>
    </row>
    <row r="521">
      <c r="A521" s="10"/>
      <c r="B521" s="10"/>
      <c r="C521" s="10"/>
      <c r="D521" s="10"/>
      <c r="E521" s="10"/>
      <c r="F521" s="10"/>
    </row>
    <row r="522">
      <c r="A522" s="10"/>
      <c r="B522" s="10"/>
      <c r="C522" s="10"/>
      <c r="D522" s="10"/>
      <c r="E522" s="10"/>
      <c r="F522" s="10"/>
    </row>
    <row r="523">
      <c r="A523" s="10"/>
      <c r="B523" s="10"/>
      <c r="C523" s="10"/>
      <c r="D523" s="10"/>
      <c r="E523" s="10"/>
      <c r="F523" s="10"/>
    </row>
    <row r="524">
      <c r="A524" s="10"/>
      <c r="B524" s="10"/>
      <c r="C524" s="10"/>
      <c r="D524" s="10"/>
      <c r="E524" s="10"/>
      <c r="F524" s="10"/>
    </row>
    <row r="525">
      <c r="A525" s="10"/>
      <c r="B525" s="10"/>
      <c r="C525" s="10"/>
      <c r="D525" s="10"/>
      <c r="E525" s="10"/>
      <c r="F525" s="10"/>
    </row>
    <row r="526">
      <c r="A526" s="10"/>
      <c r="B526" s="10"/>
      <c r="C526" s="10"/>
      <c r="D526" s="10"/>
      <c r="E526" s="10"/>
      <c r="F526" s="10"/>
    </row>
    <row r="527">
      <c r="A527" s="10"/>
      <c r="B527" s="10"/>
      <c r="C527" s="10"/>
      <c r="D527" s="10"/>
      <c r="E527" s="10"/>
      <c r="F527" s="10"/>
    </row>
    <row r="528">
      <c r="A528" s="10"/>
      <c r="B528" s="10"/>
      <c r="C528" s="10"/>
      <c r="D528" s="10"/>
      <c r="E528" s="10"/>
      <c r="F528" s="10"/>
    </row>
    <row r="529">
      <c r="A529" s="10"/>
      <c r="B529" s="10"/>
      <c r="C529" s="10"/>
      <c r="D529" s="10"/>
      <c r="E529" s="10"/>
      <c r="F529" s="10"/>
    </row>
    <row r="530">
      <c r="A530" s="10"/>
      <c r="B530" s="10"/>
      <c r="C530" s="10"/>
      <c r="D530" s="10"/>
      <c r="E530" s="10"/>
      <c r="F530" s="10"/>
    </row>
    <row r="531">
      <c r="A531" s="10"/>
      <c r="B531" s="10"/>
      <c r="C531" s="10"/>
      <c r="D531" s="10"/>
      <c r="E531" s="10"/>
      <c r="F531" s="10"/>
    </row>
    <row r="532">
      <c r="A532" s="10"/>
      <c r="B532" s="10"/>
      <c r="C532" s="10"/>
      <c r="D532" s="10"/>
      <c r="E532" s="10"/>
      <c r="F532" s="10"/>
    </row>
    <row r="533">
      <c r="A533" s="10"/>
      <c r="B533" s="10"/>
      <c r="C533" s="10"/>
      <c r="D533" s="10"/>
      <c r="E533" s="10"/>
      <c r="F533" s="10"/>
    </row>
    <row r="534">
      <c r="A534" s="10"/>
      <c r="B534" s="10"/>
      <c r="C534" s="10"/>
      <c r="D534" s="10"/>
      <c r="E534" s="10"/>
      <c r="F534" s="10"/>
    </row>
    <row r="535">
      <c r="A535" s="10"/>
      <c r="B535" s="10"/>
      <c r="C535" s="10"/>
      <c r="D535" s="10"/>
      <c r="E535" s="10"/>
      <c r="F535" s="10"/>
    </row>
    <row r="536">
      <c r="A536" s="10"/>
      <c r="B536" s="10"/>
      <c r="C536" s="10"/>
      <c r="D536" s="10"/>
      <c r="E536" s="10"/>
      <c r="F536" s="10"/>
    </row>
    <row r="537">
      <c r="A537" s="10"/>
      <c r="B537" s="10"/>
      <c r="C537" s="10"/>
      <c r="D537" s="10"/>
      <c r="E537" s="10"/>
      <c r="F537" s="10"/>
    </row>
    <row r="538">
      <c r="A538" s="10"/>
      <c r="B538" s="10"/>
      <c r="C538" s="10"/>
      <c r="D538" s="10"/>
      <c r="E538" s="10"/>
      <c r="F538" s="10"/>
    </row>
    <row r="539">
      <c r="A539" s="10"/>
      <c r="B539" s="10"/>
      <c r="C539" s="10"/>
      <c r="D539" s="10"/>
      <c r="E539" s="10"/>
      <c r="F539" s="10"/>
    </row>
    <row r="540">
      <c r="A540" s="10"/>
      <c r="B540" s="10"/>
      <c r="C540" s="10"/>
      <c r="D540" s="10"/>
      <c r="E540" s="10"/>
      <c r="F540" s="10"/>
    </row>
    <row r="541">
      <c r="A541" s="10"/>
      <c r="B541" s="10"/>
      <c r="C541" s="10"/>
      <c r="D541" s="10"/>
      <c r="E541" s="10"/>
      <c r="F541" s="10"/>
    </row>
    <row r="542">
      <c r="A542" s="10"/>
      <c r="B542" s="10"/>
      <c r="C542" s="10"/>
      <c r="D542" s="10"/>
      <c r="E542" s="10"/>
      <c r="F542" s="10"/>
    </row>
    <row r="543">
      <c r="A543" s="10"/>
      <c r="B543" s="10"/>
      <c r="C543" s="10"/>
      <c r="D543" s="10"/>
      <c r="E543" s="10"/>
      <c r="F543" s="10"/>
    </row>
    <row r="544">
      <c r="A544" s="10"/>
      <c r="B544" s="10"/>
      <c r="C544" s="10"/>
      <c r="D544" s="10"/>
      <c r="E544" s="10"/>
      <c r="F544" s="10"/>
    </row>
    <row r="545">
      <c r="A545" s="10"/>
      <c r="B545" s="10"/>
      <c r="C545" s="10"/>
      <c r="D545" s="10"/>
      <c r="E545" s="10"/>
      <c r="F545" s="10"/>
    </row>
    <row r="546">
      <c r="A546" s="10"/>
      <c r="B546" s="10"/>
      <c r="C546" s="10"/>
      <c r="D546" s="10"/>
      <c r="E546" s="10"/>
      <c r="F546" s="10"/>
    </row>
    <row r="547">
      <c r="A547" s="10"/>
      <c r="B547" s="10"/>
      <c r="C547" s="10"/>
      <c r="D547" s="10"/>
      <c r="E547" s="10"/>
      <c r="F547" s="10"/>
    </row>
    <row r="548">
      <c r="A548" s="10"/>
      <c r="B548" s="10"/>
      <c r="C548" s="10"/>
      <c r="D548" s="10"/>
      <c r="E548" s="10"/>
      <c r="F548" s="10"/>
    </row>
    <row r="549">
      <c r="A549" s="10"/>
      <c r="B549" s="10"/>
      <c r="C549" s="10"/>
      <c r="D549" s="10"/>
      <c r="E549" s="10"/>
      <c r="F549" s="10"/>
    </row>
    <row r="550">
      <c r="A550" s="10"/>
      <c r="B550" s="10"/>
      <c r="C550" s="10"/>
      <c r="D550" s="10"/>
      <c r="E550" s="10"/>
      <c r="F550" s="10"/>
    </row>
    <row r="551">
      <c r="A551" s="10"/>
      <c r="B551" s="10"/>
      <c r="C551" s="10"/>
      <c r="D551" s="10"/>
      <c r="E551" s="10"/>
      <c r="F551" s="10"/>
    </row>
    <row r="552">
      <c r="A552" s="10"/>
      <c r="B552" s="10"/>
      <c r="C552" s="10"/>
      <c r="D552" s="10"/>
      <c r="E552" s="10"/>
      <c r="F552" s="10"/>
    </row>
    <row r="553">
      <c r="A553" s="10"/>
      <c r="B553" s="10"/>
      <c r="C553" s="10"/>
      <c r="D553" s="10"/>
      <c r="E553" s="10"/>
      <c r="F553" s="10"/>
    </row>
    <row r="554">
      <c r="A554" s="10"/>
      <c r="B554" s="10"/>
      <c r="C554" s="10"/>
      <c r="D554" s="10"/>
      <c r="E554" s="10"/>
      <c r="F554" s="10"/>
    </row>
    <row r="555">
      <c r="A555" s="10"/>
      <c r="B555" s="10"/>
      <c r="C555" s="10"/>
      <c r="D555" s="10"/>
      <c r="E555" s="10"/>
      <c r="F555" s="10"/>
    </row>
    <row r="556">
      <c r="A556" s="10"/>
      <c r="B556" s="10"/>
      <c r="C556" s="10"/>
      <c r="D556" s="10"/>
      <c r="E556" s="10"/>
      <c r="F556" s="10"/>
    </row>
    <row r="557">
      <c r="A557" s="10"/>
      <c r="B557" s="10"/>
      <c r="C557" s="10"/>
      <c r="D557" s="10"/>
      <c r="E557" s="10"/>
      <c r="F557" s="10"/>
    </row>
    <row r="558">
      <c r="A558" s="10"/>
      <c r="B558" s="10"/>
      <c r="C558" s="10"/>
      <c r="D558" s="10"/>
      <c r="E558" s="10"/>
      <c r="F558" s="10"/>
    </row>
    <row r="559">
      <c r="A559" s="10"/>
      <c r="B559" s="10"/>
      <c r="C559" s="10"/>
      <c r="D559" s="10"/>
      <c r="E559" s="10"/>
      <c r="F559" s="10"/>
    </row>
    <row r="560">
      <c r="A560" s="10"/>
      <c r="B560" s="10"/>
      <c r="C560" s="10"/>
      <c r="D560" s="10"/>
      <c r="E560" s="10"/>
      <c r="F560" s="10"/>
    </row>
    <row r="561">
      <c r="A561" s="10"/>
      <c r="B561" s="10"/>
      <c r="C561" s="10"/>
      <c r="D561" s="10"/>
      <c r="E561" s="10"/>
      <c r="F561" s="10"/>
    </row>
    <row r="562">
      <c r="A562" s="10"/>
      <c r="B562" s="10"/>
      <c r="C562" s="10"/>
      <c r="D562" s="10"/>
      <c r="E562" s="10"/>
      <c r="F562" s="10"/>
    </row>
    <row r="563">
      <c r="A563" s="10"/>
      <c r="B563" s="10"/>
      <c r="C563" s="10"/>
      <c r="D563" s="10"/>
      <c r="E563" s="10"/>
      <c r="F563" s="10"/>
    </row>
    <row r="564">
      <c r="A564" s="10"/>
      <c r="B564" s="10"/>
      <c r="C564" s="10"/>
      <c r="D564" s="10"/>
      <c r="E564" s="10"/>
      <c r="F564" s="10"/>
    </row>
    <row r="565">
      <c r="A565" s="10"/>
      <c r="B565" s="10"/>
      <c r="C565" s="10"/>
      <c r="D565" s="10"/>
      <c r="E565" s="10"/>
      <c r="F565" s="10"/>
    </row>
    <row r="566">
      <c r="A566" s="10"/>
      <c r="B566" s="10"/>
      <c r="C566" s="10"/>
      <c r="D566" s="10"/>
      <c r="E566" s="10"/>
      <c r="F566" s="10"/>
    </row>
    <row r="567">
      <c r="A567" s="10"/>
      <c r="B567" s="10"/>
      <c r="C567" s="10"/>
      <c r="D567" s="10"/>
      <c r="E567" s="10"/>
      <c r="F567" s="10"/>
    </row>
    <row r="568">
      <c r="A568" s="10"/>
      <c r="B568" s="10"/>
      <c r="C568" s="10"/>
      <c r="D568" s="10"/>
      <c r="E568" s="10"/>
      <c r="F568" s="10"/>
    </row>
    <row r="569">
      <c r="A569" s="10"/>
      <c r="B569" s="10"/>
      <c r="C569" s="10"/>
      <c r="D569" s="10"/>
      <c r="E569" s="10"/>
      <c r="F569" s="10"/>
    </row>
    <row r="570">
      <c r="A570" s="10"/>
      <c r="B570" s="10"/>
      <c r="C570" s="10"/>
      <c r="D570" s="10"/>
      <c r="E570" s="10"/>
      <c r="F570" s="10"/>
    </row>
    <row r="571">
      <c r="A571" s="10"/>
      <c r="B571" s="10"/>
      <c r="C571" s="10"/>
      <c r="D571" s="10"/>
      <c r="E571" s="10"/>
      <c r="F571" s="10"/>
    </row>
    <row r="572">
      <c r="A572" s="10"/>
      <c r="B572" s="10"/>
      <c r="C572" s="10"/>
      <c r="D572" s="10"/>
      <c r="E572" s="10"/>
      <c r="F572" s="10"/>
    </row>
    <row r="573">
      <c r="A573" s="10"/>
      <c r="B573" s="10"/>
      <c r="C573" s="10"/>
      <c r="D573" s="10"/>
      <c r="E573" s="10"/>
      <c r="F573" s="10"/>
    </row>
    <row r="574">
      <c r="A574" s="10"/>
      <c r="B574" s="10"/>
      <c r="C574" s="10"/>
      <c r="D574" s="10"/>
      <c r="E574" s="10"/>
      <c r="F574" s="10"/>
    </row>
    <row r="575">
      <c r="A575" s="10"/>
      <c r="B575" s="10"/>
      <c r="C575" s="10"/>
      <c r="D575" s="10"/>
      <c r="E575" s="10"/>
      <c r="F575" s="10"/>
    </row>
    <row r="576">
      <c r="A576" s="10"/>
      <c r="B576" s="10"/>
      <c r="C576" s="10"/>
      <c r="D576" s="10"/>
      <c r="E576" s="10"/>
      <c r="F576" s="10"/>
    </row>
    <row r="577">
      <c r="A577" s="10"/>
      <c r="B577" s="10"/>
      <c r="C577" s="10"/>
      <c r="D577" s="10"/>
      <c r="E577" s="10"/>
      <c r="F577" s="10"/>
    </row>
    <row r="578">
      <c r="A578" s="10"/>
      <c r="B578" s="10"/>
      <c r="C578" s="10"/>
      <c r="D578" s="10"/>
      <c r="E578" s="10"/>
      <c r="F578" s="10"/>
    </row>
    <row r="579">
      <c r="A579" s="10"/>
      <c r="B579" s="10"/>
      <c r="C579" s="10"/>
      <c r="D579" s="10"/>
      <c r="E579" s="10"/>
      <c r="F579" s="10"/>
    </row>
    <row r="580">
      <c r="A580" s="10"/>
      <c r="B580" s="10"/>
      <c r="C580" s="10"/>
      <c r="D580" s="10"/>
      <c r="E580" s="10"/>
      <c r="F580" s="10"/>
    </row>
    <row r="581">
      <c r="A581" s="10"/>
      <c r="B581" s="10"/>
      <c r="C581" s="10"/>
      <c r="D581" s="10"/>
      <c r="E581" s="10"/>
      <c r="F581" s="10"/>
    </row>
    <row r="582">
      <c r="A582" s="10"/>
      <c r="B582" s="10"/>
      <c r="C582" s="10"/>
      <c r="D582" s="10"/>
      <c r="E582" s="10"/>
      <c r="F582" s="10"/>
    </row>
    <row r="583">
      <c r="A583" s="10"/>
      <c r="B583" s="10"/>
      <c r="C583" s="10"/>
      <c r="D583" s="10"/>
      <c r="E583" s="10"/>
      <c r="F583" s="10"/>
    </row>
    <row r="584">
      <c r="A584" s="10"/>
      <c r="B584" s="10"/>
      <c r="C584" s="10"/>
      <c r="D584" s="10"/>
      <c r="E584" s="10"/>
      <c r="F584" s="10"/>
    </row>
    <row r="585">
      <c r="A585" s="10"/>
      <c r="B585" s="10"/>
      <c r="C585" s="10"/>
      <c r="D585" s="10"/>
      <c r="E585" s="10"/>
      <c r="F585" s="10"/>
    </row>
    <row r="586">
      <c r="A586" s="10"/>
      <c r="B586" s="10"/>
      <c r="C586" s="10"/>
      <c r="D586" s="10"/>
      <c r="E586" s="10"/>
      <c r="F586" s="10"/>
    </row>
    <row r="587">
      <c r="A587" s="10"/>
      <c r="B587" s="10"/>
      <c r="C587" s="10"/>
      <c r="D587" s="10"/>
      <c r="E587" s="10"/>
      <c r="F587" s="10"/>
    </row>
    <row r="588">
      <c r="A588" s="10"/>
      <c r="B588" s="10"/>
      <c r="C588" s="10"/>
      <c r="D588" s="10"/>
      <c r="E588" s="10"/>
      <c r="F588" s="10"/>
    </row>
    <row r="589">
      <c r="A589" s="10"/>
      <c r="B589" s="10"/>
      <c r="C589" s="10"/>
      <c r="D589" s="10"/>
      <c r="E589" s="10"/>
      <c r="F589" s="10"/>
    </row>
    <row r="590">
      <c r="A590" s="10"/>
      <c r="B590" s="10"/>
      <c r="C590" s="10"/>
      <c r="D590" s="10"/>
      <c r="E590" s="10"/>
      <c r="F590" s="10"/>
    </row>
    <row r="591">
      <c r="A591" s="10"/>
      <c r="B591" s="10"/>
      <c r="C591" s="10"/>
      <c r="D591" s="10"/>
      <c r="E591" s="10"/>
      <c r="F591" s="10"/>
    </row>
    <row r="592">
      <c r="A592" s="10"/>
      <c r="B592" s="10"/>
      <c r="C592" s="10"/>
      <c r="D592" s="10"/>
      <c r="E592" s="10"/>
      <c r="F592" s="10"/>
    </row>
    <row r="593">
      <c r="A593" s="10"/>
      <c r="B593" s="10"/>
      <c r="C593" s="10"/>
      <c r="D593" s="10"/>
      <c r="E593" s="10"/>
      <c r="F593" s="10"/>
    </row>
    <row r="594">
      <c r="A594" s="10"/>
      <c r="B594" s="10"/>
      <c r="C594" s="10"/>
      <c r="D594" s="10"/>
      <c r="E594" s="10"/>
      <c r="F594" s="10"/>
    </row>
    <row r="595">
      <c r="A595" s="10"/>
      <c r="B595" s="10"/>
      <c r="C595" s="10"/>
      <c r="D595" s="10"/>
      <c r="E595" s="10"/>
      <c r="F595" s="10"/>
    </row>
    <row r="596">
      <c r="A596" s="10"/>
      <c r="B596" s="10"/>
      <c r="C596" s="10"/>
      <c r="D596" s="10"/>
      <c r="E596" s="10"/>
      <c r="F596" s="10"/>
    </row>
    <row r="597">
      <c r="A597" s="10"/>
      <c r="B597" s="10"/>
      <c r="C597" s="10"/>
      <c r="D597" s="10"/>
      <c r="E597" s="10"/>
      <c r="F597" s="10"/>
    </row>
    <row r="598">
      <c r="A598" s="10"/>
      <c r="B598" s="10"/>
      <c r="C598" s="10"/>
      <c r="D598" s="10"/>
      <c r="E598" s="10"/>
      <c r="F598" s="10"/>
    </row>
    <row r="599">
      <c r="A599" s="10"/>
      <c r="B599" s="10"/>
      <c r="C599" s="10"/>
      <c r="D599" s="10"/>
      <c r="E599" s="10"/>
      <c r="F599" s="10"/>
    </row>
    <row r="600">
      <c r="A600" s="10"/>
      <c r="B600" s="10"/>
      <c r="C600" s="10"/>
      <c r="D600" s="10"/>
      <c r="E600" s="10"/>
      <c r="F600" s="10"/>
    </row>
    <row r="601">
      <c r="A601" s="10"/>
      <c r="B601" s="10"/>
      <c r="C601" s="10"/>
      <c r="D601" s="10"/>
      <c r="E601" s="10"/>
      <c r="F601" s="10"/>
    </row>
    <row r="602">
      <c r="A602" s="10"/>
      <c r="B602" s="10"/>
      <c r="C602" s="10"/>
      <c r="D602" s="10"/>
      <c r="E602" s="10"/>
      <c r="F602" s="10"/>
    </row>
    <row r="603">
      <c r="A603" s="10"/>
      <c r="B603" s="10"/>
      <c r="C603" s="10"/>
      <c r="D603" s="10"/>
      <c r="E603" s="10"/>
      <c r="F603" s="10"/>
    </row>
    <row r="604">
      <c r="A604" s="10"/>
      <c r="B604" s="10"/>
      <c r="C604" s="10"/>
      <c r="D604" s="10"/>
      <c r="E604" s="10"/>
      <c r="F604" s="10"/>
    </row>
    <row r="605">
      <c r="A605" s="10"/>
      <c r="B605" s="10"/>
      <c r="C605" s="10"/>
      <c r="D605" s="10"/>
      <c r="E605" s="10"/>
      <c r="F605" s="10"/>
    </row>
    <row r="606">
      <c r="A606" s="10"/>
      <c r="B606" s="10"/>
      <c r="C606" s="10"/>
      <c r="D606" s="10"/>
      <c r="E606" s="10"/>
      <c r="F606" s="10"/>
    </row>
    <row r="607">
      <c r="A607" s="10"/>
      <c r="B607" s="10"/>
      <c r="C607" s="10"/>
      <c r="D607" s="10"/>
      <c r="E607" s="10"/>
      <c r="F607" s="10"/>
    </row>
    <row r="608">
      <c r="A608" s="10"/>
      <c r="B608" s="10"/>
      <c r="C608" s="10"/>
      <c r="D608" s="10"/>
      <c r="E608" s="10"/>
      <c r="F608" s="10"/>
    </row>
    <row r="609">
      <c r="A609" s="10"/>
      <c r="B609" s="10"/>
      <c r="C609" s="10"/>
      <c r="D609" s="10"/>
      <c r="E609" s="10"/>
      <c r="F609" s="10"/>
    </row>
    <row r="610">
      <c r="A610" s="10"/>
      <c r="B610" s="10"/>
      <c r="C610" s="10"/>
      <c r="D610" s="10"/>
      <c r="E610" s="10"/>
      <c r="F610" s="10"/>
    </row>
    <row r="611">
      <c r="A611" s="10"/>
      <c r="B611" s="10"/>
      <c r="C611" s="10"/>
      <c r="D611" s="10"/>
      <c r="E611" s="10"/>
      <c r="F611" s="10"/>
    </row>
    <row r="612">
      <c r="A612" s="10"/>
      <c r="B612" s="10"/>
      <c r="C612" s="10"/>
      <c r="D612" s="10"/>
      <c r="E612" s="10"/>
      <c r="F612" s="10"/>
    </row>
    <row r="613">
      <c r="A613" s="10"/>
      <c r="B613" s="10"/>
      <c r="C613" s="10"/>
      <c r="D613" s="10"/>
      <c r="E613" s="10"/>
      <c r="F613" s="10"/>
    </row>
    <row r="614">
      <c r="A614" s="10"/>
      <c r="B614" s="10"/>
      <c r="C614" s="10"/>
      <c r="D614" s="10"/>
      <c r="E614" s="10"/>
      <c r="F614" s="10"/>
    </row>
    <row r="615">
      <c r="A615" s="10"/>
      <c r="B615" s="10"/>
      <c r="C615" s="10"/>
      <c r="D615" s="10"/>
      <c r="E615" s="10"/>
      <c r="F615" s="10"/>
    </row>
    <row r="616">
      <c r="A616" s="10"/>
      <c r="B616" s="10"/>
      <c r="C616" s="10"/>
      <c r="D616" s="10"/>
      <c r="E616" s="10"/>
      <c r="F616" s="10"/>
    </row>
    <row r="617">
      <c r="A617" s="10"/>
      <c r="B617" s="10"/>
      <c r="C617" s="10"/>
      <c r="D617" s="10"/>
      <c r="E617" s="10"/>
      <c r="F617" s="10"/>
    </row>
    <row r="618">
      <c r="A618" s="10"/>
      <c r="B618" s="10"/>
      <c r="C618" s="10"/>
      <c r="D618" s="10"/>
      <c r="E618" s="10"/>
      <c r="F618" s="10"/>
    </row>
    <row r="619">
      <c r="A619" s="10"/>
      <c r="B619" s="10"/>
      <c r="C619" s="10"/>
      <c r="D619" s="10"/>
      <c r="E619" s="10"/>
      <c r="F619" s="10"/>
    </row>
    <row r="620">
      <c r="A620" s="10"/>
      <c r="B620" s="10"/>
      <c r="C620" s="10"/>
      <c r="D620" s="10"/>
      <c r="E620" s="10"/>
      <c r="F620" s="10"/>
    </row>
    <row r="621">
      <c r="A621" s="10"/>
      <c r="B621" s="10"/>
      <c r="C621" s="10"/>
      <c r="D621" s="10"/>
      <c r="E621" s="10"/>
      <c r="F621" s="10"/>
    </row>
    <row r="622">
      <c r="A622" s="10"/>
      <c r="B622" s="10"/>
      <c r="C622" s="10"/>
      <c r="D622" s="10"/>
      <c r="E622" s="10"/>
      <c r="F622" s="10"/>
    </row>
    <row r="623">
      <c r="A623" s="10"/>
      <c r="B623" s="10"/>
      <c r="C623" s="10"/>
      <c r="D623" s="10"/>
      <c r="E623" s="10"/>
      <c r="F623" s="10"/>
    </row>
    <row r="624">
      <c r="A624" s="10"/>
      <c r="B624" s="10"/>
      <c r="C624" s="10"/>
      <c r="D624" s="10"/>
      <c r="E624" s="10"/>
      <c r="F624" s="10"/>
    </row>
    <row r="625">
      <c r="A625" s="10"/>
      <c r="B625" s="10"/>
      <c r="C625" s="10"/>
      <c r="D625" s="10"/>
      <c r="E625" s="10"/>
      <c r="F625" s="10"/>
    </row>
    <row r="626">
      <c r="A626" s="10"/>
      <c r="B626" s="10"/>
      <c r="C626" s="10"/>
      <c r="D626" s="10"/>
      <c r="E626" s="10"/>
      <c r="F626" s="10"/>
    </row>
    <row r="627">
      <c r="A627" s="10"/>
      <c r="B627" s="10"/>
      <c r="C627" s="10"/>
      <c r="D627" s="10"/>
      <c r="E627" s="10"/>
      <c r="F627" s="10"/>
    </row>
    <row r="628">
      <c r="A628" s="10"/>
      <c r="B628" s="10"/>
      <c r="C628" s="10"/>
      <c r="D628" s="10"/>
      <c r="E628" s="10"/>
      <c r="F628" s="10"/>
    </row>
    <row r="629">
      <c r="A629" s="10"/>
      <c r="B629" s="10"/>
      <c r="C629" s="10"/>
      <c r="D629" s="10"/>
      <c r="E629" s="10"/>
      <c r="F629" s="10"/>
    </row>
    <row r="630">
      <c r="A630" s="10"/>
      <c r="B630" s="10"/>
      <c r="C630" s="10"/>
      <c r="D630" s="10"/>
      <c r="E630" s="10"/>
      <c r="F630" s="10"/>
    </row>
    <row r="631">
      <c r="A631" s="10"/>
      <c r="B631" s="10"/>
      <c r="C631" s="10"/>
      <c r="D631" s="10"/>
      <c r="E631" s="10"/>
      <c r="F631" s="10"/>
    </row>
    <row r="632">
      <c r="A632" s="10"/>
      <c r="B632" s="10"/>
      <c r="C632" s="10"/>
      <c r="D632" s="10"/>
      <c r="E632" s="10"/>
      <c r="F632" s="10"/>
    </row>
    <row r="633">
      <c r="A633" s="10"/>
      <c r="B633" s="10"/>
      <c r="C633" s="10"/>
      <c r="D633" s="10"/>
      <c r="E633" s="10"/>
      <c r="F633" s="10"/>
    </row>
    <row r="634">
      <c r="A634" s="10"/>
      <c r="B634" s="10"/>
      <c r="C634" s="10"/>
      <c r="D634" s="10"/>
      <c r="E634" s="10"/>
      <c r="F634" s="10"/>
    </row>
    <row r="635">
      <c r="A635" s="10"/>
      <c r="B635" s="10"/>
      <c r="C635" s="10"/>
      <c r="D635" s="10"/>
      <c r="E635" s="10"/>
      <c r="F635" s="10"/>
    </row>
    <row r="636">
      <c r="A636" s="10"/>
      <c r="B636" s="10"/>
      <c r="C636" s="10"/>
      <c r="D636" s="10"/>
      <c r="E636" s="10"/>
      <c r="F636" s="10"/>
    </row>
    <row r="637">
      <c r="A637" s="10"/>
      <c r="B637" s="10"/>
      <c r="C637" s="10"/>
      <c r="D637" s="10"/>
      <c r="E637" s="10"/>
      <c r="F637" s="10"/>
    </row>
    <row r="638">
      <c r="A638" s="10"/>
      <c r="B638" s="10"/>
      <c r="C638" s="10"/>
      <c r="D638" s="10"/>
      <c r="E638" s="10"/>
      <c r="F638" s="10"/>
    </row>
    <row r="639">
      <c r="A639" s="10"/>
      <c r="B639" s="10"/>
      <c r="C639" s="10"/>
      <c r="D639" s="10"/>
      <c r="E639" s="10"/>
      <c r="F639" s="10"/>
    </row>
    <row r="640">
      <c r="A640" s="10"/>
      <c r="B640" s="10"/>
      <c r="C640" s="10"/>
      <c r="D640" s="10"/>
      <c r="E640" s="10"/>
      <c r="F640" s="10"/>
    </row>
    <row r="641">
      <c r="A641" s="10"/>
      <c r="B641" s="10"/>
      <c r="C641" s="10"/>
      <c r="D641" s="10"/>
      <c r="E641" s="10"/>
      <c r="F641" s="10"/>
    </row>
    <row r="642">
      <c r="A642" s="10"/>
      <c r="B642" s="10"/>
      <c r="C642" s="10"/>
      <c r="D642" s="10"/>
      <c r="E642" s="10"/>
      <c r="F642" s="10"/>
    </row>
    <row r="643">
      <c r="A643" s="10"/>
      <c r="B643" s="10"/>
      <c r="C643" s="10"/>
      <c r="D643" s="10"/>
      <c r="E643" s="10"/>
      <c r="F643" s="10"/>
    </row>
    <row r="644">
      <c r="A644" s="10"/>
      <c r="B644" s="10"/>
      <c r="C644" s="10"/>
      <c r="D644" s="10"/>
      <c r="E644" s="10"/>
      <c r="F644" s="10"/>
    </row>
    <row r="645">
      <c r="A645" s="10"/>
      <c r="B645" s="10"/>
      <c r="C645" s="10"/>
      <c r="D645" s="10"/>
      <c r="E645" s="10"/>
      <c r="F645" s="10"/>
    </row>
    <row r="646">
      <c r="A646" s="10"/>
      <c r="B646" s="10"/>
      <c r="C646" s="10"/>
      <c r="D646" s="10"/>
      <c r="E646" s="10"/>
      <c r="F646" s="10"/>
    </row>
    <row r="647">
      <c r="A647" s="10"/>
      <c r="B647" s="10"/>
      <c r="C647" s="10"/>
      <c r="D647" s="10"/>
      <c r="E647" s="10"/>
      <c r="F647" s="10"/>
    </row>
    <row r="648">
      <c r="A648" s="10"/>
      <c r="B648" s="10"/>
      <c r="C648" s="10"/>
      <c r="D648" s="10"/>
      <c r="E648" s="10"/>
      <c r="F648" s="10"/>
    </row>
    <row r="649">
      <c r="A649" s="10"/>
      <c r="B649" s="10"/>
      <c r="C649" s="10"/>
      <c r="D649" s="10"/>
      <c r="E649" s="10"/>
      <c r="F649" s="10"/>
    </row>
    <row r="650">
      <c r="A650" s="10"/>
      <c r="B650" s="10"/>
      <c r="C650" s="10"/>
      <c r="D650" s="10"/>
      <c r="E650" s="10"/>
      <c r="F650" s="10"/>
    </row>
    <row r="651">
      <c r="A651" s="10"/>
      <c r="B651" s="10"/>
      <c r="C651" s="10"/>
      <c r="D651" s="10"/>
      <c r="E651" s="10"/>
      <c r="F651" s="10"/>
    </row>
    <row r="652">
      <c r="A652" s="10"/>
      <c r="B652" s="10"/>
      <c r="C652" s="10"/>
      <c r="D652" s="10"/>
      <c r="E652" s="10"/>
      <c r="F652" s="10"/>
    </row>
    <row r="653">
      <c r="A653" s="10"/>
      <c r="B653" s="10"/>
      <c r="C653" s="10"/>
      <c r="D653" s="10"/>
      <c r="E653" s="10"/>
      <c r="F653" s="10"/>
    </row>
    <row r="654">
      <c r="A654" s="10"/>
      <c r="B654" s="10"/>
      <c r="C654" s="10"/>
      <c r="D654" s="10"/>
      <c r="E654" s="10"/>
      <c r="F654" s="10"/>
    </row>
    <row r="655">
      <c r="A655" s="10"/>
      <c r="B655" s="10"/>
      <c r="C655" s="10"/>
      <c r="D655" s="10"/>
      <c r="E655" s="10"/>
      <c r="F655" s="10"/>
    </row>
    <row r="656">
      <c r="A656" s="10"/>
      <c r="B656" s="10"/>
      <c r="C656" s="10"/>
      <c r="D656" s="10"/>
      <c r="E656" s="10"/>
      <c r="F656" s="10"/>
    </row>
    <row r="657">
      <c r="A657" s="10"/>
      <c r="B657" s="10"/>
      <c r="C657" s="10"/>
      <c r="D657" s="10"/>
      <c r="E657" s="10"/>
      <c r="F657" s="10"/>
    </row>
    <row r="658">
      <c r="A658" s="10"/>
      <c r="B658" s="10"/>
      <c r="C658" s="10"/>
      <c r="D658" s="10"/>
      <c r="E658" s="10"/>
      <c r="F658" s="10"/>
    </row>
    <row r="659">
      <c r="A659" s="10"/>
      <c r="B659" s="10"/>
      <c r="C659" s="10"/>
      <c r="D659" s="10"/>
      <c r="E659" s="10"/>
      <c r="F659" s="10"/>
    </row>
    <row r="660">
      <c r="A660" s="10"/>
      <c r="B660" s="10"/>
      <c r="C660" s="10"/>
      <c r="D660" s="10"/>
      <c r="E660" s="10"/>
      <c r="F660" s="10"/>
    </row>
    <row r="661">
      <c r="A661" s="10"/>
      <c r="B661" s="10"/>
      <c r="C661" s="10"/>
      <c r="D661" s="10"/>
      <c r="E661" s="10"/>
      <c r="F661" s="10"/>
    </row>
    <row r="662">
      <c r="A662" s="10"/>
      <c r="B662" s="10"/>
      <c r="C662" s="10"/>
      <c r="D662" s="10"/>
      <c r="E662" s="10"/>
      <c r="F662" s="10"/>
    </row>
    <row r="663">
      <c r="A663" s="10"/>
      <c r="B663" s="10"/>
      <c r="C663" s="10"/>
      <c r="D663" s="10"/>
      <c r="E663" s="10"/>
      <c r="F663" s="10"/>
    </row>
    <row r="664">
      <c r="A664" s="10"/>
      <c r="B664" s="10"/>
      <c r="C664" s="10"/>
      <c r="D664" s="10"/>
      <c r="E664" s="10"/>
      <c r="F664" s="10"/>
    </row>
    <row r="665">
      <c r="A665" s="10"/>
      <c r="B665" s="10"/>
      <c r="C665" s="10"/>
      <c r="D665" s="10"/>
      <c r="E665" s="10"/>
      <c r="F665" s="10"/>
    </row>
    <row r="666">
      <c r="A666" s="10"/>
      <c r="B666" s="10"/>
      <c r="C666" s="10"/>
      <c r="D666" s="10"/>
      <c r="E666" s="10"/>
      <c r="F666" s="10"/>
    </row>
    <row r="667">
      <c r="A667" s="10"/>
      <c r="B667" s="10"/>
      <c r="C667" s="10"/>
      <c r="D667" s="10"/>
      <c r="E667" s="10"/>
      <c r="F667" s="10"/>
    </row>
    <row r="668">
      <c r="A668" s="10"/>
      <c r="B668" s="10"/>
      <c r="C668" s="10"/>
      <c r="D668" s="10"/>
      <c r="E668" s="10"/>
      <c r="F668" s="10"/>
    </row>
    <row r="669">
      <c r="A669" s="10"/>
      <c r="B669" s="10"/>
      <c r="C669" s="10"/>
      <c r="D669" s="10"/>
      <c r="E669" s="10"/>
      <c r="F669" s="10"/>
    </row>
    <row r="670">
      <c r="A670" s="10"/>
      <c r="B670" s="10"/>
      <c r="C670" s="10"/>
      <c r="D670" s="10"/>
      <c r="E670" s="10"/>
      <c r="F670" s="10"/>
    </row>
    <row r="671">
      <c r="A671" s="10"/>
      <c r="B671" s="10"/>
      <c r="C671" s="10"/>
      <c r="D671" s="10"/>
      <c r="E671" s="10"/>
      <c r="F671" s="10"/>
    </row>
    <row r="672">
      <c r="A672" s="10"/>
      <c r="B672" s="10"/>
      <c r="C672" s="10"/>
      <c r="D672" s="10"/>
      <c r="E672" s="10"/>
      <c r="F672" s="10"/>
    </row>
    <row r="673">
      <c r="A673" s="10"/>
      <c r="B673" s="10"/>
      <c r="C673" s="10"/>
      <c r="D673" s="10"/>
      <c r="E673" s="10"/>
      <c r="F673" s="10"/>
    </row>
    <row r="674">
      <c r="A674" s="10"/>
      <c r="B674" s="10"/>
      <c r="C674" s="10"/>
      <c r="D674" s="10"/>
      <c r="E674" s="10"/>
      <c r="F674" s="10"/>
    </row>
    <row r="675">
      <c r="A675" s="10"/>
      <c r="B675" s="10"/>
      <c r="C675" s="10"/>
      <c r="D675" s="10"/>
      <c r="E675" s="10"/>
      <c r="F675" s="10"/>
    </row>
    <row r="676">
      <c r="A676" s="10"/>
      <c r="B676" s="10"/>
      <c r="C676" s="10"/>
      <c r="D676" s="10"/>
      <c r="E676" s="10"/>
      <c r="F676" s="10"/>
    </row>
    <row r="677">
      <c r="A677" s="10"/>
      <c r="B677" s="10"/>
      <c r="C677" s="10"/>
      <c r="D677" s="10"/>
      <c r="E677" s="10"/>
      <c r="F677" s="10"/>
    </row>
    <row r="678">
      <c r="A678" s="10"/>
      <c r="B678" s="10"/>
      <c r="C678" s="10"/>
      <c r="D678" s="10"/>
      <c r="E678" s="10"/>
      <c r="F678" s="10"/>
    </row>
    <row r="679">
      <c r="A679" s="10"/>
      <c r="B679" s="10"/>
      <c r="C679" s="10"/>
      <c r="D679" s="10"/>
      <c r="E679" s="10"/>
      <c r="F679" s="10"/>
    </row>
    <row r="680">
      <c r="A680" s="10"/>
      <c r="B680" s="10"/>
      <c r="C680" s="10"/>
      <c r="D680" s="10"/>
      <c r="E680" s="10"/>
      <c r="F680" s="10"/>
    </row>
    <row r="681">
      <c r="A681" s="10"/>
      <c r="B681" s="10"/>
      <c r="C681" s="10"/>
      <c r="D681" s="10"/>
      <c r="E681" s="10"/>
      <c r="F681" s="10"/>
    </row>
    <row r="682">
      <c r="A682" s="10"/>
      <c r="B682" s="10"/>
      <c r="C682" s="10"/>
      <c r="D682" s="10"/>
      <c r="E682" s="10"/>
      <c r="F682" s="10"/>
    </row>
    <row r="683">
      <c r="A683" s="10"/>
      <c r="B683" s="10"/>
      <c r="C683" s="10"/>
      <c r="D683" s="10"/>
      <c r="E683" s="10"/>
      <c r="F683" s="10"/>
    </row>
    <row r="684">
      <c r="A684" s="10"/>
      <c r="B684" s="10"/>
      <c r="C684" s="10"/>
      <c r="D684" s="10"/>
      <c r="E684" s="10"/>
      <c r="F684" s="10"/>
    </row>
    <row r="685">
      <c r="A685" s="10"/>
      <c r="B685" s="10"/>
      <c r="C685" s="10"/>
      <c r="D685" s="10"/>
      <c r="E685" s="10"/>
      <c r="F685" s="10"/>
    </row>
    <row r="686">
      <c r="A686" s="10"/>
      <c r="B686" s="10"/>
      <c r="C686" s="10"/>
      <c r="D686" s="10"/>
      <c r="E686" s="10"/>
      <c r="F686" s="10"/>
    </row>
    <row r="687">
      <c r="A687" s="10"/>
      <c r="B687" s="10"/>
      <c r="C687" s="10"/>
      <c r="D687" s="10"/>
      <c r="E687" s="10"/>
      <c r="F687" s="10"/>
    </row>
    <row r="688">
      <c r="A688" s="10"/>
      <c r="B688" s="10"/>
      <c r="C688" s="10"/>
      <c r="D688" s="10"/>
      <c r="E688" s="10"/>
      <c r="F688" s="10"/>
    </row>
    <row r="689">
      <c r="A689" s="10"/>
      <c r="B689" s="10"/>
      <c r="C689" s="10"/>
      <c r="D689" s="10"/>
      <c r="E689" s="10"/>
      <c r="F689" s="10"/>
    </row>
    <row r="690">
      <c r="A690" s="10"/>
      <c r="B690" s="10"/>
      <c r="C690" s="10"/>
      <c r="D690" s="10"/>
      <c r="E690" s="10"/>
      <c r="F690" s="10"/>
    </row>
    <row r="691">
      <c r="A691" s="10"/>
      <c r="B691" s="10"/>
      <c r="C691" s="10"/>
      <c r="D691" s="10"/>
      <c r="E691" s="10"/>
      <c r="F691" s="10"/>
    </row>
    <row r="692">
      <c r="A692" s="10"/>
      <c r="B692" s="10"/>
      <c r="C692" s="10"/>
      <c r="D692" s="10"/>
      <c r="E692" s="10"/>
      <c r="F692" s="10"/>
    </row>
    <row r="693">
      <c r="A693" s="10"/>
      <c r="B693" s="10"/>
      <c r="C693" s="10"/>
      <c r="D693" s="10"/>
      <c r="E693" s="10"/>
      <c r="F693" s="10"/>
    </row>
    <row r="694">
      <c r="A694" s="10"/>
      <c r="B694" s="10"/>
      <c r="C694" s="10"/>
      <c r="D694" s="10"/>
      <c r="E694" s="10"/>
      <c r="F694" s="10"/>
    </row>
    <row r="695">
      <c r="A695" s="10"/>
      <c r="B695" s="10"/>
      <c r="C695" s="10"/>
      <c r="D695" s="10"/>
      <c r="E695" s="10"/>
      <c r="F695" s="10"/>
    </row>
    <row r="696">
      <c r="A696" s="10"/>
      <c r="B696" s="10"/>
      <c r="C696" s="10"/>
      <c r="D696" s="10"/>
      <c r="E696" s="10"/>
      <c r="F696" s="10"/>
    </row>
    <row r="697">
      <c r="A697" s="10"/>
      <c r="B697" s="10"/>
      <c r="C697" s="10"/>
      <c r="D697" s="10"/>
      <c r="E697" s="10"/>
      <c r="F697" s="10"/>
    </row>
    <row r="698">
      <c r="A698" s="10"/>
      <c r="B698" s="10"/>
      <c r="C698" s="10"/>
      <c r="D698" s="10"/>
      <c r="E698" s="10"/>
      <c r="F698" s="10"/>
    </row>
    <row r="699">
      <c r="A699" s="10"/>
      <c r="B699" s="10"/>
      <c r="C699" s="10"/>
      <c r="D699" s="10"/>
      <c r="E699" s="10"/>
      <c r="F699" s="10"/>
    </row>
    <row r="700">
      <c r="A700" s="10"/>
      <c r="B700" s="10"/>
      <c r="C700" s="10"/>
      <c r="D700" s="10"/>
      <c r="E700" s="10"/>
      <c r="F700" s="10"/>
    </row>
    <row r="701">
      <c r="A701" s="10"/>
      <c r="B701" s="10"/>
      <c r="C701" s="10"/>
      <c r="D701" s="10"/>
      <c r="E701" s="10"/>
      <c r="F701" s="10"/>
    </row>
    <row r="702">
      <c r="A702" s="10"/>
      <c r="B702" s="10"/>
      <c r="C702" s="10"/>
      <c r="D702" s="10"/>
      <c r="E702" s="10"/>
      <c r="F702" s="10"/>
    </row>
    <row r="703">
      <c r="A703" s="10"/>
      <c r="B703" s="10"/>
      <c r="C703" s="10"/>
      <c r="D703" s="10"/>
      <c r="E703" s="10"/>
      <c r="F703" s="10"/>
    </row>
    <row r="704">
      <c r="A704" s="10"/>
      <c r="B704" s="10"/>
      <c r="C704" s="10"/>
      <c r="D704" s="10"/>
      <c r="E704" s="10"/>
      <c r="F704" s="10"/>
    </row>
    <row r="705">
      <c r="A705" s="10"/>
      <c r="B705" s="10"/>
      <c r="C705" s="10"/>
      <c r="D705" s="10"/>
      <c r="E705" s="10"/>
      <c r="F705" s="10"/>
    </row>
    <row r="706">
      <c r="A706" s="10"/>
      <c r="B706" s="10"/>
      <c r="C706" s="10"/>
      <c r="D706" s="10"/>
      <c r="E706" s="10"/>
      <c r="F706" s="10"/>
    </row>
    <row r="707">
      <c r="A707" s="10"/>
      <c r="B707" s="10"/>
      <c r="C707" s="10"/>
      <c r="D707" s="10"/>
      <c r="E707" s="10"/>
      <c r="F707" s="10"/>
    </row>
    <row r="708">
      <c r="A708" s="10"/>
      <c r="B708" s="10"/>
      <c r="C708" s="10"/>
      <c r="D708" s="10"/>
      <c r="E708" s="10"/>
      <c r="F708" s="10"/>
    </row>
    <row r="709">
      <c r="A709" s="10"/>
      <c r="B709" s="10"/>
      <c r="C709" s="10"/>
      <c r="D709" s="10"/>
      <c r="E709" s="10"/>
      <c r="F709" s="10"/>
    </row>
    <row r="710">
      <c r="A710" s="10"/>
      <c r="B710" s="10"/>
      <c r="C710" s="10"/>
      <c r="D710" s="10"/>
      <c r="E710" s="10"/>
      <c r="F710" s="10"/>
    </row>
    <row r="711">
      <c r="A711" s="10"/>
      <c r="B711" s="10"/>
      <c r="C711" s="10"/>
      <c r="D711" s="10"/>
      <c r="E711" s="10"/>
      <c r="F711" s="10"/>
    </row>
    <row r="712">
      <c r="A712" s="10"/>
      <c r="B712" s="10"/>
      <c r="C712" s="10"/>
      <c r="D712" s="10"/>
      <c r="E712" s="10"/>
      <c r="F712" s="10"/>
    </row>
    <row r="713">
      <c r="A713" s="10"/>
      <c r="B713" s="10"/>
      <c r="C713" s="10"/>
      <c r="D713" s="10"/>
      <c r="E713" s="10"/>
      <c r="F713" s="10"/>
    </row>
    <row r="714">
      <c r="A714" s="10"/>
      <c r="B714" s="10"/>
      <c r="C714" s="10"/>
      <c r="D714" s="10"/>
      <c r="E714" s="10"/>
      <c r="F714" s="10"/>
    </row>
    <row r="715">
      <c r="A715" s="10"/>
      <c r="B715" s="10"/>
      <c r="C715" s="10"/>
      <c r="D715" s="10"/>
      <c r="E715" s="10"/>
      <c r="F715" s="10"/>
    </row>
    <row r="716">
      <c r="A716" s="10"/>
      <c r="B716" s="10"/>
      <c r="C716" s="10"/>
      <c r="D716" s="10"/>
      <c r="E716" s="10"/>
      <c r="F716" s="10"/>
    </row>
    <row r="717">
      <c r="A717" s="10"/>
      <c r="B717" s="10"/>
      <c r="C717" s="10"/>
      <c r="D717" s="10"/>
      <c r="E717" s="10"/>
      <c r="F717" s="10"/>
    </row>
    <row r="718">
      <c r="A718" s="10"/>
      <c r="B718" s="10"/>
      <c r="C718" s="10"/>
      <c r="D718" s="10"/>
      <c r="E718" s="10"/>
      <c r="F718" s="10"/>
    </row>
    <row r="719">
      <c r="A719" s="10"/>
      <c r="B719" s="10"/>
      <c r="C719" s="10"/>
      <c r="D719" s="10"/>
      <c r="E719" s="10"/>
      <c r="F719" s="10"/>
    </row>
    <row r="720">
      <c r="A720" s="10"/>
      <c r="B720" s="10"/>
      <c r="C720" s="10"/>
      <c r="D720" s="10"/>
      <c r="E720" s="10"/>
      <c r="F720" s="10"/>
    </row>
    <row r="721">
      <c r="A721" s="10"/>
      <c r="B721" s="10"/>
      <c r="C721" s="10"/>
      <c r="D721" s="10"/>
      <c r="E721" s="10"/>
      <c r="F721" s="10"/>
    </row>
    <row r="722">
      <c r="A722" s="10"/>
      <c r="B722" s="10"/>
      <c r="C722" s="10"/>
      <c r="D722" s="10"/>
      <c r="E722" s="10"/>
      <c r="F722" s="10"/>
    </row>
    <row r="723">
      <c r="A723" s="10"/>
      <c r="B723" s="10"/>
      <c r="C723" s="10"/>
      <c r="D723" s="10"/>
      <c r="E723" s="10"/>
      <c r="F723" s="10"/>
    </row>
    <row r="724">
      <c r="A724" s="10"/>
      <c r="B724" s="10"/>
      <c r="C724" s="10"/>
      <c r="D724" s="10"/>
      <c r="E724" s="10"/>
      <c r="F724" s="10"/>
    </row>
    <row r="725">
      <c r="A725" s="10"/>
      <c r="B725" s="10"/>
      <c r="C725" s="10"/>
      <c r="D725" s="10"/>
      <c r="E725" s="10"/>
      <c r="F725" s="10"/>
    </row>
    <row r="726">
      <c r="A726" s="10"/>
      <c r="B726" s="10"/>
      <c r="C726" s="10"/>
      <c r="D726" s="10"/>
      <c r="E726" s="10"/>
      <c r="F726" s="10"/>
    </row>
    <row r="727">
      <c r="A727" s="10"/>
      <c r="B727" s="10"/>
      <c r="C727" s="10"/>
      <c r="D727" s="10"/>
      <c r="E727" s="10"/>
      <c r="F727" s="10"/>
    </row>
    <row r="728">
      <c r="A728" s="10"/>
      <c r="B728" s="10"/>
      <c r="C728" s="10"/>
      <c r="D728" s="10"/>
      <c r="E728" s="10"/>
      <c r="F728" s="10"/>
    </row>
    <row r="729">
      <c r="A729" s="10"/>
      <c r="B729" s="10"/>
      <c r="C729" s="10"/>
      <c r="D729" s="10"/>
      <c r="E729" s="10"/>
      <c r="F729" s="10"/>
    </row>
    <row r="730">
      <c r="A730" s="10"/>
      <c r="B730" s="10"/>
      <c r="C730" s="10"/>
      <c r="D730" s="10"/>
      <c r="E730" s="10"/>
      <c r="F730" s="10"/>
    </row>
    <row r="731">
      <c r="A731" s="10"/>
      <c r="B731" s="10"/>
      <c r="C731" s="10"/>
      <c r="D731" s="10"/>
      <c r="E731" s="10"/>
      <c r="F731" s="10"/>
    </row>
    <row r="732">
      <c r="A732" s="10"/>
      <c r="B732" s="10"/>
      <c r="C732" s="10"/>
      <c r="D732" s="10"/>
      <c r="E732" s="10"/>
      <c r="F732" s="10"/>
    </row>
    <row r="733">
      <c r="A733" s="10"/>
      <c r="B733" s="10"/>
      <c r="C733" s="10"/>
      <c r="D733" s="10"/>
      <c r="E733" s="10"/>
      <c r="F733" s="10"/>
    </row>
    <row r="734">
      <c r="A734" s="10"/>
      <c r="B734" s="10"/>
      <c r="C734" s="10"/>
      <c r="D734" s="10"/>
      <c r="E734" s="10"/>
      <c r="F734" s="10"/>
    </row>
    <row r="735">
      <c r="A735" s="10"/>
      <c r="B735" s="10"/>
      <c r="C735" s="10"/>
      <c r="D735" s="10"/>
      <c r="E735" s="10"/>
      <c r="F735" s="10"/>
    </row>
    <row r="736">
      <c r="A736" s="10"/>
      <c r="B736" s="10"/>
      <c r="C736" s="10"/>
      <c r="D736" s="10"/>
      <c r="E736" s="10"/>
      <c r="F736" s="10"/>
    </row>
    <row r="737">
      <c r="A737" s="10"/>
      <c r="B737" s="10"/>
      <c r="C737" s="10"/>
      <c r="D737" s="10"/>
      <c r="E737" s="10"/>
      <c r="F737" s="10"/>
    </row>
    <row r="738">
      <c r="A738" s="10"/>
      <c r="B738" s="10"/>
      <c r="C738" s="10"/>
      <c r="D738" s="10"/>
      <c r="E738" s="10"/>
      <c r="F738" s="10"/>
    </row>
    <row r="739">
      <c r="A739" s="10"/>
      <c r="B739" s="10"/>
      <c r="C739" s="10"/>
      <c r="D739" s="10"/>
      <c r="E739" s="10"/>
      <c r="F739" s="10"/>
    </row>
    <row r="740">
      <c r="A740" s="10"/>
      <c r="B740" s="10"/>
      <c r="C740" s="10"/>
      <c r="D740" s="10"/>
      <c r="E740" s="10"/>
      <c r="F740" s="10"/>
    </row>
    <row r="741">
      <c r="A741" s="10"/>
      <c r="B741" s="10"/>
      <c r="C741" s="10"/>
      <c r="D741" s="10"/>
      <c r="E741" s="10"/>
      <c r="F741" s="10"/>
    </row>
    <row r="742">
      <c r="A742" s="10"/>
      <c r="B742" s="10"/>
      <c r="C742" s="10"/>
      <c r="D742" s="10"/>
      <c r="E742" s="10"/>
      <c r="F742" s="10"/>
    </row>
    <row r="743">
      <c r="A743" s="10"/>
      <c r="B743" s="10"/>
      <c r="C743" s="10"/>
      <c r="D743" s="10"/>
      <c r="E743" s="10"/>
      <c r="F743" s="10"/>
    </row>
    <row r="744">
      <c r="A744" s="10"/>
      <c r="B744" s="10"/>
      <c r="C744" s="10"/>
      <c r="D744" s="10"/>
      <c r="E744" s="10"/>
      <c r="F744" s="10"/>
    </row>
    <row r="745">
      <c r="A745" s="10"/>
      <c r="B745" s="10"/>
      <c r="C745" s="10"/>
      <c r="D745" s="10"/>
      <c r="E745" s="10"/>
      <c r="F745" s="10"/>
    </row>
    <row r="746">
      <c r="A746" s="10"/>
      <c r="B746" s="10"/>
      <c r="C746" s="10"/>
      <c r="D746" s="10"/>
      <c r="E746" s="10"/>
      <c r="F746" s="10"/>
    </row>
    <row r="747">
      <c r="A747" s="10"/>
      <c r="B747" s="10"/>
      <c r="C747" s="10"/>
      <c r="D747" s="10"/>
      <c r="E747" s="10"/>
      <c r="F747" s="10"/>
    </row>
    <row r="748">
      <c r="A748" s="10"/>
      <c r="B748" s="10"/>
      <c r="C748" s="10"/>
      <c r="D748" s="10"/>
      <c r="E748" s="10"/>
      <c r="F748" s="10"/>
    </row>
    <row r="749">
      <c r="A749" s="10"/>
      <c r="B749" s="10"/>
      <c r="C749" s="10"/>
      <c r="D749" s="10"/>
      <c r="E749" s="10"/>
      <c r="F749" s="10"/>
    </row>
    <row r="750">
      <c r="A750" s="10"/>
      <c r="B750" s="10"/>
      <c r="C750" s="10"/>
      <c r="D750" s="10"/>
      <c r="E750" s="10"/>
      <c r="F750" s="10"/>
    </row>
    <row r="751">
      <c r="A751" s="10"/>
      <c r="B751" s="10"/>
      <c r="C751" s="10"/>
      <c r="D751" s="10"/>
      <c r="E751" s="10"/>
      <c r="F751" s="10"/>
    </row>
    <row r="752">
      <c r="A752" s="10"/>
      <c r="B752" s="10"/>
      <c r="C752" s="10"/>
      <c r="D752" s="10"/>
      <c r="E752" s="10"/>
      <c r="F752" s="10"/>
    </row>
    <row r="753">
      <c r="A753" s="10"/>
      <c r="B753" s="10"/>
      <c r="C753" s="10"/>
      <c r="D753" s="10"/>
      <c r="E753" s="10"/>
      <c r="F753" s="10"/>
    </row>
    <row r="754">
      <c r="A754" s="10"/>
      <c r="B754" s="10"/>
      <c r="C754" s="10"/>
      <c r="D754" s="10"/>
      <c r="E754" s="10"/>
      <c r="F754" s="10"/>
    </row>
    <row r="755">
      <c r="A755" s="10"/>
      <c r="B755" s="10"/>
      <c r="C755" s="10"/>
      <c r="D755" s="10"/>
      <c r="E755" s="10"/>
      <c r="F755" s="10"/>
    </row>
    <row r="756">
      <c r="A756" s="10"/>
      <c r="B756" s="10"/>
      <c r="C756" s="10"/>
      <c r="D756" s="10"/>
      <c r="E756" s="10"/>
      <c r="F756" s="10"/>
    </row>
    <row r="757">
      <c r="A757" s="10"/>
      <c r="B757" s="10"/>
      <c r="C757" s="10"/>
      <c r="D757" s="10"/>
      <c r="E757" s="10"/>
      <c r="F757" s="10"/>
    </row>
    <row r="758">
      <c r="A758" s="10"/>
      <c r="B758" s="10"/>
      <c r="C758" s="10"/>
      <c r="D758" s="10"/>
      <c r="E758" s="10"/>
      <c r="F758" s="10"/>
    </row>
    <row r="759">
      <c r="A759" s="10"/>
      <c r="B759" s="10"/>
      <c r="C759" s="10"/>
      <c r="D759" s="10"/>
      <c r="E759" s="10"/>
      <c r="F759" s="10"/>
    </row>
    <row r="760">
      <c r="A760" s="10"/>
      <c r="B760" s="10"/>
      <c r="C760" s="10"/>
      <c r="D760" s="10"/>
      <c r="E760" s="10"/>
      <c r="F760" s="10"/>
    </row>
    <row r="761">
      <c r="A761" s="10"/>
      <c r="B761" s="10"/>
      <c r="C761" s="10"/>
      <c r="D761" s="10"/>
      <c r="E761" s="10"/>
      <c r="F761" s="10"/>
    </row>
    <row r="762">
      <c r="A762" s="10"/>
      <c r="B762" s="10"/>
      <c r="C762" s="10"/>
      <c r="D762" s="10"/>
      <c r="E762" s="10"/>
      <c r="F762" s="10"/>
    </row>
    <row r="763">
      <c r="A763" s="10"/>
      <c r="B763" s="10"/>
      <c r="C763" s="10"/>
      <c r="D763" s="10"/>
      <c r="E763" s="10"/>
      <c r="F763" s="10"/>
    </row>
    <row r="764">
      <c r="A764" s="10"/>
      <c r="B764" s="10"/>
      <c r="C764" s="10"/>
      <c r="D764" s="10"/>
      <c r="E764" s="10"/>
      <c r="F764" s="10"/>
    </row>
    <row r="765">
      <c r="A765" s="10"/>
      <c r="B765" s="10"/>
      <c r="C765" s="10"/>
      <c r="D765" s="10"/>
      <c r="E765" s="10"/>
      <c r="F765" s="10"/>
    </row>
    <row r="766">
      <c r="A766" s="10"/>
      <c r="B766" s="10"/>
      <c r="C766" s="10"/>
      <c r="D766" s="10"/>
      <c r="E766" s="10"/>
      <c r="F766" s="10"/>
    </row>
    <row r="767">
      <c r="A767" s="10"/>
      <c r="B767" s="10"/>
      <c r="C767" s="10"/>
      <c r="D767" s="10"/>
      <c r="E767" s="10"/>
      <c r="F767" s="10"/>
    </row>
    <row r="768">
      <c r="A768" s="10"/>
      <c r="B768" s="10"/>
      <c r="C768" s="10"/>
      <c r="D768" s="10"/>
      <c r="E768" s="10"/>
      <c r="F768" s="10"/>
    </row>
    <row r="769">
      <c r="A769" s="10"/>
      <c r="B769" s="10"/>
      <c r="C769" s="10"/>
      <c r="D769" s="10"/>
      <c r="E769" s="10"/>
      <c r="F769" s="10"/>
    </row>
    <row r="770">
      <c r="A770" s="10"/>
      <c r="B770" s="10"/>
      <c r="C770" s="10"/>
      <c r="D770" s="10"/>
      <c r="E770" s="10"/>
      <c r="F770" s="10"/>
    </row>
    <row r="771">
      <c r="A771" s="10"/>
      <c r="B771" s="10"/>
      <c r="C771" s="10"/>
      <c r="D771" s="10"/>
      <c r="E771" s="10"/>
      <c r="F771" s="10"/>
    </row>
    <row r="772">
      <c r="A772" s="10"/>
      <c r="B772" s="10"/>
      <c r="C772" s="10"/>
      <c r="D772" s="10"/>
      <c r="E772" s="10"/>
      <c r="F772" s="10"/>
    </row>
    <row r="773">
      <c r="A773" s="10"/>
      <c r="B773" s="10"/>
      <c r="C773" s="10"/>
      <c r="D773" s="10"/>
      <c r="E773" s="10"/>
      <c r="F773" s="10"/>
    </row>
    <row r="774">
      <c r="A774" s="10"/>
      <c r="B774" s="10"/>
      <c r="C774" s="10"/>
      <c r="D774" s="10"/>
      <c r="E774" s="10"/>
      <c r="F774" s="10"/>
    </row>
    <row r="775">
      <c r="A775" s="10"/>
      <c r="B775" s="10"/>
      <c r="C775" s="10"/>
      <c r="D775" s="10"/>
      <c r="E775" s="10"/>
      <c r="F775" s="10"/>
    </row>
    <row r="776">
      <c r="A776" s="10"/>
      <c r="B776" s="10"/>
      <c r="C776" s="10"/>
      <c r="D776" s="10"/>
      <c r="E776" s="10"/>
      <c r="F776" s="10"/>
    </row>
    <row r="777">
      <c r="A777" s="10"/>
      <c r="B777" s="10"/>
      <c r="C777" s="10"/>
      <c r="D777" s="10"/>
      <c r="E777" s="10"/>
      <c r="F777" s="10"/>
    </row>
    <row r="778">
      <c r="A778" s="10"/>
      <c r="B778" s="10"/>
      <c r="C778" s="10"/>
      <c r="D778" s="10"/>
      <c r="E778" s="10"/>
      <c r="F778" s="10"/>
    </row>
    <row r="779">
      <c r="A779" s="10"/>
      <c r="B779" s="10"/>
      <c r="C779" s="10"/>
      <c r="D779" s="10"/>
      <c r="E779" s="10"/>
      <c r="F779" s="10"/>
    </row>
    <row r="780">
      <c r="A780" s="10"/>
      <c r="B780" s="10"/>
      <c r="C780" s="10"/>
      <c r="D780" s="10"/>
      <c r="E780" s="10"/>
      <c r="F780" s="10"/>
    </row>
    <row r="781">
      <c r="A781" s="10"/>
      <c r="B781" s="10"/>
      <c r="C781" s="10"/>
      <c r="D781" s="10"/>
      <c r="E781" s="10"/>
      <c r="F781" s="10"/>
    </row>
    <row r="782">
      <c r="A782" s="10"/>
      <c r="B782" s="10"/>
      <c r="C782" s="10"/>
      <c r="D782" s="10"/>
      <c r="E782" s="10"/>
      <c r="F782" s="10"/>
    </row>
    <row r="783">
      <c r="A783" s="10"/>
      <c r="B783" s="10"/>
      <c r="C783" s="10"/>
      <c r="D783" s="10"/>
      <c r="E783" s="10"/>
      <c r="F783" s="10"/>
    </row>
    <row r="784">
      <c r="A784" s="10"/>
      <c r="B784" s="10"/>
      <c r="C784" s="10"/>
      <c r="D784" s="10"/>
      <c r="E784" s="10"/>
      <c r="F784" s="10"/>
    </row>
    <row r="785">
      <c r="A785" s="10"/>
      <c r="B785" s="10"/>
      <c r="C785" s="10"/>
      <c r="D785" s="10"/>
      <c r="E785" s="10"/>
      <c r="F785" s="10"/>
    </row>
    <row r="786">
      <c r="A786" s="10"/>
      <c r="B786" s="10"/>
      <c r="C786" s="10"/>
      <c r="D786" s="10"/>
      <c r="E786" s="10"/>
      <c r="F786" s="10"/>
    </row>
    <row r="787">
      <c r="A787" s="10"/>
      <c r="B787" s="10"/>
      <c r="C787" s="10"/>
      <c r="D787" s="10"/>
      <c r="E787" s="10"/>
      <c r="F787" s="10"/>
    </row>
    <row r="788">
      <c r="A788" s="10"/>
      <c r="B788" s="10"/>
      <c r="C788" s="10"/>
      <c r="D788" s="10"/>
      <c r="E788" s="10"/>
      <c r="F788" s="10"/>
    </row>
    <row r="789">
      <c r="A789" s="10"/>
      <c r="B789" s="10"/>
      <c r="C789" s="10"/>
      <c r="D789" s="10"/>
      <c r="E789" s="10"/>
      <c r="F789" s="10"/>
    </row>
    <row r="790">
      <c r="A790" s="10"/>
      <c r="B790" s="10"/>
      <c r="C790" s="10"/>
      <c r="D790" s="10"/>
      <c r="E790" s="10"/>
      <c r="F790" s="10"/>
    </row>
    <row r="791">
      <c r="A791" s="10"/>
      <c r="B791" s="10"/>
      <c r="C791" s="10"/>
      <c r="D791" s="10"/>
      <c r="E791" s="10"/>
      <c r="F791" s="10"/>
    </row>
    <row r="792">
      <c r="A792" s="10"/>
      <c r="B792" s="10"/>
      <c r="C792" s="10"/>
      <c r="D792" s="10"/>
      <c r="E792" s="10"/>
      <c r="F792" s="10"/>
    </row>
    <row r="793">
      <c r="A793" s="10"/>
      <c r="B793" s="10"/>
      <c r="C793" s="10"/>
      <c r="D793" s="10"/>
      <c r="E793" s="10"/>
      <c r="F793" s="10"/>
    </row>
    <row r="794">
      <c r="A794" s="10"/>
      <c r="B794" s="10"/>
      <c r="C794" s="10"/>
      <c r="D794" s="10"/>
      <c r="E794" s="10"/>
      <c r="F794" s="10"/>
    </row>
    <row r="795">
      <c r="A795" s="10"/>
      <c r="B795" s="10"/>
      <c r="C795" s="10"/>
      <c r="D795" s="10"/>
      <c r="E795" s="10"/>
      <c r="F795" s="10"/>
    </row>
    <row r="796">
      <c r="A796" s="10"/>
      <c r="B796" s="10"/>
      <c r="C796" s="10"/>
      <c r="D796" s="10"/>
      <c r="E796" s="10"/>
      <c r="F796" s="10"/>
    </row>
    <row r="797">
      <c r="A797" s="10"/>
      <c r="B797" s="10"/>
      <c r="C797" s="10"/>
      <c r="D797" s="10"/>
      <c r="E797" s="10"/>
      <c r="F797" s="10"/>
    </row>
    <row r="798">
      <c r="A798" s="10"/>
      <c r="B798" s="10"/>
      <c r="C798" s="10"/>
      <c r="D798" s="10"/>
      <c r="E798" s="10"/>
      <c r="F798" s="10"/>
    </row>
    <row r="799">
      <c r="A799" s="10"/>
      <c r="B799" s="10"/>
      <c r="C799" s="10"/>
      <c r="D799" s="10"/>
      <c r="E799" s="10"/>
      <c r="F799" s="10"/>
    </row>
    <row r="800">
      <c r="A800" s="10"/>
      <c r="B800" s="10"/>
      <c r="C800" s="10"/>
      <c r="D800" s="10"/>
      <c r="E800" s="10"/>
      <c r="F800" s="10"/>
    </row>
    <row r="801">
      <c r="A801" s="10"/>
      <c r="B801" s="10"/>
      <c r="C801" s="10"/>
      <c r="D801" s="10"/>
      <c r="E801" s="10"/>
      <c r="F801" s="10"/>
    </row>
    <row r="802">
      <c r="A802" s="10"/>
      <c r="B802" s="10"/>
      <c r="C802" s="10"/>
      <c r="D802" s="10"/>
      <c r="E802" s="10"/>
      <c r="F802" s="10"/>
    </row>
    <row r="803">
      <c r="A803" s="10"/>
      <c r="B803" s="10"/>
      <c r="C803" s="10"/>
      <c r="D803" s="10"/>
      <c r="E803" s="10"/>
      <c r="F803" s="10"/>
    </row>
    <row r="804">
      <c r="A804" s="10"/>
      <c r="B804" s="10"/>
      <c r="C804" s="10"/>
      <c r="D804" s="10"/>
      <c r="E804" s="10"/>
      <c r="F804" s="10"/>
    </row>
    <row r="805">
      <c r="A805" s="10"/>
      <c r="B805" s="10"/>
      <c r="C805" s="10"/>
      <c r="D805" s="10"/>
      <c r="E805" s="10"/>
      <c r="F805" s="10"/>
    </row>
    <row r="806">
      <c r="A806" s="10"/>
      <c r="B806" s="10"/>
      <c r="C806" s="10"/>
      <c r="D806" s="10"/>
      <c r="E806" s="10"/>
      <c r="F806" s="10"/>
    </row>
    <row r="807">
      <c r="A807" s="10"/>
      <c r="B807" s="10"/>
      <c r="C807" s="10"/>
      <c r="D807" s="10"/>
      <c r="E807" s="10"/>
      <c r="F807" s="10"/>
    </row>
    <row r="808">
      <c r="A808" s="10"/>
      <c r="B808" s="10"/>
      <c r="C808" s="10"/>
      <c r="D808" s="10"/>
      <c r="E808" s="10"/>
      <c r="F808" s="10"/>
    </row>
    <row r="809">
      <c r="A809" s="10"/>
      <c r="B809" s="10"/>
      <c r="C809" s="10"/>
      <c r="D809" s="10"/>
      <c r="E809" s="10"/>
      <c r="F809" s="10"/>
    </row>
    <row r="810">
      <c r="A810" s="10"/>
      <c r="B810" s="10"/>
      <c r="C810" s="10"/>
      <c r="D810" s="10"/>
      <c r="E810" s="10"/>
      <c r="F810" s="10"/>
    </row>
    <row r="811">
      <c r="A811" s="10"/>
      <c r="B811" s="10"/>
      <c r="C811" s="10"/>
      <c r="D811" s="10"/>
      <c r="E811" s="10"/>
      <c r="F811" s="10"/>
    </row>
    <row r="812">
      <c r="A812" s="10"/>
      <c r="B812" s="10"/>
      <c r="C812" s="10"/>
      <c r="D812" s="10"/>
      <c r="E812" s="10"/>
      <c r="F812" s="10"/>
    </row>
    <row r="813">
      <c r="A813" s="10"/>
      <c r="B813" s="10"/>
      <c r="C813" s="10"/>
      <c r="D813" s="10"/>
      <c r="E813" s="10"/>
      <c r="F813" s="10"/>
    </row>
    <row r="814">
      <c r="A814" s="10"/>
      <c r="B814" s="10"/>
      <c r="C814" s="10"/>
      <c r="D814" s="10"/>
      <c r="E814" s="10"/>
      <c r="F814" s="10"/>
    </row>
    <row r="815">
      <c r="A815" s="10"/>
      <c r="B815" s="10"/>
      <c r="C815" s="10"/>
      <c r="D815" s="10"/>
      <c r="E815" s="10"/>
      <c r="F815" s="10"/>
    </row>
    <row r="816">
      <c r="A816" s="10"/>
      <c r="B816" s="10"/>
      <c r="C816" s="10"/>
      <c r="D816" s="10"/>
      <c r="E816" s="10"/>
      <c r="F816" s="10"/>
    </row>
    <row r="817">
      <c r="A817" s="10"/>
      <c r="B817" s="10"/>
      <c r="C817" s="10"/>
      <c r="D817" s="10"/>
      <c r="E817" s="10"/>
      <c r="F817" s="10"/>
    </row>
    <row r="818">
      <c r="A818" s="10"/>
      <c r="B818" s="10"/>
      <c r="C818" s="10"/>
      <c r="D818" s="10"/>
      <c r="E818" s="10"/>
      <c r="F818" s="10"/>
    </row>
    <row r="819">
      <c r="A819" s="10"/>
      <c r="B819" s="10"/>
      <c r="C819" s="10"/>
      <c r="D819" s="10"/>
      <c r="E819" s="10"/>
      <c r="F819" s="10"/>
    </row>
    <row r="820">
      <c r="A820" s="10"/>
      <c r="B820" s="10"/>
      <c r="C820" s="10"/>
      <c r="D820" s="10"/>
      <c r="E820" s="10"/>
      <c r="F820" s="10"/>
    </row>
    <row r="821">
      <c r="A821" s="10"/>
      <c r="B821" s="10"/>
      <c r="C821" s="10"/>
      <c r="D821" s="10"/>
      <c r="E821" s="10"/>
      <c r="F821" s="10"/>
    </row>
    <row r="822">
      <c r="A822" s="10"/>
      <c r="B822" s="10"/>
      <c r="C822" s="10"/>
      <c r="D822" s="10"/>
      <c r="E822" s="10"/>
      <c r="F822" s="10"/>
    </row>
    <row r="823">
      <c r="A823" s="10"/>
      <c r="B823" s="10"/>
      <c r="C823" s="10"/>
      <c r="D823" s="10"/>
      <c r="E823" s="10"/>
      <c r="F823" s="10"/>
    </row>
    <row r="824">
      <c r="A824" s="10"/>
      <c r="B824" s="10"/>
      <c r="C824" s="10"/>
      <c r="D824" s="10"/>
      <c r="E824" s="10"/>
      <c r="F824" s="10"/>
    </row>
    <row r="825">
      <c r="A825" s="10"/>
      <c r="B825" s="10"/>
      <c r="C825" s="10"/>
      <c r="D825" s="10"/>
      <c r="E825" s="10"/>
      <c r="F825" s="10"/>
    </row>
    <row r="826">
      <c r="A826" s="10"/>
      <c r="B826" s="10"/>
      <c r="C826" s="10"/>
      <c r="D826" s="10"/>
      <c r="E826" s="10"/>
      <c r="F826" s="10"/>
    </row>
    <row r="827">
      <c r="A827" s="10"/>
      <c r="B827" s="10"/>
      <c r="C827" s="10"/>
      <c r="D827" s="10"/>
      <c r="E827" s="10"/>
      <c r="F827" s="10"/>
    </row>
    <row r="828">
      <c r="A828" s="10"/>
      <c r="B828" s="10"/>
      <c r="C828" s="10"/>
      <c r="D828" s="10"/>
      <c r="E828" s="10"/>
      <c r="F828" s="10"/>
    </row>
    <row r="829">
      <c r="A829" s="10"/>
      <c r="B829" s="10"/>
      <c r="C829" s="10"/>
      <c r="D829" s="10"/>
      <c r="E829" s="10"/>
      <c r="F829" s="10"/>
    </row>
    <row r="830">
      <c r="A830" s="10"/>
      <c r="B830" s="10"/>
      <c r="C830" s="10"/>
      <c r="D830" s="10"/>
      <c r="E830" s="10"/>
      <c r="F830" s="10"/>
    </row>
    <row r="831">
      <c r="A831" s="10"/>
      <c r="B831" s="10"/>
      <c r="C831" s="10"/>
      <c r="D831" s="10"/>
      <c r="E831" s="10"/>
      <c r="F831" s="10"/>
    </row>
    <row r="832">
      <c r="A832" s="10"/>
      <c r="B832" s="10"/>
      <c r="C832" s="10"/>
      <c r="D832" s="10"/>
      <c r="E832" s="10"/>
      <c r="F832" s="10"/>
    </row>
    <row r="833">
      <c r="A833" s="10"/>
      <c r="B833" s="10"/>
      <c r="C833" s="10"/>
      <c r="D833" s="10"/>
      <c r="E833" s="10"/>
      <c r="F833" s="10"/>
    </row>
    <row r="834">
      <c r="A834" s="10"/>
      <c r="B834" s="10"/>
      <c r="C834" s="10"/>
      <c r="D834" s="10"/>
      <c r="E834" s="10"/>
      <c r="F834" s="10"/>
    </row>
    <row r="835">
      <c r="A835" s="10"/>
      <c r="B835" s="10"/>
      <c r="C835" s="10"/>
      <c r="D835" s="10"/>
      <c r="E835" s="10"/>
      <c r="F835" s="10"/>
    </row>
    <row r="836">
      <c r="A836" s="10"/>
      <c r="B836" s="10"/>
      <c r="C836" s="10"/>
      <c r="D836" s="10"/>
      <c r="E836" s="10"/>
      <c r="F836" s="10"/>
    </row>
    <row r="837">
      <c r="A837" s="10"/>
      <c r="B837" s="10"/>
      <c r="C837" s="10"/>
      <c r="D837" s="10"/>
      <c r="E837" s="10"/>
      <c r="F837" s="10"/>
    </row>
    <row r="838">
      <c r="A838" s="10"/>
      <c r="B838" s="10"/>
      <c r="C838" s="10"/>
      <c r="D838" s="10"/>
      <c r="E838" s="10"/>
      <c r="F838" s="10"/>
    </row>
    <row r="839">
      <c r="A839" s="10"/>
      <c r="B839" s="10"/>
      <c r="C839" s="10"/>
      <c r="D839" s="10"/>
      <c r="E839" s="10"/>
      <c r="F839" s="10"/>
    </row>
    <row r="840">
      <c r="A840" s="10"/>
      <c r="B840" s="10"/>
      <c r="C840" s="10"/>
      <c r="D840" s="10"/>
      <c r="E840" s="10"/>
      <c r="F840" s="10"/>
    </row>
    <row r="841">
      <c r="A841" s="10"/>
      <c r="B841" s="10"/>
      <c r="C841" s="10"/>
      <c r="D841" s="10"/>
      <c r="E841" s="10"/>
      <c r="F841" s="10"/>
    </row>
    <row r="842">
      <c r="A842" s="10"/>
      <c r="B842" s="10"/>
      <c r="C842" s="10"/>
      <c r="D842" s="10"/>
      <c r="E842" s="10"/>
      <c r="F842" s="10"/>
    </row>
    <row r="843">
      <c r="A843" s="10"/>
      <c r="B843" s="10"/>
      <c r="C843" s="10"/>
      <c r="D843" s="10"/>
      <c r="E843" s="10"/>
      <c r="F843" s="10"/>
    </row>
    <row r="844">
      <c r="A844" s="10"/>
      <c r="B844" s="10"/>
      <c r="C844" s="10"/>
      <c r="D844" s="10"/>
      <c r="E844" s="10"/>
      <c r="F844" s="10"/>
    </row>
    <row r="845">
      <c r="A845" s="10"/>
      <c r="B845" s="10"/>
      <c r="C845" s="10"/>
      <c r="D845" s="10"/>
      <c r="E845" s="10"/>
      <c r="F845" s="10"/>
    </row>
    <row r="846">
      <c r="A846" s="10"/>
      <c r="B846" s="10"/>
      <c r="C846" s="10"/>
      <c r="D846" s="10"/>
      <c r="E846" s="10"/>
      <c r="F846" s="10"/>
    </row>
    <row r="847">
      <c r="A847" s="10"/>
      <c r="B847" s="10"/>
      <c r="C847" s="10"/>
      <c r="D847" s="10"/>
      <c r="E847" s="10"/>
      <c r="F847" s="10"/>
    </row>
    <row r="848">
      <c r="A848" s="10"/>
      <c r="B848" s="10"/>
      <c r="C848" s="10"/>
      <c r="D848" s="10"/>
      <c r="E848" s="10"/>
      <c r="F848" s="10"/>
    </row>
    <row r="849">
      <c r="A849" s="10"/>
      <c r="B849" s="10"/>
      <c r="C849" s="10"/>
      <c r="D849" s="10"/>
      <c r="E849" s="10"/>
      <c r="F849" s="10"/>
    </row>
    <row r="850">
      <c r="A850" s="10"/>
      <c r="B850" s="10"/>
      <c r="C850" s="10"/>
      <c r="D850" s="10"/>
      <c r="E850" s="10"/>
      <c r="F850" s="10"/>
    </row>
    <row r="851">
      <c r="A851" s="10"/>
      <c r="B851" s="10"/>
      <c r="C851" s="10"/>
      <c r="D851" s="10"/>
      <c r="E851" s="10"/>
      <c r="F851" s="10"/>
    </row>
    <row r="852">
      <c r="A852" s="10"/>
      <c r="B852" s="10"/>
      <c r="C852" s="10"/>
      <c r="D852" s="10"/>
      <c r="E852" s="10"/>
      <c r="F852" s="10"/>
    </row>
    <row r="853">
      <c r="A853" s="10"/>
      <c r="B853" s="10"/>
      <c r="C853" s="10"/>
      <c r="D853" s="10"/>
      <c r="E853" s="10"/>
      <c r="F853" s="10"/>
    </row>
    <row r="854">
      <c r="A854" s="10"/>
      <c r="B854" s="10"/>
      <c r="C854" s="10"/>
      <c r="D854" s="10"/>
      <c r="E854" s="10"/>
      <c r="F854" s="10"/>
    </row>
    <row r="855">
      <c r="A855" s="10"/>
      <c r="B855" s="10"/>
      <c r="C855" s="10"/>
      <c r="D855" s="10"/>
      <c r="E855" s="10"/>
      <c r="F855" s="10"/>
    </row>
    <row r="856">
      <c r="A856" s="10"/>
      <c r="B856" s="10"/>
      <c r="C856" s="10"/>
      <c r="D856" s="10"/>
      <c r="E856" s="10"/>
      <c r="F856" s="10"/>
    </row>
    <row r="857">
      <c r="A857" s="10"/>
      <c r="B857" s="10"/>
      <c r="C857" s="10"/>
      <c r="D857" s="10"/>
      <c r="E857" s="10"/>
      <c r="F857" s="10"/>
    </row>
    <row r="858">
      <c r="A858" s="10"/>
      <c r="B858" s="10"/>
      <c r="C858" s="10"/>
      <c r="D858" s="10"/>
      <c r="E858" s="10"/>
      <c r="F858" s="10"/>
    </row>
    <row r="859">
      <c r="A859" s="10"/>
      <c r="B859" s="10"/>
      <c r="C859" s="10"/>
      <c r="D859" s="10"/>
      <c r="E859" s="10"/>
      <c r="F859" s="10"/>
    </row>
    <row r="860">
      <c r="A860" s="10"/>
      <c r="B860" s="10"/>
      <c r="C860" s="10"/>
      <c r="D860" s="10"/>
      <c r="E860" s="10"/>
      <c r="F860" s="10"/>
    </row>
    <row r="861">
      <c r="A861" s="10"/>
      <c r="B861" s="10"/>
      <c r="C861" s="10"/>
      <c r="D861" s="10"/>
      <c r="E861" s="10"/>
      <c r="F861" s="10"/>
    </row>
    <row r="862">
      <c r="A862" s="10"/>
      <c r="B862" s="10"/>
      <c r="C862" s="10"/>
      <c r="D862" s="10"/>
      <c r="E862" s="10"/>
      <c r="F862" s="10"/>
    </row>
    <row r="863">
      <c r="A863" s="10"/>
      <c r="B863" s="10"/>
      <c r="C863" s="10"/>
      <c r="D863" s="10"/>
      <c r="E863" s="10"/>
      <c r="F863" s="10"/>
    </row>
    <row r="864">
      <c r="A864" s="10"/>
      <c r="B864" s="10"/>
      <c r="C864" s="10"/>
      <c r="D864" s="10"/>
      <c r="E864" s="10"/>
      <c r="F864" s="10"/>
    </row>
    <row r="865">
      <c r="A865" s="10"/>
      <c r="B865" s="10"/>
      <c r="C865" s="10"/>
      <c r="D865" s="10"/>
      <c r="E865" s="10"/>
      <c r="F865" s="10"/>
    </row>
    <row r="866">
      <c r="A866" s="10"/>
      <c r="B866" s="10"/>
      <c r="C866" s="10"/>
      <c r="D866" s="10"/>
      <c r="E866" s="10"/>
      <c r="F866" s="10"/>
    </row>
    <row r="867">
      <c r="A867" s="10"/>
      <c r="B867" s="10"/>
      <c r="C867" s="10"/>
      <c r="D867" s="10"/>
      <c r="E867" s="10"/>
      <c r="F867" s="10"/>
    </row>
    <row r="868">
      <c r="A868" s="10"/>
      <c r="B868" s="10"/>
      <c r="C868" s="10"/>
      <c r="D868" s="10"/>
      <c r="E868" s="10"/>
      <c r="F868" s="10"/>
    </row>
    <row r="869">
      <c r="A869" s="10"/>
      <c r="B869" s="10"/>
      <c r="C869" s="10"/>
      <c r="D869" s="10"/>
      <c r="E869" s="10"/>
      <c r="F869" s="10"/>
    </row>
    <row r="870">
      <c r="A870" s="10"/>
      <c r="B870" s="10"/>
      <c r="C870" s="10"/>
      <c r="D870" s="10"/>
      <c r="E870" s="10"/>
      <c r="F870" s="10"/>
    </row>
    <row r="871">
      <c r="A871" s="10"/>
      <c r="B871" s="10"/>
      <c r="C871" s="10"/>
      <c r="D871" s="10"/>
      <c r="E871" s="10"/>
      <c r="F871" s="10"/>
    </row>
    <row r="872">
      <c r="A872" s="10"/>
      <c r="B872" s="10"/>
      <c r="C872" s="10"/>
      <c r="D872" s="10"/>
      <c r="E872" s="10"/>
      <c r="F872" s="10"/>
    </row>
    <row r="873">
      <c r="A873" s="10"/>
      <c r="B873" s="10"/>
      <c r="C873" s="10"/>
      <c r="D873" s="10"/>
      <c r="E873" s="10"/>
      <c r="F873" s="10"/>
    </row>
    <row r="874">
      <c r="A874" s="10"/>
      <c r="B874" s="10"/>
      <c r="C874" s="10"/>
      <c r="D874" s="10"/>
      <c r="E874" s="10"/>
      <c r="F874" s="10"/>
    </row>
    <row r="875">
      <c r="A875" s="10"/>
      <c r="B875" s="10"/>
      <c r="C875" s="10"/>
      <c r="D875" s="10"/>
      <c r="E875" s="10"/>
      <c r="F875" s="10"/>
    </row>
    <row r="876">
      <c r="A876" s="10"/>
      <c r="B876" s="10"/>
      <c r="C876" s="10"/>
      <c r="D876" s="10"/>
      <c r="E876" s="10"/>
      <c r="F876" s="10"/>
    </row>
    <row r="877">
      <c r="A877" s="10"/>
      <c r="B877" s="10"/>
      <c r="C877" s="10"/>
      <c r="D877" s="10"/>
      <c r="E877" s="10"/>
      <c r="F877" s="10"/>
    </row>
    <row r="878">
      <c r="A878" s="10"/>
      <c r="B878" s="10"/>
      <c r="C878" s="10"/>
      <c r="D878" s="10"/>
      <c r="E878" s="10"/>
      <c r="F878" s="10"/>
    </row>
    <row r="879">
      <c r="A879" s="10"/>
      <c r="B879" s="10"/>
      <c r="C879" s="10"/>
      <c r="D879" s="10"/>
      <c r="E879" s="10"/>
      <c r="F879" s="10"/>
    </row>
    <row r="880">
      <c r="A880" s="10"/>
      <c r="B880" s="10"/>
      <c r="C880" s="10"/>
      <c r="D880" s="10"/>
      <c r="E880" s="10"/>
      <c r="F880" s="10"/>
    </row>
    <row r="881">
      <c r="A881" s="10"/>
      <c r="B881" s="10"/>
      <c r="C881" s="10"/>
      <c r="D881" s="10"/>
      <c r="E881" s="10"/>
      <c r="F881" s="10"/>
    </row>
    <row r="882">
      <c r="A882" s="10"/>
      <c r="B882" s="10"/>
      <c r="C882" s="10"/>
      <c r="D882" s="10"/>
      <c r="E882" s="10"/>
      <c r="F882" s="10"/>
    </row>
    <row r="883">
      <c r="A883" s="10"/>
      <c r="B883" s="10"/>
      <c r="C883" s="10"/>
      <c r="D883" s="10"/>
      <c r="E883" s="10"/>
      <c r="F883" s="10"/>
    </row>
    <row r="884">
      <c r="A884" s="10"/>
      <c r="B884" s="10"/>
      <c r="C884" s="10"/>
      <c r="D884" s="10"/>
      <c r="E884" s="10"/>
      <c r="F884" s="10"/>
    </row>
    <row r="885">
      <c r="A885" s="10"/>
      <c r="B885" s="10"/>
      <c r="C885" s="10"/>
      <c r="D885" s="10"/>
      <c r="E885" s="10"/>
      <c r="F885" s="10"/>
    </row>
    <row r="886">
      <c r="A886" s="10"/>
      <c r="B886" s="10"/>
      <c r="C886" s="10"/>
      <c r="D886" s="10"/>
      <c r="E886" s="10"/>
      <c r="F886" s="10"/>
    </row>
    <row r="887">
      <c r="A887" s="10"/>
      <c r="B887" s="10"/>
      <c r="C887" s="10"/>
      <c r="D887" s="10"/>
      <c r="E887" s="10"/>
      <c r="F887" s="10"/>
    </row>
    <row r="888">
      <c r="A888" s="10"/>
      <c r="B888" s="10"/>
      <c r="C888" s="10"/>
      <c r="D888" s="10"/>
      <c r="E888" s="10"/>
      <c r="F888" s="10"/>
    </row>
    <row r="889">
      <c r="A889" s="10"/>
      <c r="B889" s="10"/>
      <c r="C889" s="10"/>
      <c r="D889" s="10"/>
      <c r="E889" s="10"/>
      <c r="F889" s="10"/>
    </row>
    <row r="890">
      <c r="A890" s="10"/>
      <c r="B890" s="10"/>
      <c r="C890" s="10"/>
      <c r="D890" s="10"/>
      <c r="E890" s="10"/>
      <c r="F890" s="10"/>
    </row>
    <row r="891">
      <c r="A891" s="10"/>
      <c r="B891" s="10"/>
      <c r="C891" s="10"/>
      <c r="D891" s="10"/>
      <c r="E891" s="10"/>
      <c r="F891" s="10"/>
    </row>
    <row r="892">
      <c r="A892" s="10"/>
      <c r="B892" s="10"/>
      <c r="C892" s="10"/>
      <c r="D892" s="10"/>
      <c r="E892" s="10"/>
      <c r="F892" s="10"/>
    </row>
    <row r="893">
      <c r="A893" s="10"/>
      <c r="B893" s="10"/>
      <c r="C893" s="10"/>
      <c r="D893" s="10"/>
      <c r="E893" s="10"/>
      <c r="F893" s="10"/>
    </row>
    <row r="894">
      <c r="A894" s="10"/>
      <c r="B894" s="10"/>
      <c r="C894" s="10"/>
      <c r="D894" s="10"/>
      <c r="E894" s="10"/>
      <c r="F894" s="10"/>
    </row>
    <row r="895">
      <c r="A895" s="10"/>
      <c r="B895" s="10"/>
      <c r="C895" s="10"/>
      <c r="D895" s="10"/>
      <c r="E895" s="10"/>
      <c r="F895" s="10"/>
    </row>
    <row r="896">
      <c r="A896" s="10"/>
      <c r="B896" s="10"/>
      <c r="C896" s="10"/>
      <c r="D896" s="10"/>
      <c r="E896" s="10"/>
      <c r="F896" s="10"/>
    </row>
    <row r="897">
      <c r="A897" s="10"/>
      <c r="B897" s="10"/>
      <c r="C897" s="10"/>
      <c r="D897" s="10"/>
      <c r="E897" s="10"/>
      <c r="F897" s="10"/>
    </row>
    <row r="898">
      <c r="A898" s="10"/>
      <c r="B898" s="10"/>
      <c r="C898" s="10"/>
      <c r="D898" s="10"/>
      <c r="E898" s="10"/>
      <c r="F898" s="10"/>
    </row>
    <row r="899">
      <c r="A899" s="10"/>
      <c r="B899" s="10"/>
      <c r="C899" s="10"/>
      <c r="D899" s="10"/>
      <c r="E899" s="10"/>
      <c r="F899" s="10"/>
    </row>
    <row r="900">
      <c r="A900" s="10"/>
      <c r="B900" s="10"/>
      <c r="C900" s="10"/>
      <c r="D900" s="10"/>
      <c r="E900" s="10"/>
      <c r="F900" s="10"/>
    </row>
    <row r="901">
      <c r="A901" s="10"/>
      <c r="B901" s="10"/>
      <c r="C901" s="10"/>
      <c r="D901" s="10"/>
      <c r="E901" s="10"/>
      <c r="F901" s="10"/>
    </row>
    <row r="902">
      <c r="A902" s="10"/>
      <c r="B902" s="10"/>
      <c r="C902" s="10"/>
      <c r="D902" s="10"/>
      <c r="E902" s="10"/>
      <c r="F902" s="10"/>
    </row>
    <row r="903">
      <c r="A903" s="10"/>
      <c r="B903" s="10"/>
      <c r="C903" s="10"/>
      <c r="D903" s="10"/>
      <c r="E903" s="10"/>
      <c r="F903" s="10"/>
    </row>
    <row r="904">
      <c r="A904" s="10"/>
      <c r="B904" s="10"/>
      <c r="C904" s="10"/>
      <c r="D904" s="10"/>
      <c r="E904" s="10"/>
      <c r="F904" s="10"/>
    </row>
    <row r="905">
      <c r="A905" s="10"/>
      <c r="B905" s="10"/>
      <c r="C905" s="10"/>
      <c r="D905" s="10"/>
      <c r="E905" s="10"/>
      <c r="F905" s="10"/>
    </row>
    <row r="906">
      <c r="A906" s="10"/>
      <c r="B906" s="10"/>
      <c r="C906" s="10"/>
      <c r="D906" s="10"/>
      <c r="E906" s="10"/>
      <c r="F906" s="10"/>
    </row>
    <row r="907">
      <c r="A907" s="10"/>
      <c r="B907" s="10"/>
      <c r="C907" s="10"/>
      <c r="D907" s="10"/>
      <c r="E907" s="10"/>
      <c r="F907" s="10"/>
    </row>
    <row r="908">
      <c r="A908" s="10"/>
      <c r="B908" s="10"/>
      <c r="C908" s="10"/>
      <c r="D908" s="10"/>
      <c r="E908" s="10"/>
      <c r="F908" s="10"/>
    </row>
    <row r="909">
      <c r="A909" s="10"/>
      <c r="B909" s="10"/>
      <c r="C909" s="10"/>
      <c r="D909" s="10"/>
      <c r="E909" s="10"/>
      <c r="F909" s="10"/>
    </row>
    <row r="910">
      <c r="A910" s="10"/>
      <c r="B910" s="10"/>
      <c r="C910" s="10"/>
      <c r="D910" s="10"/>
      <c r="E910" s="10"/>
      <c r="F910" s="10"/>
    </row>
    <row r="911">
      <c r="A911" s="10"/>
      <c r="B911" s="10"/>
      <c r="C911" s="10"/>
      <c r="D911" s="10"/>
      <c r="E911" s="10"/>
      <c r="F911" s="10"/>
    </row>
    <row r="912">
      <c r="A912" s="10"/>
      <c r="B912" s="10"/>
      <c r="C912" s="10"/>
      <c r="D912" s="10"/>
      <c r="E912" s="10"/>
      <c r="F912" s="10"/>
    </row>
    <row r="913">
      <c r="A913" s="10"/>
      <c r="B913" s="10"/>
      <c r="C913" s="10"/>
      <c r="D913" s="10"/>
      <c r="E913" s="10"/>
      <c r="F913" s="10"/>
    </row>
    <row r="914">
      <c r="A914" s="10"/>
      <c r="B914" s="10"/>
      <c r="C914" s="10"/>
      <c r="D914" s="10"/>
      <c r="E914" s="10"/>
      <c r="F914" s="10"/>
    </row>
    <row r="915">
      <c r="A915" s="10"/>
      <c r="B915" s="10"/>
      <c r="C915" s="10"/>
      <c r="D915" s="10"/>
      <c r="E915" s="10"/>
      <c r="F915" s="10"/>
    </row>
    <row r="916">
      <c r="A916" s="10"/>
      <c r="B916" s="10"/>
      <c r="C916" s="10"/>
      <c r="D916" s="10"/>
      <c r="E916" s="10"/>
      <c r="F916" s="10"/>
    </row>
    <row r="917">
      <c r="A917" s="10"/>
      <c r="B917" s="10"/>
      <c r="C917" s="10"/>
      <c r="D917" s="10"/>
      <c r="E917" s="10"/>
      <c r="F917" s="10"/>
    </row>
    <row r="918">
      <c r="A918" s="10"/>
      <c r="B918" s="10"/>
      <c r="C918" s="10"/>
      <c r="D918" s="10"/>
      <c r="E918" s="10"/>
      <c r="F918" s="10"/>
    </row>
    <row r="919">
      <c r="A919" s="10"/>
      <c r="B919" s="10"/>
      <c r="C919" s="10"/>
      <c r="D919" s="10"/>
      <c r="E919" s="10"/>
      <c r="F919" s="10"/>
    </row>
    <row r="920">
      <c r="A920" s="10"/>
      <c r="B920" s="10"/>
      <c r="C920" s="10"/>
      <c r="D920" s="10"/>
      <c r="E920" s="10"/>
      <c r="F920" s="10"/>
    </row>
    <row r="921">
      <c r="A921" s="10"/>
      <c r="B921" s="10"/>
      <c r="C921" s="10"/>
      <c r="D921" s="10"/>
      <c r="E921" s="10"/>
      <c r="F921" s="10"/>
    </row>
    <row r="922">
      <c r="A922" s="10"/>
      <c r="B922" s="10"/>
      <c r="C922" s="10"/>
      <c r="D922" s="10"/>
      <c r="E922" s="10"/>
      <c r="F922" s="10"/>
    </row>
    <row r="923">
      <c r="A923" s="10"/>
      <c r="B923" s="10"/>
      <c r="C923" s="10"/>
      <c r="D923" s="10"/>
      <c r="E923" s="10"/>
      <c r="F923" s="10"/>
    </row>
    <row r="924">
      <c r="A924" s="10"/>
      <c r="B924" s="10"/>
      <c r="C924" s="10"/>
      <c r="D924" s="10"/>
      <c r="E924" s="10"/>
      <c r="F924" s="10"/>
    </row>
    <row r="925">
      <c r="A925" s="10"/>
      <c r="B925" s="10"/>
      <c r="C925" s="10"/>
      <c r="D925" s="10"/>
      <c r="E925" s="10"/>
      <c r="F925" s="10"/>
    </row>
    <row r="926">
      <c r="A926" s="10"/>
      <c r="B926" s="10"/>
      <c r="C926" s="10"/>
      <c r="D926" s="10"/>
      <c r="E926" s="10"/>
      <c r="F926" s="10"/>
    </row>
    <row r="927">
      <c r="A927" s="10"/>
      <c r="B927" s="10"/>
      <c r="C927" s="10"/>
      <c r="D927" s="10"/>
      <c r="E927" s="10"/>
      <c r="F927" s="10"/>
    </row>
    <row r="928">
      <c r="A928" s="10"/>
      <c r="B928" s="10"/>
      <c r="C928" s="10"/>
      <c r="D928" s="10"/>
      <c r="E928" s="10"/>
      <c r="F928" s="10"/>
    </row>
    <row r="929">
      <c r="A929" s="10"/>
      <c r="B929" s="10"/>
      <c r="C929" s="10"/>
      <c r="D929" s="10"/>
      <c r="E929" s="10"/>
      <c r="F929" s="10"/>
    </row>
    <row r="930">
      <c r="A930" s="10"/>
      <c r="B930" s="10"/>
      <c r="C930" s="10"/>
      <c r="D930" s="10"/>
      <c r="E930" s="10"/>
      <c r="F930" s="10"/>
    </row>
    <row r="931">
      <c r="A931" s="10"/>
      <c r="B931" s="10"/>
      <c r="C931" s="10"/>
      <c r="D931" s="10"/>
      <c r="E931" s="10"/>
      <c r="F931" s="10"/>
    </row>
    <row r="932">
      <c r="A932" s="10"/>
      <c r="B932" s="10"/>
      <c r="C932" s="10"/>
      <c r="D932" s="10"/>
      <c r="E932" s="10"/>
      <c r="F932" s="10"/>
    </row>
    <row r="933">
      <c r="A933" s="10"/>
      <c r="B933" s="10"/>
      <c r="C933" s="10"/>
      <c r="D933" s="10"/>
      <c r="E933" s="10"/>
      <c r="F933" s="10"/>
    </row>
    <row r="934">
      <c r="A934" s="10"/>
      <c r="B934" s="10"/>
      <c r="C934" s="10"/>
      <c r="D934" s="10"/>
      <c r="E934" s="10"/>
      <c r="F934" s="10"/>
    </row>
    <row r="935">
      <c r="A935" s="10"/>
      <c r="B935" s="10"/>
      <c r="C935" s="10"/>
      <c r="D935" s="10"/>
      <c r="E935" s="10"/>
      <c r="F935" s="10"/>
    </row>
    <row r="936">
      <c r="A936" s="10"/>
      <c r="B936" s="10"/>
      <c r="C936" s="10"/>
      <c r="D936" s="10"/>
      <c r="E936" s="10"/>
      <c r="F936" s="10"/>
    </row>
    <row r="937">
      <c r="A937" s="10"/>
      <c r="B937" s="10"/>
      <c r="C937" s="10"/>
      <c r="D937" s="10"/>
      <c r="E937" s="10"/>
      <c r="F937" s="10"/>
    </row>
    <row r="938">
      <c r="A938" s="10"/>
      <c r="B938" s="10"/>
      <c r="C938" s="10"/>
      <c r="D938" s="10"/>
      <c r="E938" s="10"/>
      <c r="F938" s="10"/>
    </row>
    <row r="939">
      <c r="A939" s="10"/>
      <c r="B939" s="10"/>
      <c r="C939" s="10"/>
      <c r="D939" s="10"/>
      <c r="E939" s="10"/>
      <c r="F939" s="10"/>
    </row>
    <row r="940">
      <c r="A940" s="10"/>
      <c r="B940" s="10"/>
      <c r="C940" s="10"/>
      <c r="D940" s="10"/>
      <c r="E940" s="10"/>
      <c r="F940" s="10"/>
    </row>
    <row r="941">
      <c r="A941" s="10"/>
      <c r="B941" s="10"/>
      <c r="C941" s="10"/>
      <c r="D941" s="10"/>
      <c r="E941" s="10"/>
      <c r="F941" s="10"/>
    </row>
    <row r="942">
      <c r="A942" s="10"/>
      <c r="B942" s="10"/>
      <c r="C942" s="10"/>
      <c r="D942" s="10"/>
      <c r="E942" s="10"/>
      <c r="F942" s="10"/>
    </row>
    <row r="943">
      <c r="A943" s="10"/>
      <c r="B943" s="10"/>
      <c r="C943" s="10"/>
      <c r="D943" s="10"/>
      <c r="E943" s="10"/>
      <c r="F943" s="10"/>
    </row>
    <row r="944">
      <c r="A944" s="10"/>
      <c r="B944" s="10"/>
      <c r="C944" s="10"/>
      <c r="D944" s="10"/>
      <c r="E944" s="10"/>
      <c r="F944" s="10"/>
    </row>
    <row r="945">
      <c r="A945" s="10"/>
      <c r="B945" s="10"/>
      <c r="C945" s="10"/>
      <c r="D945" s="10"/>
      <c r="E945" s="10"/>
      <c r="F945" s="10"/>
    </row>
    <row r="946">
      <c r="A946" s="10"/>
      <c r="B946" s="10"/>
      <c r="C946" s="10"/>
      <c r="D946" s="10"/>
      <c r="E946" s="10"/>
      <c r="F946" s="10"/>
    </row>
    <row r="947">
      <c r="A947" s="10"/>
      <c r="B947" s="10"/>
      <c r="C947" s="10"/>
      <c r="D947" s="10"/>
      <c r="E947" s="10"/>
      <c r="F947" s="10"/>
    </row>
    <row r="948">
      <c r="A948" s="10"/>
      <c r="B948" s="10"/>
      <c r="C948" s="10"/>
      <c r="D948" s="10"/>
      <c r="E948" s="10"/>
      <c r="F948" s="10"/>
    </row>
    <row r="949">
      <c r="A949" s="10"/>
      <c r="B949" s="10"/>
      <c r="C949" s="10"/>
      <c r="D949" s="10"/>
      <c r="E949" s="10"/>
      <c r="F949" s="10"/>
    </row>
    <row r="950">
      <c r="A950" s="10"/>
      <c r="B950" s="10"/>
      <c r="C950" s="10"/>
      <c r="D950" s="10"/>
      <c r="E950" s="10"/>
      <c r="F950" s="10"/>
    </row>
    <row r="951">
      <c r="A951" s="10"/>
      <c r="B951" s="10"/>
      <c r="C951" s="10"/>
      <c r="D951" s="10"/>
      <c r="E951" s="10"/>
      <c r="F951" s="10"/>
    </row>
    <row r="952">
      <c r="A952" s="10"/>
      <c r="B952" s="10"/>
      <c r="C952" s="10"/>
      <c r="D952" s="10"/>
      <c r="E952" s="10"/>
      <c r="F952" s="10"/>
    </row>
    <row r="953">
      <c r="A953" s="10"/>
      <c r="B953" s="10"/>
      <c r="C953" s="10"/>
      <c r="D953" s="10"/>
      <c r="E953" s="10"/>
      <c r="F953" s="10"/>
    </row>
    <row r="954">
      <c r="A954" s="10"/>
      <c r="B954" s="10"/>
      <c r="C954" s="10"/>
      <c r="D954" s="10"/>
      <c r="E954" s="10"/>
      <c r="F954" s="10"/>
    </row>
    <row r="955">
      <c r="A955" s="10"/>
      <c r="B955" s="10"/>
      <c r="C955" s="10"/>
      <c r="D955" s="10"/>
      <c r="E955" s="10"/>
      <c r="F955" s="10"/>
    </row>
    <row r="956">
      <c r="A956" s="10"/>
      <c r="B956" s="10"/>
      <c r="C956" s="10"/>
      <c r="D956" s="10"/>
      <c r="E956" s="10"/>
      <c r="F956" s="10"/>
    </row>
    <row r="957">
      <c r="A957" s="10"/>
      <c r="B957" s="10"/>
      <c r="C957" s="10"/>
      <c r="D957" s="10"/>
      <c r="E957" s="10"/>
      <c r="F957" s="10"/>
    </row>
    <row r="958">
      <c r="A958" s="10"/>
      <c r="B958" s="10"/>
      <c r="C958" s="10"/>
      <c r="D958" s="10"/>
      <c r="E958" s="10"/>
      <c r="F958" s="10"/>
    </row>
    <row r="959">
      <c r="A959" s="10"/>
      <c r="B959" s="10"/>
      <c r="C959" s="10"/>
      <c r="D959" s="10"/>
      <c r="E959" s="10"/>
      <c r="F959" s="10"/>
    </row>
    <row r="960">
      <c r="A960" s="10"/>
      <c r="B960" s="10"/>
      <c r="C960" s="10"/>
      <c r="D960" s="10"/>
      <c r="E960" s="10"/>
      <c r="F960" s="10"/>
    </row>
    <row r="961">
      <c r="A961" s="10"/>
      <c r="B961" s="10"/>
      <c r="C961" s="10"/>
      <c r="D961" s="10"/>
      <c r="E961" s="10"/>
      <c r="F961" s="10"/>
    </row>
    <row r="962">
      <c r="A962" s="10"/>
      <c r="B962" s="10"/>
      <c r="C962" s="10"/>
      <c r="D962" s="10"/>
      <c r="E962" s="10"/>
      <c r="F962" s="10"/>
    </row>
    <row r="963">
      <c r="A963" s="10"/>
      <c r="B963" s="10"/>
      <c r="C963" s="10"/>
      <c r="D963" s="10"/>
      <c r="E963" s="10"/>
      <c r="F963" s="10"/>
    </row>
    <row r="964">
      <c r="A964" s="10"/>
      <c r="B964" s="10"/>
      <c r="C964" s="10"/>
      <c r="D964" s="10"/>
      <c r="E964" s="10"/>
      <c r="F964" s="10"/>
    </row>
    <row r="965">
      <c r="A965" s="10"/>
      <c r="B965" s="10"/>
      <c r="C965" s="10"/>
      <c r="D965" s="10"/>
      <c r="E965" s="10"/>
      <c r="F965" s="10"/>
    </row>
    <row r="966">
      <c r="A966" s="10"/>
      <c r="B966" s="10"/>
      <c r="C966" s="10"/>
      <c r="D966" s="10"/>
      <c r="E966" s="10"/>
      <c r="F966" s="10"/>
    </row>
    <row r="967">
      <c r="A967" s="10"/>
      <c r="B967" s="10"/>
      <c r="C967" s="10"/>
      <c r="D967" s="10"/>
      <c r="E967" s="10"/>
      <c r="F967" s="10"/>
    </row>
    <row r="968">
      <c r="A968" s="10"/>
      <c r="B968" s="10"/>
      <c r="C968" s="10"/>
      <c r="D968" s="10"/>
      <c r="E968" s="10"/>
      <c r="F968" s="10"/>
    </row>
    <row r="969">
      <c r="A969" s="10"/>
      <c r="B969" s="10"/>
      <c r="C969" s="10"/>
      <c r="D969" s="10"/>
      <c r="E969" s="10"/>
      <c r="F969" s="10"/>
    </row>
    <row r="970">
      <c r="A970" s="10"/>
      <c r="B970" s="10"/>
      <c r="C970" s="10"/>
      <c r="D970" s="10"/>
      <c r="E970" s="10"/>
      <c r="F970" s="10"/>
    </row>
    <row r="971">
      <c r="A971" s="10"/>
      <c r="B971" s="10"/>
      <c r="C971" s="10"/>
      <c r="D971" s="10"/>
      <c r="E971" s="10"/>
      <c r="F971" s="10"/>
    </row>
    <row r="972">
      <c r="A972" s="10"/>
      <c r="B972" s="10"/>
      <c r="C972" s="10"/>
      <c r="D972" s="10"/>
      <c r="E972" s="10"/>
      <c r="F972" s="10"/>
    </row>
    <row r="973">
      <c r="A973" s="10"/>
      <c r="B973" s="10"/>
      <c r="C973" s="10"/>
      <c r="D973" s="10"/>
      <c r="E973" s="10"/>
      <c r="F973" s="10"/>
    </row>
    <row r="974">
      <c r="A974" s="10"/>
      <c r="B974" s="10"/>
      <c r="C974" s="10"/>
      <c r="D974" s="10"/>
      <c r="E974" s="10"/>
      <c r="F974" s="10"/>
    </row>
    <row r="975">
      <c r="A975" s="10"/>
      <c r="B975" s="10"/>
      <c r="C975" s="10"/>
      <c r="D975" s="10"/>
      <c r="E975" s="10"/>
      <c r="F975" s="10"/>
    </row>
    <row r="976">
      <c r="A976" s="10"/>
      <c r="B976" s="10"/>
      <c r="C976" s="10"/>
      <c r="D976" s="10"/>
      <c r="E976" s="10"/>
      <c r="F976" s="10"/>
    </row>
    <row r="977">
      <c r="A977" s="10"/>
      <c r="B977" s="10"/>
      <c r="C977" s="10"/>
      <c r="D977" s="10"/>
      <c r="E977" s="10"/>
      <c r="F977" s="10"/>
    </row>
    <row r="978">
      <c r="A978" s="10"/>
      <c r="B978" s="10"/>
      <c r="C978" s="10"/>
      <c r="D978" s="10"/>
      <c r="E978" s="10"/>
      <c r="F978" s="10"/>
    </row>
    <row r="979">
      <c r="A979" s="10"/>
      <c r="B979" s="10"/>
      <c r="C979" s="10"/>
      <c r="D979" s="10"/>
      <c r="E979" s="10"/>
      <c r="F979" s="10"/>
    </row>
    <row r="980">
      <c r="A980" s="10"/>
      <c r="B980" s="10"/>
      <c r="C980" s="10"/>
      <c r="D980" s="10"/>
      <c r="E980" s="10"/>
      <c r="F980" s="10"/>
    </row>
    <row r="981">
      <c r="A981" s="10"/>
      <c r="B981" s="10"/>
      <c r="C981" s="10"/>
      <c r="D981" s="10"/>
      <c r="E981" s="10"/>
      <c r="F981" s="10"/>
    </row>
    <row r="982">
      <c r="A982" s="10"/>
      <c r="B982" s="10"/>
      <c r="C982" s="10"/>
      <c r="D982" s="10"/>
      <c r="E982" s="10"/>
      <c r="F982" s="10"/>
    </row>
    <row r="983">
      <c r="A983" s="10"/>
      <c r="B983" s="10"/>
      <c r="C983" s="10"/>
      <c r="D983" s="10"/>
      <c r="E983" s="10"/>
      <c r="F983" s="10"/>
    </row>
    <row r="984">
      <c r="A984" s="10"/>
      <c r="B984" s="10"/>
      <c r="C984" s="10"/>
      <c r="D984" s="10"/>
      <c r="E984" s="10"/>
      <c r="F984" s="10"/>
    </row>
    <row r="985">
      <c r="A985" s="10"/>
      <c r="B985" s="10"/>
      <c r="C985" s="10"/>
      <c r="D985" s="10"/>
      <c r="E985" s="10"/>
      <c r="F985" s="10"/>
    </row>
    <row r="986">
      <c r="A986" s="10"/>
      <c r="B986" s="10"/>
      <c r="C986" s="10"/>
      <c r="D986" s="10"/>
      <c r="E986" s="10"/>
      <c r="F986" s="10"/>
    </row>
    <row r="987">
      <c r="A987" s="10"/>
      <c r="B987" s="10"/>
      <c r="C987" s="10"/>
      <c r="D987" s="10"/>
      <c r="E987" s="10"/>
      <c r="F987" s="10"/>
    </row>
    <row r="988">
      <c r="A988" s="10"/>
      <c r="B988" s="10"/>
      <c r="C988" s="10"/>
      <c r="D988" s="10"/>
      <c r="E988" s="10"/>
      <c r="F988" s="10"/>
    </row>
    <row r="989">
      <c r="A989" s="10"/>
      <c r="B989" s="10"/>
      <c r="C989" s="10"/>
      <c r="D989" s="10"/>
      <c r="E989" s="10"/>
      <c r="F989" s="10"/>
    </row>
    <row r="990">
      <c r="A990" s="10"/>
      <c r="B990" s="10"/>
      <c r="C990" s="10"/>
      <c r="D990" s="10"/>
      <c r="E990" s="10"/>
      <c r="F990" s="10"/>
    </row>
    <row r="991">
      <c r="A991" s="10"/>
      <c r="B991" s="10"/>
      <c r="C991" s="10"/>
      <c r="D991" s="10"/>
      <c r="E991" s="10"/>
      <c r="F991" s="10"/>
    </row>
    <row r="992">
      <c r="A992" s="10"/>
      <c r="B992" s="10"/>
      <c r="C992" s="10"/>
      <c r="D992" s="10"/>
      <c r="E992" s="10"/>
      <c r="F992" s="10"/>
    </row>
    <row r="993">
      <c r="A993" s="10"/>
      <c r="B993" s="10"/>
      <c r="C993" s="10"/>
      <c r="D993" s="10"/>
      <c r="E993" s="10"/>
      <c r="F993" s="10"/>
    </row>
    <row r="994">
      <c r="A994" s="10"/>
      <c r="B994" s="10"/>
      <c r="C994" s="10"/>
      <c r="D994" s="10"/>
      <c r="E994" s="10"/>
      <c r="F994" s="10"/>
    </row>
    <row r="995">
      <c r="A995" s="10"/>
      <c r="B995" s="10"/>
      <c r="C995" s="10"/>
      <c r="D995" s="10"/>
      <c r="E995" s="10"/>
      <c r="F995" s="10"/>
    </row>
    <row r="996">
      <c r="A996" s="10"/>
      <c r="B996" s="10"/>
      <c r="C996" s="10"/>
      <c r="D996" s="10"/>
      <c r="E996" s="10"/>
      <c r="F996" s="10"/>
    </row>
    <row r="997">
      <c r="A997" s="10"/>
      <c r="B997" s="10"/>
      <c r="C997" s="10"/>
      <c r="D997" s="10"/>
      <c r="E997" s="10"/>
      <c r="F997" s="10"/>
    </row>
    <row r="998">
      <c r="A998" s="10"/>
      <c r="B998" s="10"/>
      <c r="C998" s="10"/>
      <c r="D998" s="10"/>
      <c r="E998" s="10"/>
      <c r="F998" s="10"/>
    </row>
    <row r="999">
      <c r="A999" s="10"/>
      <c r="B999" s="10"/>
      <c r="C999" s="10"/>
      <c r="D999" s="10"/>
      <c r="E999" s="10"/>
      <c r="F999" s="10"/>
    </row>
    <row r="1000">
      <c r="A1000" s="10"/>
      <c r="B1000" s="10"/>
      <c r="C1000" s="10"/>
      <c r="D1000" s="10"/>
      <c r="E1000" s="10"/>
      <c r="F1000" s="10"/>
    </row>
    <row r="1001">
      <c r="A1001" s="10"/>
      <c r="B1001" s="10"/>
      <c r="C1001" s="10"/>
      <c r="D1001" s="10"/>
      <c r="E1001" s="10"/>
      <c r="F1001" s="10"/>
    </row>
    <row r="1002">
      <c r="A1002" s="10"/>
      <c r="B1002" s="10"/>
      <c r="C1002" s="10"/>
      <c r="D1002" s="10"/>
      <c r="E1002" s="10"/>
      <c r="F1002" s="10"/>
    </row>
    <row r="1003">
      <c r="A1003" s="10"/>
      <c r="B1003" s="10"/>
      <c r="C1003" s="10"/>
      <c r="D1003" s="10"/>
      <c r="E1003" s="10"/>
      <c r="F1003" s="10"/>
    </row>
  </sheetData>
  <mergeCells count="11">
    <mergeCell ref="A10:F10"/>
    <mergeCell ref="A17:B17"/>
    <mergeCell ref="A18:F18"/>
    <mergeCell ref="A19:F19"/>
    <mergeCell ref="A2:F2"/>
    <mergeCell ref="A3:F3"/>
    <mergeCell ref="A4:F4"/>
    <mergeCell ref="A5:F5"/>
    <mergeCell ref="A6:F6"/>
    <mergeCell ref="A7:F7"/>
    <mergeCell ref="H10:K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25"/>
    <col customWidth="1" min="2" max="2" width="36.0"/>
    <col customWidth="1" min="3" max="3" width="20.13"/>
    <col customWidth="1" min="4" max="4" width="33.5"/>
    <col customWidth="1" min="5" max="5" width="21.25"/>
    <col customWidth="1" min="6" max="6" width="23.13"/>
    <col customWidth="1" min="7" max="7" width="32.0"/>
    <col customWidth="1" min="8" max="8" width="27.75"/>
  </cols>
  <sheetData>
    <row r="1">
      <c r="A1" s="27" t="s">
        <v>102</v>
      </c>
      <c r="B1" s="27" t="s">
        <v>103</v>
      </c>
      <c r="C1" s="25"/>
      <c r="D1" s="25"/>
      <c r="E1" s="28"/>
      <c r="F1" s="28"/>
      <c r="G1" s="25"/>
      <c r="H1" s="25"/>
    </row>
    <row r="2">
      <c r="A2" s="29" t="s">
        <v>104</v>
      </c>
      <c r="B2" s="29" t="s">
        <v>105</v>
      </c>
      <c r="C2" s="29" t="s">
        <v>106</v>
      </c>
      <c r="D2" s="29" t="s">
        <v>107</v>
      </c>
      <c r="E2" s="30" t="s">
        <v>108</v>
      </c>
      <c r="F2" s="30" t="s">
        <v>109</v>
      </c>
      <c r="G2" s="29" t="s">
        <v>110</v>
      </c>
      <c r="H2" s="29" t="s">
        <v>111</v>
      </c>
    </row>
    <row r="3">
      <c r="A3" s="31" t="s">
        <v>112</v>
      </c>
    </row>
    <row r="4">
      <c r="A4" s="32" t="s">
        <v>113</v>
      </c>
    </row>
    <row r="5">
      <c r="A5" s="24" t="s">
        <v>114</v>
      </c>
      <c r="B5" s="24" t="s">
        <v>115</v>
      </c>
      <c r="C5" s="24" t="s">
        <v>116</v>
      </c>
      <c r="D5" s="24" t="s">
        <v>117</v>
      </c>
      <c r="E5" s="33">
        <v>6000.0</v>
      </c>
      <c r="F5" s="33" t="s">
        <v>118</v>
      </c>
      <c r="G5" s="24" t="s">
        <v>119</v>
      </c>
      <c r="H5" s="24" t="s">
        <v>120</v>
      </c>
    </row>
    <row r="6">
      <c r="B6" s="24" t="s">
        <v>121</v>
      </c>
      <c r="C6" s="24" t="s">
        <v>116</v>
      </c>
      <c r="D6" s="24" t="s">
        <v>122</v>
      </c>
      <c r="E6" s="33">
        <v>4500.0</v>
      </c>
      <c r="F6" s="33" t="s">
        <v>123</v>
      </c>
      <c r="G6" s="24" t="s">
        <v>124</v>
      </c>
      <c r="H6" s="24" t="s">
        <v>125</v>
      </c>
    </row>
    <row r="7">
      <c r="B7" s="24" t="s">
        <v>126</v>
      </c>
      <c r="C7" s="24" t="s">
        <v>127</v>
      </c>
      <c r="D7" s="24" t="s">
        <v>128</v>
      </c>
      <c r="E7" s="33">
        <v>900.0</v>
      </c>
      <c r="F7" s="33" t="s">
        <v>129</v>
      </c>
      <c r="G7" s="24" t="s">
        <v>130</v>
      </c>
      <c r="H7" s="24" t="s">
        <v>131</v>
      </c>
    </row>
    <row r="8">
      <c r="B8" s="24" t="s">
        <v>132</v>
      </c>
      <c r="C8" s="24" t="s">
        <v>116</v>
      </c>
      <c r="D8" s="24" t="s">
        <v>133</v>
      </c>
      <c r="E8" s="33">
        <v>2200.0</v>
      </c>
      <c r="F8" s="33" t="s">
        <v>134</v>
      </c>
      <c r="G8" s="24" t="s">
        <v>135</v>
      </c>
      <c r="H8" s="24" t="s">
        <v>136</v>
      </c>
    </row>
    <row r="9">
      <c r="B9" s="24" t="s">
        <v>137</v>
      </c>
      <c r="C9" s="24" t="s">
        <v>127</v>
      </c>
      <c r="D9" s="24" t="s">
        <v>138</v>
      </c>
      <c r="E9" s="33">
        <v>1000.0</v>
      </c>
      <c r="F9" s="33" t="s">
        <v>139</v>
      </c>
      <c r="G9" s="24" t="s">
        <v>140</v>
      </c>
      <c r="H9" s="24" t="s">
        <v>141</v>
      </c>
    </row>
    <row r="10">
      <c r="B10" s="24" t="s">
        <v>142</v>
      </c>
      <c r="C10" s="24" t="s">
        <v>127</v>
      </c>
      <c r="D10" s="24" t="s">
        <v>143</v>
      </c>
      <c r="E10" s="33">
        <v>900.0</v>
      </c>
      <c r="F10" s="33" t="s">
        <v>129</v>
      </c>
      <c r="G10" s="24" t="s">
        <v>144</v>
      </c>
      <c r="H10" s="24" t="s">
        <v>145</v>
      </c>
    </row>
    <row r="11">
      <c r="B11" s="24" t="s">
        <v>146</v>
      </c>
      <c r="C11" s="24" t="s">
        <v>147</v>
      </c>
      <c r="D11" s="24" t="s">
        <v>148</v>
      </c>
      <c r="E11" s="33" t="s">
        <v>149</v>
      </c>
      <c r="F11" s="33" t="s">
        <v>150</v>
      </c>
      <c r="G11" s="24" t="s">
        <v>151</v>
      </c>
      <c r="H11" s="24" t="s">
        <v>152</v>
      </c>
    </row>
    <row r="12">
      <c r="B12" s="24" t="s">
        <v>153</v>
      </c>
      <c r="C12" s="24" t="s">
        <v>116</v>
      </c>
      <c r="D12" s="24" t="s">
        <v>154</v>
      </c>
      <c r="E12" s="33">
        <v>6000.0</v>
      </c>
      <c r="F12" s="33" t="s">
        <v>118</v>
      </c>
      <c r="G12" s="24" t="s">
        <v>155</v>
      </c>
      <c r="H12" s="24" t="s">
        <v>156</v>
      </c>
    </row>
    <row r="13">
      <c r="B13" s="24" t="s">
        <v>157</v>
      </c>
      <c r="C13" s="24" t="s">
        <v>127</v>
      </c>
      <c r="D13" s="24" t="s">
        <v>158</v>
      </c>
      <c r="E13" s="33">
        <v>600.0</v>
      </c>
      <c r="F13" s="33" t="s">
        <v>159</v>
      </c>
      <c r="G13" s="24" t="s">
        <v>160</v>
      </c>
      <c r="H13" s="24" t="s">
        <v>161</v>
      </c>
    </row>
    <row r="14">
      <c r="B14" s="24" t="s">
        <v>162</v>
      </c>
      <c r="C14" s="24" t="s">
        <v>127</v>
      </c>
      <c r="D14" s="24" t="s">
        <v>163</v>
      </c>
      <c r="E14" s="33">
        <v>900.0</v>
      </c>
      <c r="F14" s="33" t="s">
        <v>129</v>
      </c>
      <c r="G14" s="24" t="s">
        <v>164</v>
      </c>
      <c r="H14" s="24" t="s">
        <v>165</v>
      </c>
    </row>
    <row r="15">
      <c r="B15" s="24" t="s">
        <v>166</v>
      </c>
      <c r="C15" s="24" t="s">
        <v>127</v>
      </c>
      <c r="D15" s="24" t="s">
        <v>167</v>
      </c>
      <c r="E15" s="33">
        <v>1050.0</v>
      </c>
      <c r="F15" s="33" t="s">
        <v>168</v>
      </c>
      <c r="G15" s="24" t="s">
        <v>169</v>
      </c>
      <c r="H15" s="24" t="s">
        <v>170</v>
      </c>
    </row>
    <row r="16">
      <c r="B16" s="24" t="s">
        <v>171</v>
      </c>
      <c r="C16" s="24" t="s">
        <v>172</v>
      </c>
      <c r="D16" s="24" t="s">
        <v>173</v>
      </c>
      <c r="E16" s="33">
        <v>4000.0</v>
      </c>
      <c r="F16" s="33" t="s">
        <v>174</v>
      </c>
      <c r="G16" s="24" t="s">
        <v>175</v>
      </c>
      <c r="H16" s="24" t="s">
        <v>176</v>
      </c>
    </row>
    <row r="17">
      <c r="B17" s="24" t="s">
        <v>177</v>
      </c>
      <c r="C17" s="24" t="s">
        <v>127</v>
      </c>
      <c r="D17" s="24" t="s">
        <v>178</v>
      </c>
      <c r="E17" s="33" t="s">
        <v>179</v>
      </c>
      <c r="F17" s="33" t="s">
        <v>180</v>
      </c>
      <c r="G17" s="24" t="s">
        <v>181</v>
      </c>
      <c r="H17" s="24" t="s">
        <v>182</v>
      </c>
    </row>
    <row r="18">
      <c r="B18" s="24" t="s">
        <v>183</v>
      </c>
      <c r="C18" s="24" t="s">
        <v>184</v>
      </c>
      <c r="D18" s="24" t="s">
        <v>185</v>
      </c>
      <c r="E18" s="33" t="s">
        <v>186</v>
      </c>
      <c r="F18" s="33" t="s">
        <v>187</v>
      </c>
      <c r="G18" s="24" t="s">
        <v>188</v>
      </c>
      <c r="H18" s="24" t="s">
        <v>189</v>
      </c>
    </row>
    <row r="19">
      <c r="A19" s="24" t="s">
        <v>190</v>
      </c>
      <c r="B19" s="24" t="s">
        <v>191</v>
      </c>
      <c r="C19" s="24" t="s">
        <v>184</v>
      </c>
      <c r="D19" s="24" t="s">
        <v>192</v>
      </c>
      <c r="E19" s="33">
        <v>1000.0</v>
      </c>
      <c r="F19" s="33" t="s">
        <v>193</v>
      </c>
      <c r="G19" s="24" t="s">
        <v>194</v>
      </c>
      <c r="H19" s="24" t="s">
        <v>195</v>
      </c>
    </row>
    <row r="20">
      <c r="B20" s="24" t="s">
        <v>196</v>
      </c>
      <c r="C20" s="24" t="s">
        <v>197</v>
      </c>
      <c r="D20" s="24" t="s">
        <v>198</v>
      </c>
      <c r="E20" s="33" t="s">
        <v>199</v>
      </c>
      <c r="F20" s="33" t="s">
        <v>200</v>
      </c>
      <c r="G20" s="24" t="s">
        <v>201</v>
      </c>
      <c r="H20" s="24" t="s">
        <v>202</v>
      </c>
    </row>
    <row r="21">
      <c r="B21" s="24" t="s">
        <v>203</v>
      </c>
      <c r="C21" s="24" t="s">
        <v>127</v>
      </c>
      <c r="D21" s="24" t="s">
        <v>204</v>
      </c>
      <c r="E21" s="33">
        <v>900.0</v>
      </c>
      <c r="F21" s="33" t="s">
        <v>129</v>
      </c>
      <c r="G21" s="24" t="s">
        <v>205</v>
      </c>
      <c r="H21" s="24" t="s">
        <v>206</v>
      </c>
    </row>
    <row r="22">
      <c r="B22" s="24" t="s">
        <v>207</v>
      </c>
      <c r="C22" s="24" t="s">
        <v>208</v>
      </c>
      <c r="D22" s="24" t="s">
        <v>209</v>
      </c>
      <c r="E22" s="33">
        <v>1500.0</v>
      </c>
      <c r="F22" s="33" t="s">
        <v>210</v>
      </c>
      <c r="G22" s="24" t="s">
        <v>211</v>
      </c>
      <c r="H22" s="24" t="s">
        <v>212</v>
      </c>
    </row>
    <row r="23">
      <c r="B23" s="24" t="s">
        <v>213</v>
      </c>
      <c r="C23" s="24" t="s">
        <v>127</v>
      </c>
      <c r="D23" s="24" t="s">
        <v>214</v>
      </c>
      <c r="E23" s="33">
        <v>900.0</v>
      </c>
      <c r="F23" s="33" t="s">
        <v>129</v>
      </c>
      <c r="G23" s="24" t="s">
        <v>215</v>
      </c>
      <c r="H23" s="24" t="s">
        <v>216</v>
      </c>
    </row>
    <row r="24">
      <c r="B24" s="24" t="s">
        <v>217</v>
      </c>
      <c r="C24" s="24" t="s">
        <v>127</v>
      </c>
      <c r="D24" s="24" t="s">
        <v>158</v>
      </c>
      <c r="E24" s="33">
        <v>400.0</v>
      </c>
      <c r="F24" s="33" t="s">
        <v>218</v>
      </c>
      <c r="G24" s="24" t="s">
        <v>219</v>
      </c>
      <c r="H24" s="24" t="s">
        <v>220</v>
      </c>
    </row>
    <row r="25">
      <c r="B25" s="24" t="s">
        <v>221</v>
      </c>
      <c r="C25" s="24" t="s">
        <v>127</v>
      </c>
      <c r="D25" s="24" t="s">
        <v>222</v>
      </c>
      <c r="E25" s="33">
        <v>600.0</v>
      </c>
      <c r="F25" s="33" t="s">
        <v>223</v>
      </c>
      <c r="G25" s="24" t="s">
        <v>224</v>
      </c>
      <c r="H25" s="24" t="s">
        <v>225</v>
      </c>
    </row>
    <row r="26">
      <c r="B26" s="24" t="s">
        <v>226</v>
      </c>
      <c r="C26" s="24" t="s">
        <v>172</v>
      </c>
      <c r="D26" s="24" t="s">
        <v>227</v>
      </c>
      <c r="E26" s="33">
        <v>3634.0</v>
      </c>
      <c r="F26" s="33" t="s">
        <v>228</v>
      </c>
      <c r="G26" s="24" t="s">
        <v>229</v>
      </c>
      <c r="H26" s="24" t="s">
        <v>230</v>
      </c>
    </row>
    <row r="27">
      <c r="B27" s="24" t="s">
        <v>231</v>
      </c>
      <c r="C27" s="24" t="s">
        <v>127</v>
      </c>
      <c r="D27" s="24" t="s">
        <v>185</v>
      </c>
      <c r="E27" s="33" t="s">
        <v>232</v>
      </c>
      <c r="F27" s="33" t="s">
        <v>233</v>
      </c>
      <c r="G27" s="24" t="s">
        <v>234</v>
      </c>
      <c r="H27" s="24" t="s">
        <v>235</v>
      </c>
    </row>
    <row r="28">
      <c r="A28" s="24" t="s">
        <v>236</v>
      </c>
      <c r="B28" s="24" t="s">
        <v>237</v>
      </c>
      <c r="C28" s="24" t="s">
        <v>172</v>
      </c>
      <c r="D28" s="24" t="s">
        <v>238</v>
      </c>
      <c r="E28" s="33">
        <v>2500.0</v>
      </c>
      <c r="F28" s="33" t="s">
        <v>239</v>
      </c>
      <c r="G28" s="24" t="s">
        <v>240</v>
      </c>
      <c r="H28" s="24" t="s">
        <v>241</v>
      </c>
    </row>
    <row r="29">
      <c r="B29" s="24" t="s">
        <v>242</v>
      </c>
      <c r="C29" s="24" t="s">
        <v>172</v>
      </c>
      <c r="D29" s="24" t="s">
        <v>243</v>
      </c>
      <c r="E29" s="33">
        <v>2500.0</v>
      </c>
      <c r="F29" s="33" t="s">
        <v>239</v>
      </c>
      <c r="G29" s="24" t="s">
        <v>244</v>
      </c>
      <c r="H29" s="24" t="s">
        <v>245</v>
      </c>
    </row>
    <row r="30">
      <c r="B30" s="24" t="s">
        <v>246</v>
      </c>
      <c r="C30" s="24" t="s">
        <v>172</v>
      </c>
      <c r="D30" s="24" t="s">
        <v>247</v>
      </c>
      <c r="E30" s="33">
        <v>1500.0</v>
      </c>
      <c r="F30" s="33" t="s">
        <v>210</v>
      </c>
      <c r="G30" s="24" t="s">
        <v>248</v>
      </c>
      <c r="H30" s="24" t="s">
        <v>249</v>
      </c>
    </row>
    <row r="31">
      <c r="B31" s="24" t="s">
        <v>250</v>
      </c>
      <c r="C31" s="24" t="s">
        <v>172</v>
      </c>
      <c r="D31" s="24" t="s">
        <v>251</v>
      </c>
      <c r="E31" s="33">
        <v>1000.0</v>
      </c>
      <c r="F31" s="33" t="s">
        <v>252</v>
      </c>
      <c r="G31" s="24" t="s">
        <v>253</v>
      </c>
      <c r="H31" s="24" t="s">
        <v>254</v>
      </c>
    </row>
    <row r="32">
      <c r="A32" s="24" t="s">
        <v>255</v>
      </c>
      <c r="B32" s="24" t="s">
        <v>256</v>
      </c>
      <c r="C32" s="24" t="s">
        <v>257</v>
      </c>
      <c r="D32" s="24" t="s">
        <v>258</v>
      </c>
      <c r="E32" s="33" t="s">
        <v>259</v>
      </c>
      <c r="F32" s="33" t="s">
        <v>193</v>
      </c>
      <c r="G32" s="24" t="s">
        <v>260</v>
      </c>
      <c r="H32" s="24" t="s">
        <v>261</v>
      </c>
    </row>
    <row r="33">
      <c r="A33" s="24" t="s">
        <v>262</v>
      </c>
      <c r="B33" s="24" t="s">
        <v>263</v>
      </c>
      <c r="C33" s="24" t="s">
        <v>257</v>
      </c>
      <c r="D33" s="24" t="s">
        <v>198</v>
      </c>
      <c r="E33" s="33" t="s">
        <v>264</v>
      </c>
      <c r="F33" s="33" t="s">
        <v>265</v>
      </c>
      <c r="G33" s="24" t="s">
        <v>266</v>
      </c>
      <c r="H33" s="24" t="s">
        <v>267</v>
      </c>
    </row>
    <row r="34">
      <c r="A34" s="32" t="s">
        <v>78</v>
      </c>
    </row>
    <row r="35">
      <c r="A35" s="24" t="s">
        <v>268</v>
      </c>
      <c r="B35" s="24" t="s">
        <v>269</v>
      </c>
      <c r="C35" s="24" t="s">
        <v>127</v>
      </c>
      <c r="D35" s="24" t="s">
        <v>270</v>
      </c>
      <c r="E35" s="33">
        <v>3400.0</v>
      </c>
      <c r="F35" s="33" t="s">
        <v>271</v>
      </c>
      <c r="G35" s="24" t="s">
        <v>272</v>
      </c>
      <c r="H35" s="24" t="s">
        <v>273</v>
      </c>
    </row>
    <row r="36">
      <c r="B36" s="24" t="s">
        <v>274</v>
      </c>
      <c r="C36" s="24" t="s">
        <v>127</v>
      </c>
      <c r="D36" s="24" t="s">
        <v>275</v>
      </c>
      <c r="E36" s="33">
        <v>1400.0</v>
      </c>
      <c r="F36" s="33" t="s">
        <v>276</v>
      </c>
      <c r="G36" s="24" t="s">
        <v>277</v>
      </c>
      <c r="H36" s="24" t="s">
        <v>278</v>
      </c>
    </row>
    <row r="37">
      <c r="B37" s="24" t="s">
        <v>279</v>
      </c>
      <c r="C37" s="24" t="s">
        <v>127</v>
      </c>
      <c r="D37" s="24" t="s">
        <v>280</v>
      </c>
      <c r="E37" s="33">
        <v>1000.0</v>
      </c>
      <c r="F37" s="33" t="s">
        <v>252</v>
      </c>
      <c r="G37" s="24" t="s">
        <v>281</v>
      </c>
      <c r="H37" s="24" t="s">
        <v>282</v>
      </c>
    </row>
    <row r="38">
      <c r="A38" s="24" t="s">
        <v>283</v>
      </c>
      <c r="B38" s="24" t="s">
        <v>284</v>
      </c>
      <c r="C38" s="24" t="s">
        <v>127</v>
      </c>
      <c r="D38" s="24" t="s">
        <v>285</v>
      </c>
      <c r="E38" s="33">
        <v>2000.0</v>
      </c>
      <c r="F38" s="33" t="s">
        <v>286</v>
      </c>
      <c r="G38" s="24" t="s">
        <v>287</v>
      </c>
      <c r="H38" s="24" t="s">
        <v>288</v>
      </c>
    </row>
    <row r="39">
      <c r="B39" s="24" t="s">
        <v>289</v>
      </c>
      <c r="C39" s="24" t="s">
        <v>208</v>
      </c>
      <c r="D39" s="24" t="s">
        <v>290</v>
      </c>
      <c r="E39" s="33">
        <v>600.0</v>
      </c>
      <c r="F39" s="33" t="s">
        <v>291</v>
      </c>
      <c r="G39" s="24" t="s">
        <v>292</v>
      </c>
      <c r="H39" s="24" t="s">
        <v>293</v>
      </c>
    </row>
    <row r="40">
      <c r="B40" s="24" t="s">
        <v>294</v>
      </c>
      <c r="C40" s="24" t="s">
        <v>127</v>
      </c>
      <c r="D40" s="24" t="s">
        <v>222</v>
      </c>
      <c r="E40" s="33">
        <v>600.0</v>
      </c>
      <c r="F40" s="33" t="s">
        <v>223</v>
      </c>
      <c r="G40" s="24" t="s">
        <v>295</v>
      </c>
      <c r="H40" s="24" t="s">
        <v>296</v>
      </c>
    </row>
    <row r="41">
      <c r="A41" s="32" t="s">
        <v>85</v>
      </c>
    </row>
    <row r="42">
      <c r="A42" s="24" t="s">
        <v>297</v>
      </c>
      <c r="B42" s="24" t="s">
        <v>298</v>
      </c>
      <c r="C42" s="24" t="s">
        <v>299</v>
      </c>
      <c r="D42" s="24" t="s">
        <v>300</v>
      </c>
      <c r="E42" s="33">
        <v>1000.0</v>
      </c>
      <c r="F42" s="33" t="s">
        <v>193</v>
      </c>
      <c r="G42" s="24" t="s">
        <v>301</v>
      </c>
      <c r="H42" s="24" t="s">
        <v>302</v>
      </c>
    </row>
    <row r="43">
      <c r="B43" s="24" t="s">
        <v>303</v>
      </c>
      <c r="C43" s="24" t="s">
        <v>299</v>
      </c>
      <c r="D43" s="24" t="s">
        <v>304</v>
      </c>
      <c r="E43" s="33">
        <v>1300.0</v>
      </c>
      <c r="F43" s="33" t="s">
        <v>305</v>
      </c>
      <c r="G43" s="24" t="s">
        <v>306</v>
      </c>
      <c r="H43" s="24" t="s">
        <v>307</v>
      </c>
    </row>
    <row r="44">
      <c r="B44" s="24" t="s">
        <v>308</v>
      </c>
      <c r="C44" s="24" t="s">
        <v>299</v>
      </c>
      <c r="D44" s="24" t="s">
        <v>309</v>
      </c>
      <c r="E44" s="33">
        <v>600.0</v>
      </c>
      <c r="F44" s="33" t="s">
        <v>291</v>
      </c>
      <c r="G44" s="24" t="s">
        <v>310</v>
      </c>
      <c r="H44" s="24" t="s">
        <v>311</v>
      </c>
    </row>
    <row r="45">
      <c r="A45" s="24" t="s">
        <v>312</v>
      </c>
      <c r="B45" s="24" t="s">
        <v>313</v>
      </c>
      <c r="C45" s="24" t="s">
        <v>299</v>
      </c>
      <c r="D45" s="24" t="s">
        <v>314</v>
      </c>
      <c r="E45" s="33">
        <v>1100.0</v>
      </c>
      <c r="F45" s="33" t="s">
        <v>315</v>
      </c>
      <c r="G45" s="24" t="s">
        <v>316</v>
      </c>
      <c r="H45" s="24" t="s">
        <v>317</v>
      </c>
    </row>
    <row r="46">
      <c r="B46" s="24" t="s">
        <v>318</v>
      </c>
      <c r="C46" s="24" t="s">
        <v>299</v>
      </c>
      <c r="D46" s="24" t="s">
        <v>319</v>
      </c>
      <c r="E46" s="33">
        <v>1000.0</v>
      </c>
      <c r="F46" s="33" t="s">
        <v>320</v>
      </c>
      <c r="G46" s="24" t="s">
        <v>321</v>
      </c>
      <c r="H46" s="24" t="s">
        <v>322</v>
      </c>
    </row>
    <row r="47">
      <c r="A47" s="25"/>
      <c r="B47" s="25"/>
      <c r="C47" s="25"/>
      <c r="D47" s="25"/>
      <c r="E47" s="28"/>
      <c r="F47" s="28"/>
      <c r="G47" s="25"/>
      <c r="H47" s="25"/>
    </row>
    <row r="48">
      <c r="A48" s="25"/>
      <c r="B48" s="25"/>
      <c r="C48" s="25"/>
      <c r="D48" s="25"/>
      <c r="E48" s="28"/>
      <c r="F48" s="28"/>
      <c r="G48" s="25"/>
      <c r="H48" s="25"/>
    </row>
    <row r="49">
      <c r="A49" s="31" t="s">
        <v>323</v>
      </c>
    </row>
    <row r="50">
      <c r="A50" s="24" t="s">
        <v>324</v>
      </c>
      <c r="B50" s="24" t="s">
        <v>325</v>
      </c>
      <c r="C50" s="24" t="s">
        <v>299</v>
      </c>
      <c r="D50" s="24" t="s">
        <v>326</v>
      </c>
      <c r="E50" s="33" t="s">
        <v>327</v>
      </c>
      <c r="F50" s="33" t="s">
        <v>328</v>
      </c>
      <c r="G50" s="24" t="s">
        <v>329</v>
      </c>
      <c r="H50" s="24" t="s">
        <v>330</v>
      </c>
    </row>
    <row r="51">
      <c r="A51" s="34" t="s">
        <v>331</v>
      </c>
      <c r="D51" s="25"/>
      <c r="E51" s="28"/>
      <c r="F51" s="28"/>
      <c r="G51" s="25"/>
      <c r="H51" s="25"/>
    </row>
    <row r="52">
      <c r="A52" s="25"/>
      <c r="B52" s="25"/>
      <c r="C52" s="25"/>
      <c r="D52" s="25"/>
      <c r="E52" s="28"/>
      <c r="F52" s="28"/>
      <c r="G52" s="25"/>
      <c r="H52" s="25"/>
    </row>
    <row r="53">
      <c r="A53" s="25"/>
      <c r="B53" s="25"/>
      <c r="C53" s="25"/>
      <c r="D53" s="25"/>
      <c r="E53" s="28"/>
      <c r="F53" s="28"/>
      <c r="G53" s="25"/>
      <c r="H53" s="25"/>
    </row>
    <row r="54">
      <c r="A54" s="31" t="s">
        <v>332</v>
      </c>
    </row>
    <row r="55">
      <c r="A55" s="24" t="s">
        <v>333</v>
      </c>
      <c r="B55" s="24" t="s">
        <v>334</v>
      </c>
      <c r="C55" s="24" t="s">
        <v>335</v>
      </c>
      <c r="D55" s="24" t="s">
        <v>336</v>
      </c>
      <c r="E55" s="33" t="s">
        <v>337</v>
      </c>
      <c r="F55" s="33" t="s">
        <v>338</v>
      </c>
      <c r="G55" s="24" t="s">
        <v>339</v>
      </c>
      <c r="H55" s="24" t="s">
        <v>340</v>
      </c>
    </row>
    <row r="56">
      <c r="B56" s="24" t="s">
        <v>341</v>
      </c>
      <c r="C56" s="24" t="s">
        <v>335</v>
      </c>
      <c r="D56" s="24" t="s">
        <v>342</v>
      </c>
      <c r="E56" s="33" t="s">
        <v>337</v>
      </c>
      <c r="F56" s="33" t="s">
        <v>338</v>
      </c>
      <c r="G56" s="24" t="s">
        <v>343</v>
      </c>
      <c r="H56" s="24" t="s">
        <v>340</v>
      </c>
    </row>
    <row r="57">
      <c r="B57" s="24" t="s">
        <v>344</v>
      </c>
      <c r="C57" s="24" t="s">
        <v>335</v>
      </c>
      <c r="D57" s="24" t="s">
        <v>345</v>
      </c>
      <c r="E57" s="33" t="s">
        <v>346</v>
      </c>
      <c r="F57" s="33" t="s">
        <v>347</v>
      </c>
      <c r="G57" s="24" t="s">
        <v>348</v>
      </c>
      <c r="H57" s="24" t="s">
        <v>340</v>
      </c>
    </row>
    <row r="58">
      <c r="B58" s="24" t="s">
        <v>349</v>
      </c>
      <c r="C58" s="24" t="s">
        <v>335</v>
      </c>
      <c r="D58" s="24" t="s">
        <v>350</v>
      </c>
      <c r="E58" s="33" t="s">
        <v>351</v>
      </c>
      <c r="F58" s="33" t="s">
        <v>352</v>
      </c>
      <c r="G58" s="24" t="s">
        <v>353</v>
      </c>
      <c r="H58" s="24" t="s">
        <v>340</v>
      </c>
    </row>
    <row r="59">
      <c r="B59" s="24" t="s">
        <v>354</v>
      </c>
      <c r="C59" s="24" t="s">
        <v>335</v>
      </c>
      <c r="D59" s="24" t="s">
        <v>355</v>
      </c>
      <c r="E59" s="33" t="s">
        <v>356</v>
      </c>
      <c r="F59" s="33" t="s">
        <v>357</v>
      </c>
      <c r="G59" s="24" t="s">
        <v>358</v>
      </c>
      <c r="H59" s="24" t="s">
        <v>340</v>
      </c>
    </row>
    <row r="60">
      <c r="A60" s="24" t="s">
        <v>359</v>
      </c>
      <c r="B60" s="24" t="s">
        <v>360</v>
      </c>
      <c r="C60" s="24" t="s">
        <v>335</v>
      </c>
      <c r="D60" s="24" t="s">
        <v>361</v>
      </c>
      <c r="E60" s="33" t="s">
        <v>362</v>
      </c>
      <c r="F60" s="33" t="s">
        <v>363</v>
      </c>
      <c r="G60" s="24" t="s">
        <v>364</v>
      </c>
      <c r="H60" s="24" t="s">
        <v>365</v>
      </c>
    </row>
    <row r="61">
      <c r="A61" s="25"/>
      <c r="B61" s="25"/>
      <c r="C61" s="25"/>
      <c r="D61" s="25"/>
      <c r="E61" s="28"/>
      <c r="F61" s="28"/>
      <c r="G61" s="25"/>
      <c r="H61" s="25"/>
    </row>
    <row r="62">
      <c r="A62" s="25"/>
      <c r="B62" s="25"/>
      <c r="C62" s="25"/>
      <c r="D62" s="25"/>
      <c r="E62" s="28"/>
      <c r="F62" s="28"/>
      <c r="G62" s="25"/>
      <c r="H62" s="25"/>
    </row>
    <row r="63">
      <c r="A63" s="31" t="s">
        <v>366</v>
      </c>
    </row>
    <row r="64">
      <c r="A64" s="25"/>
      <c r="B64" s="25"/>
      <c r="C64" s="25"/>
      <c r="D64" s="25"/>
      <c r="E64" s="28"/>
      <c r="F64" s="28"/>
      <c r="G64" s="25"/>
      <c r="H64" s="25"/>
    </row>
    <row r="65">
      <c r="A65" s="25"/>
      <c r="B65" s="25"/>
      <c r="C65" s="25"/>
      <c r="D65" s="25"/>
      <c r="E65" s="28"/>
      <c r="F65" s="28"/>
      <c r="G65" s="25"/>
      <c r="H65" s="25"/>
    </row>
    <row r="66">
      <c r="A66" s="25"/>
      <c r="B66" s="25"/>
      <c r="C66" s="25"/>
      <c r="D66" s="25"/>
      <c r="E66" s="28"/>
      <c r="F66" s="28"/>
      <c r="G66" s="25"/>
      <c r="H66" s="25"/>
    </row>
    <row r="67">
      <c r="A67" s="25"/>
      <c r="B67" s="25"/>
      <c r="C67" s="25"/>
      <c r="D67" s="25"/>
      <c r="E67" s="28"/>
      <c r="F67" s="28"/>
      <c r="G67" s="25"/>
      <c r="H67" s="25"/>
    </row>
    <row r="68">
      <c r="A68" s="25"/>
      <c r="B68" s="25"/>
      <c r="C68" s="25"/>
      <c r="D68" s="25"/>
      <c r="E68" s="28"/>
      <c r="F68" s="28"/>
      <c r="G68" s="25"/>
      <c r="H68" s="25"/>
    </row>
    <row r="69">
      <c r="A69" s="25"/>
      <c r="B69" s="25"/>
      <c r="C69" s="25"/>
      <c r="D69" s="25"/>
      <c r="E69" s="28"/>
      <c r="F69" s="28"/>
      <c r="G69" s="25"/>
      <c r="H69" s="25"/>
    </row>
    <row r="70">
      <c r="A70" s="25"/>
      <c r="B70" s="25"/>
      <c r="C70" s="25"/>
      <c r="D70" s="25"/>
      <c r="E70" s="28"/>
      <c r="F70" s="28"/>
      <c r="G70" s="25"/>
      <c r="H70" s="25"/>
    </row>
    <row r="71">
      <c r="A71" s="25"/>
      <c r="B71" s="25"/>
      <c r="C71" s="25"/>
      <c r="D71" s="25"/>
      <c r="E71" s="28"/>
      <c r="F71" s="28"/>
      <c r="G71" s="25"/>
      <c r="H71" s="25"/>
    </row>
    <row r="72">
      <c r="A72" s="25"/>
      <c r="B72" s="25"/>
      <c r="C72" s="25"/>
      <c r="D72" s="25"/>
      <c r="E72" s="28"/>
      <c r="F72" s="28"/>
      <c r="G72" s="25"/>
      <c r="H72" s="25"/>
    </row>
    <row r="73">
      <c r="A73" s="25"/>
      <c r="B73" s="25"/>
      <c r="C73" s="25"/>
      <c r="D73" s="25"/>
      <c r="E73" s="28"/>
      <c r="F73" s="28"/>
      <c r="G73" s="25"/>
      <c r="H73" s="25"/>
    </row>
    <row r="74">
      <c r="A74" s="25"/>
      <c r="B74" s="25"/>
      <c r="C74" s="25"/>
      <c r="D74" s="25"/>
      <c r="E74" s="28"/>
      <c r="F74" s="28"/>
      <c r="G74" s="25"/>
      <c r="H74" s="25"/>
    </row>
    <row r="75">
      <c r="A75" s="25"/>
      <c r="B75" s="25"/>
      <c r="C75" s="25"/>
      <c r="D75" s="25"/>
      <c r="E75" s="28"/>
      <c r="F75" s="28"/>
      <c r="G75" s="25"/>
      <c r="H75" s="25"/>
    </row>
    <row r="76">
      <c r="A76" s="25"/>
      <c r="B76" s="25"/>
      <c r="C76" s="25"/>
      <c r="D76" s="25"/>
      <c r="E76" s="28"/>
      <c r="F76" s="28"/>
      <c r="G76" s="25"/>
      <c r="H76" s="25"/>
    </row>
    <row r="77">
      <c r="A77" s="25"/>
      <c r="B77" s="25"/>
      <c r="C77" s="25"/>
      <c r="D77" s="25"/>
      <c r="E77" s="28"/>
      <c r="F77" s="28"/>
      <c r="G77" s="25"/>
      <c r="H77" s="25"/>
    </row>
    <row r="78">
      <c r="A78" s="25"/>
      <c r="B78" s="25"/>
      <c r="C78" s="25"/>
      <c r="D78" s="25"/>
      <c r="E78" s="28"/>
      <c r="F78" s="28"/>
      <c r="G78" s="25"/>
      <c r="H78" s="25"/>
    </row>
    <row r="79">
      <c r="A79" s="25"/>
      <c r="B79" s="25"/>
      <c r="C79" s="25"/>
      <c r="D79" s="25"/>
      <c r="E79" s="28"/>
      <c r="F79" s="28"/>
      <c r="G79" s="25"/>
      <c r="H79" s="25"/>
    </row>
    <row r="80">
      <c r="A80" s="25"/>
      <c r="B80" s="25"/>
      <c r="C80" s="25"/>
      <c r="D80" s="25"/>
      <c r="E80" s="28"/>
      <c r="F80" s="28"/>
      <c r="G80" s="25"/>
      <c r="H80" s="25"/>
    </row>
    <row r="81">
      <c r="A81" s="25"/>
      <c r="B81" s="25"/>
      <c r="C81" s="25"/>
      <c r="D81" s="25"/>
      <c r="E81" s="28"/>
      <c r="F81" s="28"/>
      <c r="G81" s="25"/>
      <c r="H81" s="25"/>
    </row>
    <row r="82">
      <c r="A82" s="25"/>
      <c r="B82" s="25"/>
      <c r="C82" s="25"/>
      <c r="D82" s="25"/>
      <c r="E82" s="28"/>
      <c r="F82" s="28"/>
      <c r="G82" s="25"/>
      <c r="H82" s="25"/>
    </row>
    <row r="83">
      <c r="A83" s="25"/>
      <c r="B83" s="25"/>
      <c r="C83" s="25"/>
      <c r="D83" s="25"/>
      <c r="E83" s="28"/>
      <c r="F83" s="28"/>
      <c r="G83" s="25"/>
      <c r="H83" s="25"/>
    </row>
    <row r="84">
      <c r="A84" s="25"/>
      <c r="B84" s="25"/>
      <c r="C84" s="25"/>
      <c r="D84" s="25"/>
      <c r="E84" s="28"/>
      <c r="F84" s="28"/>
      <c r="G84" s="25"/>
      <c r="H84" s="25"/>
    </row>
    <row r="85">
      <c r="A85" s="25"/>
      <c r="B85" s="25"/>
      <c r="C85" s="25"/>
      <c r="D85" s="25"/>
      <c r="E85" s="28"/>
      <c r="F85" s="28"/>
      <c r="G85" s="25"/>
      <c r="H85" s="25"/>
    </row>
    <row r="86">
      <c r="A86" s="25"/>
      <c r="B86" s="25"/>
      <c r="C86" s="25"/>
      <c r="D86" s="25"/>
      <c r="E86" s="28"/>
      <c r="F86" s="28"/>
      <c r="G86" s="25"/>
      <c r="H86" s="25"/>
    </row>
    <row r="87">
      <c r="A87" s="25"/>
      <c r="B87" s="25"/>
      <c r="C87" s="25"/>
      <c r="D87" s="25"/>
      <c r="E87" s="28"/>
      <c r="F87" s="28"/>
      <c r="G87" s="25"/>
      <c r="H87" s="25"/>
    </row>
    <row r="88">
      <c r="A88" s="25"/>
      <c r="B88" s="25"/>
      <c r="C88" s="25"/>
      <c r="D88" s="25"/>
      <c r="E88" s="28"/>
      <c r="F88" s="28"/>
      <c r="G88" s="25"/>
      <c r="H88" s="25"/>
    </row>
    <row r="89">
      <c r="A89" s="25"/>
      <c r="B89" s="25"/>
      <c r="C89" s="25"/>
      <c r="D89" s="25"/>
      <c r="E89" s="28"/>
      <c r="F89" s="28"/>
      <c r="G89" s="25"/>
      <c r="H89" s="25"/>
    </row>
    <row r="90">
      <c r="A90" s="25"/>
      <c r="B90" s="25"/>
      <c r="C90" s="25"/>
      <c r="D90" s="25"/>
      <c r="E90" s="28"/>
      <c r="F90" s="28"/>
      <c r="G90" s="25"/>
      <c r="H90" s="25"/>
    </row>
    <row r="91">
      <c r="A91" s="25"/>
      <c r="B91" s="25"/>
      <c r="C91" s="25"/>
      <c r="D91" s="25"/>
      <c r="E91" s="28"/>
      <c r="F91" s="28"/>
      <c r="G91" s="25"/>
      <c r="H91" s="25"/>
    </row>
    <row r="92">
      <c r="A92" s="25"/>
      <c r="B92" s="25"/>
      <c r="C92" s="25"/>
      <c r="D92" s="25"/>
      <c r="E92" s="28"/>
      <c r="F92" s="28"/>
      <c r="G92" s="25"/>
      <c r="H92" s="25"/>
    </row>
    <row r="93">
      <c r="A93" s="25"/>
      <c r="B93" s="25"/>
      <c r="C93" s="25"/>
      <c r="D93" s="25"/>
      <c r="E93" s="28"/>
      <c r="F93" s="28"/>
      <c r="G93" s="25"/>
      <c r="H93" s="25"/>
    </row>
    <row r="94">
      <c r="A94" s="25"/>
      <c r="B94" s="25"/>
      <c r="C94" s="25"/>
      <c r="D94" s="25"/>
      <c r="E94" s="28"/>
      <c r="F94" s="28"/>
      <c r="G94" s="25"/>
      <c r="H94" s="25"/>
    </row>
    <row r="95">
      <c r="A95" s="25"/>
      <c r="B95" s="25"/>
      <c r="C95" s="25"/>
      <c r="D95" s="25"/>
      <c r="E95" s="28"/>
      <c r="F95" s="28"/>
      <c r="G95" s="25"/>
      <c r="H95" s="25"/>
    </row>
    <row r="96">
      <c r="A96" s="25"/>
      <c r="B96" s="25"/>
      <c r="C96" s="25"/>
      <c r="D96" s="25"/>
      <c r="E96" s="28"/>
      <c r="F96" s="28"/>
      <c r="G96" s="25"/>
      <c r="H96" s="25"/>
    </row>
    <row r="97">
      <c r="A97" s="25"/>
      <c r="B97" s="25"/>
      <c r="C97" s="25"/>
      <c r="D97" s="25"/>
      <c r="E97" s="28"/>
      <c r="F97" s="28"/>
      <c r="G97" s="25"/>
      <c r="H97" s="25"/>
    </row>
    <row r="98">
      <c r="A98" s="25"/>
      <c r="B98" s="25"/>
      <c r="C98" s="25"/>
      <c r="D98" s="25"/>
      <c r="E98" s="28"/>
      <c r="F98" s="28"/>
      <c r="G98" s="25"/>
      <c r="H98" s="25"/>
    </row>
    <row r="99">
      <c r="A99" s="25"/>
      <c r="B99" s="25"/>
      <c r="C99" s="25"/>
      <c r="D99" s="25"/>
      <c r="E99" s="28"/>
      <c r="F99" s="28"/>
      <c r="G99" s="25"/>
      <c r="H99" s="25"/>
    </row>
    <row r="100">
      <c r="A100" s="25"/>
      <c r="B100" s="25"/>
      <c r="C100" s="25"/>
      <c r="D100" s="25"/>
      <c r="E100" s="28"/>
      <c r="F100" s="28"/>
      <c r="G100" s="25"/>
      <c r="H100" s="25"/>
    </row>
    <row r="101">
      <c r="A101" s="25"/>
      <c r="B101" s="25"/>
      <c r="C101" s="25"/>
      <c r="D101" s="25"/>
      <c r="E101" s="28"/>
      <c r="F101" s="28"/>
      <c r="G101" s="25"/>
      <c r="H101" s="25"/>
    </row>
    <row r="102">
      <c r="A102" s="25"/>
      <c r="B102" s="25"/>
      <c r="C102" s="25"/>
      <c r="D102" s="25"/>
      <c r="E102" s="28"/>
      <c r="F102" s="28"/>
      <c r="G102" s="25"/>
      <c r="H102" s="25"/>
    </row>
    <row r="103">
      <c r="A103" s="25"/>
      <c r="B103" s="25"/>
      <c r="C103" s="25"/>
      <c r="D103" s="25"/>
      <c r="E103" s="28"/>
      <c r="F103" s="28"/>
      <c r="G103" s="25"/>
      <c r="H103" s="25"/>
    </row>
    <row r="104">
      <c r="A104" s="25"/>
      <c r="B104" s="25"/>
      <c r="C104" s="25"/>
      <c r="D104" s="25"/>
      <c r="E104" s="28"/>
      <c r="F104" s="28"/>
      <c r="G104" s="25"/>
      <c r="H104" s="25"/>
    </row>
    <row r="105">
      <c r="A105" s="25"/>
      <c r="B105" s="25"/>
      <c r="C105" s="25"/>
      <c r="D105" s="25"/>
      <c r="E105" s="28"/>
      <c r="F105" s="28"/>
      <c r="G105" s="25"/>
      <c r="H105" s="25"/>
    </row>
    <row r="106">
      <c r="A106" s="25"/>
      <c r="B106" s="25"/>
      <c r="C106" s="25"/>
      <c r="D106" s="25"/>
      <c r="E106" s="28"/>
      <c r="F106" s="28"/>
      <c r="G106" s="25"/>
      <c r="H106" s="25"/>
    </row>
    <row r="107">
      <c r="A107" s="25"/>
      <c r="B107" s="25"/>
      <c r="C107" s="25"/>
      <c r="D107" s="25"/>
      <c r="E107" s="28"/>
      <c r="F107" s="28"/>
      <c r="G107" s="25"/>
      <c r="H107" s="25"/>
    </row>
    <row r="108">
      <c r="A108" s="25"/>
      <c r="B108" s="25"/>
      <c r="C108" s="25"/>
      <c r="D108" s="25"/>
      <c r="E108" s="28"/>
      <c r="F108" s="28"/>
      <c r="G108" s="25"/>
      <c r="H108" s="25"/>
    </row>
    <row r="109">
      <c r="A109" s="25"/>
      <c r="B109" s="25"/>
      <c r="C109" s="25"/>
      <c r="D109" s="25"/>
      <c r="E109" s="28"/>
      <c r="F109" s="28"/>
      <c r="G109" s="25"/>
      <c r="H109" s="25"/>
    </row>
    <row r="110">
      <c r="A110" s="25"/>
      <c r="B110" s="25"/>
      <c r="C110" s="25"/>
      <c r="D110" s="25"/>
      <c r="E110" s="28"/>
      <c r="F110" s="28"/>
      <c r="G110" s="25"/>
      <c r="H110" s="25"/>
    </row>
    <row r="111">
      <c r="A111" s="25"/>
      <c r="B111" s="25"/>
      <c r="C111" s="25"/>
      <c r="D111" s="25"/>
      <c r="E111" s="28"/>
      <c r="F111" s="28"/>
      <c r="G111" s="25"/>
      <c r="H111" s="25"/>
    </row>
    <row r="112">
      <c r="A112" s="25"/>
      <c r="B112" s="25"/>
      <c r="C112" s="25"/>
      <c r="D112" s="25"/>
      <c r="E112" s="28"/>
      <c r="F112" s="28"/>
      <c r="G112" s="25"/>
      <c r="H112" s="25"/>
    </row>
    <row r="113">
      <c r="A113" s="25"/>
      <c r="B113" s="25"/>
      <c r="C113" s="25"/>
      <c r="D113" s="25"/>
      <c r="E113" s="28"/>
      <c r="F113" s="28"/>
      <c r="G113" s="25"/>
      <c r="H113" s="25"/>
    </row>
    <row r="114">
      <c r="A114" s="25"/>
      <c r="B114" s="25"/>
      <c r="C114" s="25"/>
      <c r="D114" s="25"/>
      <c r="E114" s="28"/>
      <c r="F114" s="28"/>
      <c r="G114" s="25"/>
      <c r="H114" s="25"/>
    </row>
    <row r="115">
      <c r="A115" s="25"/>
      <c r="B115" s="25"/>
      <c r="C115" s="25"/>
      <c r="D115" s="25"/>
      <c r="E115" s="28"/>
      <c r="F115" s="28"/>
      <c r="G115" s="25"/>
      <c r="H115" s="25"/>
    </row>
    <row r="116">
      <c r="A116" s="25"/>
      <c r="B116" s="25"/>
      <c r="C116" s="25"/>
      <c r="D116" s="25"/>
      <c r="E116" s="28"/>
      <c r="F116" s="28"/>
      <c r="G116" s="25"/>
      <c r="H116" s="25"/>
    </row>
    <row r="117">
      <c r="A117" s="25"/>
      <c r="B117" s="25"/>
      <c r="C117" s="25"/>
      <c r="D117" s="25"/>
      <c r="E117" s="28"/>
      <c r="F117" s="28"/>
      <c r="G117" s="25"/>
      <c r="H117" s="25"/>
    </row>
    <row r="118">
      <c r="A118" s="25"/>
      <c r="B118" s="25"/>
      <c r="C118" s="25"/>
      <c r="D118" s="25"/>
      <c r="E118" s="28"/>
      <c r="F118" s="28"/>
      <c r="G118" s="25"/>
      <c r="H118" s="25"/>
    </row>
    <row r="119">
      <c r="A119" s="25"/>
      <c r="B119" s="25"/>
      <c r="C119" s="25"/>
      <c r="D119" s="25"/>
      <c r="E119" s="28"/>
      <c r="F119" s="28"/>
      <c r="G119" s="25"/>
      <c r="H119" s="25"/>
    </row>
    <row r="120">
      <c r="A120" s="25"/>
      <c r="B120" s="25"/>
      <c r="C120" s="25"/>
      <c r="D120" s="25"/>
      <c r="E120" s="28"/>
      <c r="F120" s="28"/>
      <c r="G120" s="25"/>
      <c r="H120" s="25"/>
    </row>
    <row r="121">
      <c r="A121" s="25"/>
      <c r="B121" s="25"/>
      <c r="C121" s="25"/>
      <c r="D121" s="25"/>
      <c r="E121" s="28"/>
      <c r="F121" s="28"/>
      <c r="G121" s="25"/>
      <c r="H121" s="25"/>
    </row>
    <row r="122">
      <c r="A122" s="25"/>
      <c r="B122" s="25"/>
      <c r="C122" s="25"/>
      <c r="D122" s="25"/>
      <c r="E122" s="28"/>
      <c r="F122" s="28"/>
      <c r="G122" s="25"/>
      <c r="H122" s="25"/>
    </row>
    <row r="123">
      <c r="A123" s="25"/>
      <c r="B123" s="25"/>
      <c r="C123" s="25"/>
      <c r="D123" s="25"/>
      <c r="E123" s="28"/>
      <c r="F123" s="28"/>
      <c r="G123" s="25"/>
      <c r="H123" s="25"/>
    </row>
    <row r="124">
      <c r="A124" s="25"/>
      <c r="B124" s="25"/>
      <c r="C124" s="25"/>
      <c r="D124" s="25"/>
      <c r="E124" s="28"/>
      <c r="F124" s="28"/>
      <c r="G124" s="25"/>
      <c r="H124" s="25"/>
    </row>
    <row r="125">
      <c r="A125" s="25"/>
      <c r="B125" s="25"/>
      <c r="C125" s="25"/>
      <c r="D125" s="25"/>
      <c r="E125" s="28"/>
      <c r="F125" s="28"/>
      <c r="G125" s="25"/>
      <c r="H125" s="25"/>
    </row>
    <row r="126">
      <c r="A126" s="25"/>
      <c r="B126" s="25"/>
      <c r="C126" s="25"/>
      <c r="D126" s="25"/>
      <c r="E126" s="28"/>
      <c r="F126" s="28"/>
      <c r="G126" s="25"/>
      <c r="H126" s="25"/>
    </row>
    <row r="127">
      <c r="A127" s="25"/>
      <c r="B127" s="25"/>
      <c r="C127" s="25"/>
      <c r="D127" s="25"/>
      <c r="E127" s="28"/>
      <c r="F127" s="28"/>
      <c r="G127" s="25"/>
      <c r="H127" s="25"/>
    </row>
    <row r="128">
      <c r="A128" s="25"/>
      <c r="B128" s="25"/>
      <c r="C128" s="25"/>
      <c r="D128" s="25"/>
      <c r="E128" s="28"/>
      <c r="F128" s="28"/>
      <c r="G128" s="25"/>
      <c r="H128" s="25"/>
    </row>
    <row r="129">
      <c r="A129" s="25"/>
      <c r="B129" s="25"/>
      <c r="C129" s="25"/>
      <c r="D129" s="25"/>
      <c r="E129" s="28"/>
      <c r="F129" s="28"/>
      <c r="G129" s="25"/>
      <c r="H129" s="25"/>
    </row>
    <row r="130">
      <c r="A130" s="25"/>
      <c r="B130" s="25"/>
      <c r="C130" s="25"/>
      <c r="D130" s="25"/>
      <c r="E130" s="28"/>
      <c r="F130" s="28"/>
      <c r="G130" s="25"/>
      <c r="H130" s="25"/>
    </row>
    <row r="131">
      <c r="A131" s="25"/>
      <c r="B131" s="25"/>
      <c r="C131" s="25"/>
      <c r="D131" s="25"/>
      <c r="E131" s="28"/>
      <c r="F131" s="28"/>
      <c r="G131" s="25"/>
      <c r="H131" s="25"/>
    </row>
    <row r="132">
      <c r="A132" s="25"/>
      <c r="B132" s="25"/>
      <c r="C132" s="25"/>
      <c r="D132" s="25"/>
      <c r="E132" s="28"/>
      <c r="F132" s="28"/>
      <c r="G132" s="25"/>
      <c r="H132" s="25"/>
    </row>
    <row r="133">
      <c r="A133" s="25"/>
      <c r="B133" s="25"/>
      <c r="C133" s="25"/>
      <c r="D133" s="25"/>
      <c r="E133" s="28"/>
      <c r="F133" s="28"/>
      <c r="G133" s="25"/>
      <c r="H133" s="25"/>
    </row>
    <row r="134">
      <c r="A134" s="25"/>
      <c r="B134" s="25"/>
      <c r="C134" s="25"/>
      <c r="D134" s="25"/>
      <c r="E134" s="28"/>
      <c r="F134" s="28"/>
      <c r="G134" s="25"/>
      <c r="H134" s="25"/>
    </row>
    <row r="135">
      <c r="A135" s="25"/>
      <c r="B135" s="25"/>
      <c r="C135" s="25"/>
      <c r="D135" s="25"/>
      <c r="E135" s="28"/>
      <c r="F135" s="28"/>
      <c r="G135" s="25"/>
      <c r="H135" s="25"/>
    </row>
    <row r="136">
      <c r="A136" s="25"/>
      <c r="B136" s="25"/>
      <c r="C136" s="25"/>
      <c r="D136" s="25"/>
      <c r="E136" s="28"/>
      <c r="F136" s="28"/>
      <c r="G136" s="25"/>
      <c r="H136" s="25"/>
    </row>
    <row r="137">
      <c r="A137" s="25"/>
      <c r="B137" s="25"/>
      <c r="C137" s="25"/>
      <c r="D137" s="25"/>
      <c r="E137" s="28"/>
      <c r="F137" s="28"/>
      <c r="G137" s="25"/>
      <c r="H137" s="25"/>
    </row>
    <row r="138">
      <c r="A138" s="25"/>
      <c r="B138" s="25"/>
      <c r="C138" s="25"/>
      <c r="D138" s="25"/>
      <c r="E138" s="28"/>
      <c r="F138" s="28"/>
      <c r="G138" s="25"/>
      <c r="H138" s="25"/>
    </row>
    <row r="139">
      <c r="A139" s="25"/>
      <c r="B139" s="25"/>
      <c r="C139" s="25"/>
      <c r="D139" s="25"/>
      <c r="E139" s="28"/>
      <c r="F139" s="28"/>
      <c r="G139" s="25"/>
      <c r="H139" s="25"/>
    </row>
    <row r="140">
      <c r="A140" s="25"/>
      <c r="B140" s="25"/>
      <c r="C140" s="25"/>
      <c r="D140" s="25"/>
      <c r="E140" s="28"/>
      <c r="F140" s="28"/>
      <c r="G140" s="25"/>
      <c r="H140" s="25"/>
    </row>
    <row r="141">
      <c r="A141" s="25"/>
      <c r="B141" s="25"/>
      <c r="C141" s="25"/>
      <c r="D141" s="25"/>
      <c r="E141" s="28"/>
      <c r="F141" s="28"/>
      <c r="G141" s="25"/>
      <c r="H141" s="25"/>
    </row>
    <row r="142">
      <c r="A142" s="25"/>
      <c r="B142" s="25"/>
      <c r="C142" s="25"/>
      <c r="D142" s="25"/>
      <c r="E142" s="28"/>
      <c r="F142" s="28"/>
      <c r="G142" s="25"/>
      <c r="H142" s="25"/>
    </row>
    <row r="143">
      <c r="A143" s="25"/>
      <c r="B143" s="25"/>
      <c r="C143" s="25"/>
      <c r="D143" s="25"/>
      <c r="E143" s="28"/>
      <c r="F143" s="28"/>
      <c r="G143" s="25"/>
      <c r="H143" s="25"/>
    </row>
    <row r="144">
      <c r="A144" s="25"/>
      <c r="B144" s="25"/>
      <c r="C144" s="25"/>
      <c r="D144" s="25"/>
      <c r="E144" s="28"/>
      <c r="F144" s="28"/>
      <c r="G144" s="25"/>
      <c r="H144" s="25"/>
    </row>
    <row r="145">
      <c r="A145" s="25"/>
      <c r="B145" s="25"/>
      <c r="C145" s="25"/>
      <c r="D145" s="25"/>
      <c r="E145" s="28"/>
      <c r="F145" s="28"/>
      <c r="G145" s="25"/>
      <c r="H145" s="25"/>
    </row>
    <row r="146">
      <c r="A146" s="25"/>
      <c r="B146" s="25"/>
      <c r="C146" s="25"/>
      <c r="D146" s="25"/>
      <c r="E146" s="28"/>
      <c r="F146" s="28"/>
      <c r="G146" s="25"/>
      <c r="H146" s="25"/>
    </row>
    <row r="147">
      <c r="A147" s="25"/>
      <c r="B147" s="25"/>
      <c r="C147" s="25"/>
      <c r="D147" s="25"/>
      <c r="E147" s="28"/>
      <c r="F147" s="28"/>
      <c r="G147" s="25"/>
      <c r="H147" s="25"/>
    </row>
    <row r="148">
      <c r="A148" s="25"/>
      <c r="B148" s="25"/>
      <c r="C148" s="25"/>
      <c r="D148" s="25"/>
      <c r="E148" s="28"/>
      <c r="F148" s="28"/>
      <c r="G148" s="25"/>
      <c r="H148" s="25"/>
    </row>
    <row r="149">
      <c r="A149" s="25"/>
      <c r="B149" s="25"/>
      <c r="C149" s="25"/>
      <c r="D149" s="25"/>
      <c r="E149" s="28"/>
      <c r="F149" s="28"/>
      <c r="G149" s="25"/>
      <c r="H149" s="25"/>
    </row>
    <row r="150">
      <c r="A150" s="25"/>
      <c r="B150" s="25"/>
      <c r="C150" s="25"/>
      <c r="D150" s="25"/>
      <c r="E150" s="28"/>
      <c r="F150" s="28"/>
      <c r="G150" s="25"/>
      <c r="H150" s="25"/>
    </row>
    <row r="151">
      <c r="A151" s="25"/>
      <c r="B151" s="25"/>
      <c r="C151" s="25"/>
      <c r="D151" s="25"/>
      <c r="E151" s="28"/>
      <c r="F151" s="28"/>
      <c r="G151" s="25"/>
      <c r="H151" s="25"/>
    </row>
    <row r="152">
      <c r="A152" s="25"/>
      <c r="B152" s="25"/>
      <c r="C152" s="25"/>
      <c r="D152" s="25"/>
      <c r="E152" s="28"/>
      <c r="F152" s="28"/>
      <c r="G152" s="25"/>
      <c r="H152" s="25"/>
    </row>
    <row r="153">
      <c r="A153" s="25"/>
      <c r="B153" s="25"/>
      <c r="C153" s="25"/>
      <c r="D153" s="25"/>
      <c r="E153" s="28"/>
      <c r="F153" s="28"/>
      <c r="G153" s="25"/>
      <c r="H153" s="25"/>
    </row>
    <row r="154">
      <c r="A154" s="25"/>
      <c r="B154" s="25"/>
      <c r="C154" s="25"/>
      <c r="D154" s="25"/>
      <c r="E154" s="28"/>
      <c r="F154" s="28"/>
      <c r="G154" s="25"/>
      <c r="H154" s="25"/>
    </row>
    <row r="155">
      <c r="A155" s="25"/>
      <c r="B155" s="25"/>
      <c r="C155" s="25"/>
      <c r="D155" s="25"/>
      <c r="E155" s="28"/>
      <c r="F155" s="28"/>
      <c r="G155" s="25"/>
      <c r="H155" s="25"/>
    </row>
    <row r="156">
      <c r="A156" s="25"/>
      <c r="B156" s="25"/>
      <c r="C156" s="25"/>
      <c r="D156" s="25"/>
      <c r="E156" s="28"/>
      <c r="F156" s="28"/>
      <c r="G156" s="25"/>
      <c r="H156" s="25"/>
    </row>
    <row r="157">
      <c r="A157" s="25"/>
      <c r="B157" s="25"/>
      <c r="C157" s="25"/>
      <c r="D157" s="25"/>
      <c r="E157" s="28"/>
      <c r="F157" s="28"/>
      <c r="G157" s="25"/>
      <c r="H157" s="25"/>
    </row>
    <row r="158">
      <c r="A158" s="25"/>
      <c r="B158" s="25"/>
      <c r="C158" s="25"/>
      <c r="D158" s="25"/>
      <c r="E158" s="28"/>
      <c r="F158" s="28"/>
      <c r="G158" s="25"/>
      <c r="H158" s="25"/>
    </row>
    <row r="159">
      <c r="A159" s="25"/>
      <c r="B159" s="25"/>
      <c r="C159" s="25"/>
      <c r="D159" s="25"/>
      <c r="E159" s="28"/>
      <c r="F159" s="28"/>
      <c r="G159" s="25"/>
      <c r="H159" s="25"/>
    </row>
    <row r="160">
      <c r="A160" s="25"/>
      <c r="B160" s="25"/>
      <c r="C160" s="25"/>
      <c r="D160" s="25"/>
      <c r="E160" s="28"/>
      <c r="F160" s="28"/>
      <c r="G160" s="25"/>
      <c r="H160" s="25"/>
    </row>
    <row r="161">
      <c r="A161" s="25"/>
      <c r="B161" s="25"/>
      <c r="C161" s="25"/>
      <c r="D161" s="25"/>
      <c r="E161" s="28"/>
      <c r="F161" s="28"/>
      <c r="G161" s="25"/>
      <c r="H161" s="25"/>
    </row>
    <row r="162">
      <c r="A162" s="25"/>
      <c r="B162" s="25"/>
      <c r="C162" s="25"/>
      <c r="D162" s="25"/>
      <c r="E162" s="28"/>
      <c r="F162" s="28"/>
      <c r="G162" s="25"/>
      <c r="H162" s="25"/>
    </row>
    <row r="163">
      <c r="A163" s="25"/>
      <c r="B163" s="25"/>
      <c r="C163" s="25"/>
      <c r="D163" s="25"/>
      <c r="E163" s="28"/>
      <c r="F163" s="28"/>
      <c r="G163" s="25"/>
      <c r="H163" s="25"/>
    </row>
    <row r="164">
      <c r="A164" s="25"/>
      <c r="B164" s="25"/>
      <c r="C164" s="25"/>
      <c r="D164" s="25"/>
      <c r="E164" s="28"/>
      <c r="F164" s="28"/>
      <c r="G164" s="25"/>
      <c r="H164" s="25"/>
    </row>
    <row r="165">
      <c r="A165" s="25"/>
      <c r="B165" s="25"/>
      <c r="C165" s="25"/>
      <c r="D165" s="25"/>
      <c r="E165" s="28"/>
      <c r="F165" s="28"/>
      <c r="G165" s="25"/>
      <c r="H165" s="25"/>
    </row>
    <row r="166">
      <c r="A166" s="25"/>
      <c r="B166" s="25"/>
      <c r="C166" s="25"/>
      <c r="D166" s="25"/>
      <c r="E166" s="28"/>
      <c r="F166" s="28"/>
      <c r="G166" s="25"/>
      <c r="H166" s="25"/>
    </row>
    <row r="167">
      <c r="A167" s="25"/>
      <c r="B167" s="25"/>
      <c r="C167" s="25"/>
      <c r="D167" s="25"/>
      <c r="E167" s="28"/>
      <c r="F167" s="28"/>
      <c r="G167" s="25"/>
      <c r="H167" s="25"/>
    </row>
    <row r="168">
      <c r="A168" s="25"/>
      <c r="B168" s="25"/>
      <c r="C168" s="25"/>
      <c r="D168" s="25"/>
      <c r="E168" s="28"/>
      <c r="F168" s="28"/>
      <c r="G168" s="25"/>
      <c r="H168" s="25"/>
    </row>
    <row r="169">
      <c r="A169" s="25"/>
      <c r="B169" s="25"/>
      <c r="C169" s="25"/>
      <c r="D169" s="25"/>
      <c r="E169" s="28"/>
      <c r="F169" s="28"/>
      <c r="G169" s="25"/>
      <c r="H169" s="25"/>
    </row>
    <row r="170">
      <c r="A170" s="25"/>
      <c r="B170" s="25"/>
      <c r="C170" s="25"/>
      <c r="D170" s="25"/>
      <c r="E170" s="28"/>
      <c r="F170" s="28"/>
      <c r="G170" s="25"/>
      <c r="H170" s="25"/>
    </row>
    <row r="171">
      <c r="A171" s="25"/>
      <c r="B171" s="25"/>
      <c r="C171" s="25"/>
      <c r="D171" s="25"/>
      <c r="E171" s="28"/>
      <c r="F171" s="28"/>
      <c r="G171" s="25"/>
      <c r="H171" s="25"/>
    </row>
    <row r="172">
      <c r="A172" s="25"/>
      <c r="B172" s="25"/>
      <c r="C172" s="25"/>
      <c r="D172" s="25"/>
      <c r="E172" s="28"/>
      <c r="F172" s="28"/>
      <c r="G172" s="25"/>
      <c r="H172" s="25"/>
    </row>
    <row r="173">
      <c r="A173" s="25"/>
      <c r="B173" s="25"/>
      <c r="C173" s="25"/>
      <c r="D173" s="25"/>
      <c r="E173" s="28"/>
      <c r="F173" s="28"/>
      <c r="G173" s="25"/>
      <c r="H173" s="25"/>
    </row>
    <row r="174">
      <c r="A174" s="25"/>
      <c r="B174" s="25"/>
      <c r="C174" s="25"/>
      <c r="D174" s="25"/>
      <c r="E174" s="28"/>
      <c r="F174" s="28"/>
      <c r="G174" s="25"/>
      <c r="H174" s="25"/>
    </row>
    <row r="175">
      <c r="A175" s="25"/>
      <c r="B175" s="25"/>
      <c r="C175" s="25"/>
      <c r="D175" s="25"/>
      <c r="E175" s="28"/>
      <c r="F175" s="28"/>
      <c r="G175" s="25"/>
      <c r="H175" s="25"/>
    </row>
    <row r="176">
      <c r="A176" s="25"/>
      <c r="B176" s="25"/>
      <c r="C176" s="25"/>
      <c r="D176" s="25"/>
      <c r="E176" s="28"/>
      <c r="F176" s="28"/>
      <c r="G176" s="25"/>
      <c r="H176" s="25"/>
    </row>
    <row r="177">
      <c r="A177" s="25"/>
      <c r="B177" s="25"/>
      <c r="C177" s="25"/>
      <c r="D177" s="25"/>
      <c r="E177" s="28"/>
      <c r="F177" s="28"/>
      <c r="G177" s="25"/>
      <c r="H177" s="25"/>
    </row>
    <row r="178">
      <c r="A178" s="25"/>
      <c r="B178" s="25"/>
      <c r="C178" s="25"/>
      <c r="D178" s="25"/>
      <c r="E178" s="28"/>
      <c r="F178" s="28"/>
      <c r="G178" s="25"/>
      <c r="H178" s="25"/>
    </row>
    <row r="179">
      <c r="A179" s="25"/>
      <c r="B179" s="25"/>
      <c r="C179" s="25"/>
      <c r="D179" s="25"/>
      <c r="E179" s="28"/>
      <c r="F179" s="28"/>
      <c r="G179" s="25"/>
      <c r="H179" s="25"/>
    </row>
    <row r="180">
      <c r="A180" s="25"/>
      <c r="B180" s="25"/>
      <c r="C180" s="25"/>
      <c r="D180" s="25"/>
      <c r="E180" s="28"/>
      <c r="F180" s="28"/>
      <c r="G180" s="25"/>
      <c r="H180" s="25"/>
    </row>
    <row r="181">
      <c r="A181" s="25"/>
      <c r="B181" s="25"/>
      <c r="C181" s="25"/>
      <c r="D181" s="25"/>
      <c r="E181" s="28"/>
      <c r="F181" s="28"/>
      <c r="G181" s="25"/>
      <c r="H181" s="25"/>
    </row>
    <row r="182">
      <c r="A182" s="25"/>
      <c r="B182" s="25"/>
      <c r="C182" s="25"/>
      <c r="D182" s="25"/>
      <c r="E182" s="28"/>
      <c r="F182" s="28"/>
      <c r="G182" s="25"/>
      <c r="H182" s="25"/>
    </row>
    <row r="183">
      <c r="A183" s="25"/>
      <c r="B183" s="25"/>
      <c r="C183" s="25"/>
      <c r="D183" s="25"/>
      <c r="E183" s="28"/>
      <c r="F183" s="28"/>
      <c r="G183" s="25"/>
      <c r="H183" s="25"/>
    </row>
    <row r="184">
      <c r="A184" s="25"/>
      <c r="B184" s="25"/>
      <c r="C184" s="25"/>
      <c r="D184" s="25"/>
      <c r="E184" s="28"/>
      <c r="F184" s="28"/>
      <c r="G184" s="25"/>
      <c r="H184" s="25"/>
    </row>
    <row r="185">
      <c r="A185" s="25"/>
      <c r="B185" s="25"/>
      <c r="C185" s="25"/>
      <c r="D185" s="25"/>
      <c r="E185" s="28"/>
      <c r="F185" s="28"/>
      <c r="G185" s="25"/>
      <c r="H185" s="25"/>
    </row>
    <row r="186">
      <c r="A186" s="25"/>
      <c r="B186" s="25"/>
      <c r="C186" s="25"/>
      <c r="D186" s="25"/>
      <c r="E186" s="28"/>
      <c r="F186" s="28"/>
      <c r="G186" s="25"/>
      <c r="H186" s="25"/>
    </row>
    <row r="187">
      <c r="A187" s="25"/>
      <c r="B187" s="25"/>
      <c r="C187" s="25"/>
      <c r="D187" s="25"/>
      <c r="E187" s="28"/>
      <c r="F187" s="28"/>
      <c r="G187" s="25"/>
      <c r="H187" s="25"/>
    </row>
    <row r="188">
      <c r="A188" s="25"/>
      <c r="B188" s="25"/>
      <c r="C188" s="25"/>
      <c r="D188" s="25"/>
      <c r="E188" s="28"/>
      <c r="F188" s="28"/>
      <c r="G188" s="25"/>
      <c r="H188" s="25"/>
    </row>
    <row r="189">
      <c r="A189" s="25"/>
      <c r="B189" s="25"/>
      <c r="C189" s="25"/>
      <c r="D189" s="25"/>
      <c r="E189" s="28"/>
      <c r="F189" s="28"/>
      <c r="G189" s="25"/>
      <c r="H189" s="25"/>
    </row>
    <row r="190">
      <c r="A190" s="25"/>
      <c r="B190" s="25"/>
      <c r="C190" s="25"/>
      <c r="D190" s="25"/>
      <c r="E190" s="28"/>
      <c r="F190" s="28"/>
      <c r="G190" s="25"/>
      <c r="H190" s="25"/>
    </row>
    <row r="191">
      <c r="A191" s="25"/>
      <c r="B191" s="25"/>
      <c r="C191" s="25"/>
      <c r="D191" s="25"/>
      <c r="E191" s="28"/>
      <c r="F191" s="28"/>
      <c r="G191" s="25"/>
      <c r="H191" s="25"/>
    </row>
    <row r="192">
      <c r="A192" s="25"/>
      <c r="B192" s="25"/>
      <c r="C192" s="25"/>
      <c r="D192" s="25"/>
      <c r="E192" s="28"/>
      <c r="F192" s="28"/>
      <c r="G192" s="25"/>
      <c r="H192" s="25"/>
    </row>
    <row r="193">
      <c r="A193" s="25"/>
      <c r="B193" s="25"/>
      <c r="C193" s="25"/>
      <c r="D193" s="25"/>
      <c r="E193" s="28"/>
      <c r="F193" s="28"/>
      <c r="G193" s="25"/>
      <c r="H193" s="25"/>
    </row>
    <row r="194">
      <c r="A194" s="25"/>
      <c r="B194" s="25"/>
      <c r="C194" s="25"/>
      <c r="D194" s="25"/>
      <c r="E194" s="28"/>
      <c r="F194" s="28"/>
      <c r="G194" s="25"/>
      <c r="H194" s="25"/>
    </row>
    <row r="195">
      <c r="A195" s="25"/>
      <c r="B195" s="25"/>
      <c r="C195" s="25"/>
      <c r="D195" s="25"/>
      <c r="E195" s="28"/>
      <c r="F195" s="28"/>
      <c r="G195" s="25"/>
      <c r="H195" s="25"/>
    </row>
    <row r="196">
      <c r="A196" s="25"/>
      <c r="B196" s="25"/>
      <c r="C196" s="25"/>
      <c r="D196" s="25"/>
      <c r="E196" s="28"/>
      <c r="F196" s="28"/>
      <c r="G196" s="25"/>
      <c r="H196" s="25"/>
    </row>
    <row r="197">
      <c r="A197" s="25"/>
      <c r="B197" s="25"/>
      <c r="C197" s="25"/>
      <c r="D197" s="25"/>
      <c r="E197" s="28"/>
      <c r="F197" s="28"/>
      <c r="G197" s="25"/>
      <c r="H197" s="25"/>
    </row>
    <row r="198">
      <c r="A198" s="25"/>
      <c r="B198" s="25"/>
      <c r="C198" s="25"/>
      <c r="D198" s="25"/>
      <c r="E198" s="28"/>
      <c r="F198" s="28"/>
      <c r="G198" s="25"/>
      <c r="H198" s="25"/>
    </row>
    <row r="199">
      <c r="A199" s="25"/>
      <c r="B199" s="25"/>
      <c r="C199" s="25"/>
      <c r="D199" s="25"/>
      <c r="E199" s="28"/>
      <c r="F199" s="28"/>
      <c r="G199" s="25"/>
      <c r="H199" s="25"/>
    </row>
    <row r="200">
      <c r="A200" s="25"/>
      <c r="B200" s="25"/>
      <c r="C200" s="25"/>
      <c r="D200" s="25"/>
      <c r="E200" s="28"/>
      <c r="F200" s="28"/>
      <c r="G200" s="25"/>
      <c r="H200" s="25"/>
    </row>
    <row r="201">
      <c r="A201" s="25"/>
      <c r="B201" s="25"/>
      <c r="C201" s="25"/>
      <c r="D201" s="25"/>
      <c r="E201" s="28"/>
      <c r="F201" s="28"/>
      <c r="G201" s="25"/>
      <c r="H201" s="25"/>
    </row>
    <row r="202">
      <c r="A202" s="25"/>
      <c r="B202" s="25"/>
      <c r="C202" s="25"/>
      <c r="D202" s="25"/>
      <c r="E202" s="28"/>
      <c r="F202" s="28"/>
      <c r="G202" s="25"/>
      <c r="H202" s="25"/>
    </row>
    <row r="203">
      <c r="A203" s="25"/>
      <c r="B203" s="25"/>
      <c r="C203" s="25"/>
      <c r="D203" s="25"/>
      <c r="E203" s="28"/>
      <c r="F203" s="28"/>
      <c r="G203" s="25"/>
      <c r="H203" s="25"/>
    </row>
    <row r="204">
      <c r="A204" s="25"/>
      <c r="B204" s="25"/>
      <c r="C204" s="25"/>
      <c r="D204" s="25"/>
      <c r="E204" s="28"/>
      <c r="F204" s="28"/>
      <c r="G204" s="25"/>
      <c r="H204" s="25"/>
    </row>
    <row r="205">
      <c r="A205" s="25"/>
      <c r="B205" s="25"/>
      <c r="C205" s="25"/>
      <c r="D205" s="25"/>
      <c r="E205" s="28"/>
      <c r="F205" s="28"/>
      <c r="G205" s="25"/>
      <c r="H205" s="25"/>
    </row>
    <row r="206">
      <c r="A206" s="25"/>
      <c r="B206" s="25"/>
      <c r="C206" s="25"/>
      <c r="D206" s="25"/>
      <c r="E206" s="28"/>
      <c r="F206" s="28"/>
      <c r="G206" s="25"/>
      <c r="H206" s="25"/>
    </row>
    <row r="207">
      <c r="A207" s="25"/>
      <c r="B207" s="25"/>
      <c r="C207" s="25"/>
      <c r="D207" s="25"/>
      <c r="E207" s="28"/>
      <c r="F207" s="28"/>
      <c r="G207" s="25"/>
      <c r="H207" s="25"/>
    </row>
    <row r="208">
      <c r="A208" s="25"/>
      <c r="B208" s="25"/>
      <c r="C208" s="25"/>
      <c r="D208" s="25"/>
      <c r="E208" s="28"/>
      <c r="F208" s="28"/>
      <c r="G208" s="25"/>
      <c r="H208" s="25"/>
    </row>
    <row r="209">
      <c r="A209" s="25"/>
      <c r="B209" s="25"/>
      <c r="C209" s="25"/>
      <c r="D209" s="25"/>
      <c r="E209" s="28"/>
      <c r="F209" s="28"/>
      <c r="G209" s="25"/>
      <c r="H209" s="25"/>
    </row>
    <row r="210">
      <c r="A210" s="25"/>
      <c r="B210" s="25"/>
      <c r="C210" s="25"/>
      <c r="D210" s="25"/>
      <c r="E210" s="28"/>
      <c r="F210" s="28"/>
      <c r="G210" s="25"/>
      <c r="H210" s="25"/>
    </row>
    <row r="211">
      <c r="A211" s="25"/>
      <c r="B211" s="25"/>
      <c r="C211" s="25"/>
      <c r="D211" s="25"/>
      <c r="E211" s="28"/>
      <c r="F211" s="28"/>
      <c r="G211" s="25"/>
      <c r="H211" s="25"/>
    </row>
    <row r="212">
      <c r="A212" s="25"/>
      <c r="B212" s="25"/>
      <c r="C212" s="25"/>
      <c r="D212" s="25"/>
      <c r="E212" s="28"/>
      <c r="F212" s="28"/>
      <c r="G212" s="25"/>
      <c r="H212" s="25"/>
    </row>
    <row r="213">
      <c r="A213" s="25"/>
      <c r="B213" s="25"/>
      <c r="C213" s="25"/>
      <c r="D213" s="25"/>
      <c r="E213" s="28"/>
      <c r="F213" s="28"/>
      <c r="G213" s="25"/>
      <c r="H213" s="25"/>
    </row>
    <row r="214">
      <c r="A214" s="25"/>
      <c r="B214" s="25"/>
      <c r="C214" s="25"/>
      <c r="D214" s="25"/>
      <c r="E214" s="28"/>
      <c r="F214" s="28"/>
      <c r="G214" s="25"/>
      <c r="H214" s="25"/>
    </row>
    <row r="215">
      <c r="A215" s="25"/>
      <c r="B215" s="25"/>
      <c r="C215" s="25"/>
      <c r="D215" s="25"/>
      <c r="E215" s="28"/>
      <c r="F215" s="28"/>
      <c r="G215" s="25"/>
      <c r="H215" s="25"/>
    </row>
    <row r="216">
      <c r="A216" s="25"/>
      <c r="B216" s="25"/>
      <c r="C216" s="25"/>
      <c r="D216" s="25"/>
      <c r="E216" s="28"/>
      <c r="F216" s="28"/>
      <c r="G216" s="25"/>
      <c r="H216" s="25"/>
    </row>
    <row r="217">
      <c r="A217" s="25"/>
      <c r="B217" s="25"/>
      <c r="C217" s="25"/>
      <c r="D217" s="25"/>
      <c r="E217" s="28"/>
      <c r="F217" s="28"/>
      <c r="G217" s="25"/>
      <c r="H217" s="25"/>
    </row>
    <row r="218">
      <c r="A218" s="25"/>
      <c r="B218" s="25"/>
      <c r="C218" s="25"/>
      <c r="D218" s="25"/>
      <c r="E218" s="28"/>
      <c r="F218" s="28"/>
      <c r="G218" s="25"/>
      <c r="H218" s="25"/>
    </row>
    <row r="219">
      <c r="A219" s="25"/>
      <c r="B219" s="25"/>
      <c r="C219" s="25"/>
      <c r="D219" s="25"/>
      <c r="E219" s="28"/>
      <c r="F219" s="28"/>
      <c r="G219" s="25"/>
      <c r="H219" s="25"/>
    </row>
    <row r="220">
      <c r="A220" s="25"/>
      <c r="B220" s="25"/>
      <c r="C220" s="25"/>
      <c r="D220" s="25"/>
      <c r="E220" s="28"/>
      <c r="F220" s="28"/>
      <c r="G220" s="25"/>
      <c r="H220" s="25"/>
    </row>
    <row r="221">
      <c r="A221" s="25"/>
      <c r="B221" s="25"/>
      <c r="C221" s="25"/>
      <c r="D221" s="25"/>
      <c r="E221" s="28"/>
      <c r="F221" s="28"/>
      <c r="G221" s="25"/>
      <c r="H221" s="25"/>
    </row>
    <row r="222">
      <c r="A222" s="25"/>
      <c r="B222" s="25"/>
      <c r="C222" s="25"/>
      <c r="D222" s="25"/>
      <c r="E222" s="28"/>
      <c r="F222" s="28"/>
      <c r="G222" s="25"/>
      <c r="H222" s="25"/>
    </row>
    <row r="223">
      <c r="A223" s="25"/>
      <c r="B223" s="25"/>
      <c r="C223" s="25"/>
      <c r="D223" s="25"/>
      <c r="E223" s="28"/>
      <c r="F223" s="28"/>
      <c r="G223" s="25"/>
      <c r="H223" s="25"/>
    </row>
    <row r="224">
      <c r="A224" s="25"/>
      <c r="B224" s="25"/>
      <c r="C224" s="25"/>
      <c r="D224" s="25"/>
      <c r="E224" s="28"/>
      <c r="F224" s="28"/>
      <c r="G224" s="25"/>
      <c r="H224" s="25"/>
    </row>
    <row r="225">
      <c r="A225" s="25"/>
      <c r="B225" s="25"/>
      <c r="C225" s="25"/>
      <c r="D225" s="25"/>
      <c r="E225" s="28"/>
      <c r="F225" s="28"/>
      <c r="G225" s="25"/>
      <c r="H225" s="25"/>
    </row>
    <row r="226">
      <c r="A226" s="25"/>
      <c r="B226" s="25"/>
      <c r="C226" s="25"/>
      <c r="D226" s="25"/>
      <c r="E226" s="28"/>
      <c r="F226" s="28"/>
      <c r="G226" s="25"/>
      <c r="H226" s="25"/>
    </row>
    <row r="227">
      <c r="A227" s="25"/>
      <c r="B227" s="25"/>
      <c r="C227" s="25"/>
      <c r="D227" s="25"/>
      <c r="E227" s="28"/>
      <c r="F227" s="28"/>
      <c r="G227" s="25"/>
      <c r="H227" s="25"/>
    </row>
    <row r="228">
      <c r="A228" s="25"/>
      <c r="B228" s="25"/>
      <c r="C228" s="25"/>
      <c r="D228" s="25"/>
      <c r="E228" s="28"/>
      <c r="F228" s="28"/>
      <c r="G228" s="25"/>
      <c r="H228" s="25"/>
    </row>
    <row r="229">
      <c r="A229" s="25"/>
      <c r="B229" s="25"/>
      <c r="C229" s="25"/>
      <c r="D229" s="25"/>
      <c r="E229" s="28"/>
      <c r="F229" s="28"/>
      <c r="G229" s="25"/>
      <c r="H229" s="25"/>
    </row>
    <row r="230">
      <c r="A230" s="25"/>
      <c r="B230" s="25"/>
      <c r="C230" s="25"/>
      <c r="D230" s="25"/>
      <c r="E230" s="28"/>
      <c r="F230" s="28"/>
      <c r="G230" s="25"/>
      <c r="H230" s="25"/>
    </row>
    <row r="231">
      <c r="A231" s="25"/>
      <c r="B231" s="25"/>
      <c r="C231" s="25"/>
      <c r="D231" s="25"/>
      <c r="E231" s="28"/>
      <c r="F231" s="28"/>
      <c r="G231" s="25"/>
      <c r="H231" s="25"/>
    </row>
    <row r="232">
      <c r="A232" s="25"/>
      <c r="B232" s="25"/>
      <c r="C232" s="25"/>
      <c r="D232" s="25"/>
      <c r="E232" s="28"/>
      <c r="F232" s="28"/>
      <c r="G232" s="25"/>
      <c r="H232" s="25"/>
    </row>
    <row r="233">
      <c r="A233" s="25"/>
      <c r="B233" s="25"/>
      <c r="C233" s="25"/>
      <c r="D233" s="25"/>
      <c r="E233" s="28"/>
      <c r="F233" s="28"/>
      <c r="G233" s="25"/>
      <c r="H233" s="25"/>
    </row>
    <row r="234">
      <c r="A234" s="25"/>
      <c r="B234" s="25"/>
      <c r="C234" s="25"/>
      <c r="D234" s="25"/>
      <c r="E234" s="28"/>
      <c r="F234" s="28"/>
      <c r="G234" s="25"/>
      <c r="H234" s="25"/>
    </row>
    <row r="235">
      <c r="A235" s="25"/>
      <c r="B235" s="25"/>
      <c r="C235" s="25"/>
      <c r="D235" s="25"/>
      <c r="E235" s="28"/>
      <c r="F235" s="28"/>
      <c r="G235" s="25"/>
      <c r="H235" s="25"/>
    </row>
    <row r="236">
      <c r="A236" s="25"/>
      <c r="B236" s="25"/>
      <c r="C236" s="25"/>
      <c r="D236" s="25"/>
      <c r="E236" s="28"/>
      <c r="F236" s="28"/>
      <c r="G236" s="25"/>
      <c r="H236" s="25"/>
    </row>
    <row r="237">
      <c r="A237" s="25"/>
      <c r="B237" s="25"/>
      <c r="C237" s="25"/>
      <c r="D237" s="25"/>
      <c r="E237" s="28"/>
      <c r="F237" s="28"/>
      <c r="G237" s="25"/>
      <c r="H237" s="25"/>
    </row>
    <row r="238">
      <c r="A238" s="25"/>
      <c r="B238" s="25"/>
      <c r="C238" s="25"/>
      <c r="D238" s="25"/>
      <c r="E238" s="28"/>
      <c r="F238" s="28"/>
      <c r="G238" s="25"/>
      <c r="H238" s="25"/>
    </row>
    <row r="239">
      <c r="A239" s="25"/>
      <c r="B239" s="25"/>
      <c r="C239" s="25"/>
      <c r="D239" s="25"/>
      <c r="E239" s="28"/>
      <c r="F239" s="28"/>
      <c r="G239" s="25"/>
      <c r="H239" s="25"/>
    </row>
    <row r="240">
      <c r="A240" s="25"/>
      <c r="B240" s="25"/>
      <c r="C240" s="25"/>
      <c r="D240" s="25"/>
      <c r="E240" s="28"/>
      <c r="F240" s="28"/>
      <c r="G240" s="25"/>
      <c r="H240" s="25"/>
    </row>
    <row r="241">
      <c r="A241" s="25"/>
      <c r="B241" s="25"/>
      <c r="C241" s="25"/>
      <c r="D241" s="25"/>
      <c r="E241" s="28"/>
      <c r="F241" s="28"/>
      <c r="G241" s="25"/>
      <c r="H241" s="25"/>
    </row>
    <row r="242">
      <c r="A242" s="25"/>
      <c r="B242" s="25"/>
      <c r="C242" s="25"/>
      <c r="D242" s="25"/>
      <c r="E242" s="28"/>
      <c r="F242" s="28"/>
      <c r="G242" s="25"/>
      <c r="H242" s="25"/>
    </row>
    <row r="243">
      <c r="A243" s="25"/>
      <c r="B243" s="25"/>
      <c r="C243" s="25"/>
      <c r="D243" s="25"/>
      <c r="E243" s="28"/>
      <c r="F243" s="28"/>
      <c r="G243" s="25"/>
      <c r="H243" s="25"/>
    </row>
    <row r="244">
      <c r="A244" s="25"/>
      <c r="B244" s="25"/>
      <c r="C244" s="25"/>
      <c r="D244" s="25"/>
      <c r="E244" s="28"/>
      <c r="F244" s="28"/>
      <c r="G244" s="25"/>
      <c r="H244" s="25"/>
    </row>
    <row r="245">
      <c r="A245" s="25"/>
      <c r="B245" s="25"/>
      <c r="C245" s="25"/>
      <c r="D245" s="25"/>
      <c r="E245" s="28"/>
      <c r="F245" s="28"/>
      <c r="G245" s="25"/>
      <c r="H245" s="25"/>
    </row>
    <row r="246">
      <c r="A246" s="25"/>
      <c r="B246" s="25"/>
      <c r="C246" s="25"/>
      <c r="D246" s="25"/>
      <c r="E246" s="28"/>
      <c r="F246" s="28"/>
      <c r="G246" s="25"/>
      <c r="H246" s="25"/>
    </row>
    <row r="247">
      <c r="A247" s="25"/>
      <c r="B247" s="25"/>
      <c r="C247" s="25"/>
      <c r="D247" s="25"/>
      <c r="E247" s="28"/>
      <c r="F247" s="28"/>
      <c r="G247" s="25"/>
      <c r="H247" s="25"/>
    </row>
    <row r="248">
      <c r="A248" s="25"/>
      <c r="B248" s="25"/>
      <c r="C248" s="25"/>
      <c r="D248" s="25"/>
      <c r="E248" s="28"/>
      <c r="F248" s="28"/>
      <c r="G248" s="25"/>
      <c r="H248" s="25"/>
    </row>
    <row r="249">
      <c r="A249" s="25"/>
      <c r="B249" s="25"/>
      <c r="C249" s="25"/>
      <c r="D249" s="25"/>
      <c r="E249" s="28"/>
      <c r="F249" s="28"/>
      <c r="G249" s="25"/>
      <c r="H249" s="25"/>
    </row>
    <row r="250">
      <c r="A250" s="25"/>
      <c r="B250" s="25"/>
      <c r="C250" s="25"/>
      <c r="D250" s="25"/>
      <c r="E250" s="28"/>
      <c r="F250" s="28"/>
      <c r="G250" s="25"/>
      <c r="H250" s="25"/>
    </row>
    <row r="251">
      <c r="A251" s="25"/>
      <c r="B251" s="25"/>
      <c r="C251" s="25"/>
      <c r="D251" s="25"/>
      <c r="E251" s="28"/>
      <c r="F251" s="28"/>
      <c r="G251" s="25"/>
      <c r="H251" s="25"/>
    </row>
    <row r="252">
      <c r="A252" s="25"/>
      <c r="B252" s="25"/>
      <c r="C252" s="25"/>
      <c r="D252" s="25"/>
      <c r="E252" s="28"/>
      <c r="F252" s="28"/>
      <c r="G252" s="25"/>
      <c r="H252" s="25"/>
    </row>
    <row r="253">
      <c r="A253" s="25"/>
      <c r="B253" s="25"/>
      <c r="C253" s="25"/>
      <c r="D253" s="25"/>
      <c r="E253" s="28"/>
      <c r="F253" s="28"/>
      <c r="G253" s="25"/>
      <c r="H253" s="25"/>
    </row>
    <row r="254">
      <c r="A254" s="25"/>
      <c r="B254" s="25"/>
      <c r="C254" s="25"/>
      <c r="D254" s="25"/>
      <c r="E254" s="28"/>
      <c r="F254" s="28"/>
      <c r="G254" s="25"/>
      <c r="H254" s="25"/>
    </row>
    <row r="255">
      <c r="A255" s="25"/>
      <c r="B255" s="25"/>
      <c r="C255" s="25"/>
      <c r="D255" s="25"/>
      <c r="E255" s="28"/>
      <c r="F255" s="28"/>
      <c r="G255" s="25"/>
      <c r="H255" s="25"/>
    </row>
    <row r="256">
      <c r="A256" s="25"/>
      <c r="B256" s="25"/>
      <c r="C256" s="25"/>
      <c r="D256" s="25"/>
      <c r="E256" s="28"/>
      <c r="F256" s="28"/>
      <c r="G256" s="25"/>
      <c r="H256" s="25"/>
    </row>
    <row r="257">
      <c r="A257" s="25"/>
      <c r="B257" s="25"/>
      <c r="C257" s="25"/>
      <c r="D257" s="25"/>
      <c r="E257" s="28"/>
      <c r="F257" s="28"/>
      <c r="G257" s="25"/>
      <c r="H257" s="25"/>
    </row>
    <row r="258">
      <c r="A258" s="25"/>
      <c r="B258" s="25"/>
      <c r="C258" s="25"/>
      <c r="D258" s="25"/>
      <c r="E258" s="28"/>
      <c r="F258" s="28"/>
      <c r="G258" s="25"/>
      <c r="H258" s="25"/>
    </row>
    <row r="259">
      <c r="A259" s="25"/>
      <c r="B259" s="25"/>
      <c r="C259" s="25"/>
      <c r="D259" s="25"/>
      <c r="E259" s="28"/>
      <c r="F259" s="28"/>
      <c r="G259" s="25"/>
      <c r="H259" s="25"/>
    </row>
    <row r="260">
      <c r="A260" s="25"/>
      <c r="B260" s="25"/>
      <c r="C260" s="25"/>
      <c r="D260" s="25"/>
      <c r="E260" s="28"/>
      <c r="F260" s="28"/>
      <c r="G260" s="25"/>
      <c r="H260" s="25"/>
    </row>
    <row r="261">
      <c r="A261" s="25"/>
      <c r="B261" s="25"/>
      <c r="C261" s="25"/>
      <c r="D261" s="25"/>
      <c r="E261" s="28"/>
      <c r="F261" s="28"/>
      <c r="G261" s="25"/>
      <c r="H261" s="25"/>
    </row>
    <row r="262">
      <c r="A262" s="25"/>
      <c r="B262" s="25"/>
      <c r="C262" s="25"/>
      <c r="D262" s="25"/>
      <c r="E262" s="28"/>
      <c r="F262" s="28"/>
      <c r="G262" s="25"/>
      <c r="H262" s="25"/>
    </row>
    <row r="263">
      <c r="A263" s="25"/>
      <c r="B263" s="25"/>
      <c r="C263" s="25"/>
      <c r="D263" s="25"/>
      <c r="E263" s="28"/>
      <c r="F263" s="28"/>
      <c r="G263" s="25"/>
      <c r="H263" s="25"/>
    </row>
    <row r="264">
      <c r="A264" s="25"/>
      <c r="B264" s="25"/>
      <c r="C264" s="25"/>
      <c r="D264" s="25"/>
      <c r="E264" s="28"/>
      <c r="F264" s="28"/>
      <c r="G264" s="25"/>
      <c r="H264" s="25"/>
    </row>
    <row r="265">
      <c r="A265" s="25"/>
      <c r="B265" s="25"/>
      <c r="C265" s="25"/>
      <c r="D265" s="25"/>
      <c r="E265" s="28"/>
      <c r="F265" s="28"/>
      <c r="G265" s="25"/>
      <c r="H265" s="25"/>
    </row>
    <row r="266">
      <c r="A266" s="25"/>
      <c r="B266" s="25"/>
      <c r="C266" s="25"/>
      <c r="D266" s="25"/>
      <c r="E266" s="28"/>
      <c r="F266" s="28"/>
      <c r="G266" s="25"/>
      <c r="H266" s="25"/>
    </row>
    <row r="267">
      <c r="A267" s="25"/>
      <c r="B267" s="25"/>
      <c r="C267" s="25"/>
      <c r="D267" s="25"/>
      <c r="E267" s="28"/>
      <c r="F267" s="28"/>
      <c r="G267" s="25"/>
      <c r="H267" s="25"/>
    </row>
    <row r="268">
      <c r="A268" s="25"/>
      <c r="B268" s="25"/>
      <c r="C268" s="25"/>
      <c r="D268" s="25"/>
      <c r="E268" s="28"/>
      <c r="F268" s="28"/>
      <c r="G268" s="25"/>
      <c r="H268" s="25"/>
    </row>
    <row r="269">
      <c r="A269" s="25"/>
      <c r="B269" s="25"/>
      <c r="C269" s="25"/>
      <c r="D269" s="25"/>
      <c r="E269" s="28"/>
      <c r="F269" s="28"/>
      <c r="G269" s="25"/>
      <c r="H269" s="25"/>
    </row>
    <row r="270">
      <c r="A270" s="25"/>
      <c r="B270" s="25"/>
      <c r="C270" s="25"/>
      <c r="D270" s="25"/>
      <c r="E270" s="28"/>
      <c r="F270" s="28"/>
      <c r="G270" s="25"/>
      <c r="H270" s="25"/>
    </row>
    <row r="271">
      <c r="A271" s="25"/>
      <c r="B271" s="25"/>
      <c r="C271" s="25"/>
      <c r="D271" s="25"/>
      <c r="E271" s="28"/>
      <c r="F271" s="28"/>
      <c r="G271" s="25"/>
      <c r="H271" s="25"/>
    </row>
    <row r="272">
      <c r="A272" s="25"/>
      <c r="B272" s="25"/>
      <c r="C272" s="25"/>
      <c r="D272" s="25"/>
      <c r="E272" s="28"/>
      <c r="F272" s="28"/>
      <c r="G272" s="25"/>
      <c r="H272" s="25"/>
    </row>
    <row r="273">
      <c r="A273" s="25"/>
      <c r="B273" s="25"/>
      <c r="C273" s="25"/>
      <c r="D273" s="25"/>
      <c r="E273" s="28"/>
      <c r="F273" s="28"/>
      <c r="G273" s="25"/>
      <c r="H273" s="25"/>
    </row>
    <row r="274">
      <c r="A274" s="25"/>
      <c r="B274" s="25"/>
      <c r="C274" s="25"/>
      <c r="D274" s="25"/>
      <c r="E274" s="28"/>
      <c r="F274" s="28"/>
      <c r="G274" s="25"/>
      <c r="H274" s="25"/>
    </row>
    <row r="275">
      <c r="A275" s="25"/>
      <c r="B275" s="25"/>
      <c r="C275" s="25"/>
      <c r="D275" s="25"/>
      <c r="E275" s="28"/>
      <c r="F275" s="28"/>
      <c r="G275" s="25"/>
      <c r="H275" s="25"/>
    </row>
    <row r="276">
      <c r="A276" s="25"/>
      <c r="B276" s="25"/>
      <c r="C276" s="25"/>
      <c r="D276" s="25"/>
      <c r="E276" s="28"/>
      <c r="F276" s="28"/>
      <c r="G276" s="25"/>
      <c r="H276" s="25"/>
    </row>
    <row r="277">
      <c r="A277" s="25"/>
      <c r="B277" s="25"/>
      <c r="C277" s="25"/>
      <c r="D277" s="25"/>
      <c r="E277" s="28"/>
      <c r="F277" s="28"/>
      <c r="G277" s="25"/>
      <c r="H277" s="25"/>
    </row>
    <row r="278">
      <c r="A278" s="25"/>
      <c r="B278" s="25"/>
      <c r="C278" s="25"/>
      <c r="D278" s="25"/>
      <c r="E278" s="28"/>
      <c r="F278" s="28"/>
      <c r="G278" s="25"/>
      <c r="H278" s="25"/>
    </row>
    <row r="279">
      <c r="A279" s="25"/>
      <c r="B279" s="25"/>
      <c r="C279" s="25"/>
      <c r="D279" s="25"/>
      <c r="E279" s="28"/>
      <c r="F279" s="28"/>
      <c r="G279" s="25"/>
      <c r="H279" s="25"/>
    </row>
    <row r="280">
      <c r="A280" s="25"/>
      <c r="B280" s="25"/>
      <c r="C280" s="25"/>
      <c r="D280" s="25"/>
      <c r="E280" s="28"/>
      <c r="F280" s="28"/>
      <c r="G280" s="25"/>
      <c r="H280" s="25"/>
    </row>
    <row r="281">
      <c r="A281" s="25"/>
      <c r="B281" s="25"/>
      <c r="C281" s="25"/>
      <c r="D281" s="25"/>
      <c r="E281" s="28"/>
      <c r="F281" s="28"/>
      <c r="G281" s="25"/>
      <c r="H281" s="25"/>
    </row>
    <row r="282">
      <c r="A282" s="25"/>
      <c r="B282" s="25"/>
      <c r="C282" s="25"/>
      <c r="D282" s="25"/>
      <c r="E282" s="28"/>
      <c r="F282" s="28"/>
      <c r="G282" s="25"/>
      <c r="H282" s="25"/>
    </row>
    <row r="283">
      <c r="A283" s="25"/>
      <c r="B283" s="25"/>
      <c r="C283" s="25"/>
      <c r="D283" s="25"/>
      <c r="E283" s="28"/>
      <c r="F283" s="28"/>
      <c r="G283" s="25"/>
      <c r="H283" s="25"/>
    </row>
    <row r="284">
      <c r="A284" s="25"/>
      <c r="B284" s="25"/>
      <c r="C284" s="25"/>
      <c r="D284" s="25"/>
      <c r="E284" s="28"/>
      <c r="F284" s="28"/>
      <c r="G284" s="25"/>
      <c r="H284" s="25"/>
    </row>
    <row r="285">
      <c r="A285" s="25"/>
      <c r="B285" s="25"/>
      <c r="C285" s="25"/>
      <c r="D285" s="25"/>
      <c r="E285" s="28"/>
      <c r="F285" s="28"/>
      <c r="G285" s="25"/>
      <c r="H285" s="25"/>
    </row>
    <row r="286">
      <c r="A286" s="25"/>
      <c r="B286" s="25"/>
      <c r="C286" s="25"/>
      <c r="D286" s="25"/>
      <c r="E286" s="28"/>
      <c r="F286" s="28"/>
      <c r="G286" s="25"/>
      <c r="H286" s="25"/>
    </row>
    <row r="287">
      <c r="A287" s="25"/>
      <c r="B287" s="25"/>
      <c r="C287" s="25"/>
      <c r="D287" s="25"/>
      <c r="E287" s="28"/>
      <c r="F287" s="28"/>
      <c r="G287" s="25"/>
      <c r="H287" s="25"/>
    </row>
    <row r="288">
      <c r="A288" s="25"/>
      <c r="B288" s="25"/>
      <c r="C288" s="25"/>
      <c r="D288" s="25"/>
      <c r="E288" s="28"/>
      <c r="F288" s="28"/>
      <c r="G288" s="25"/>
      <c r="H288" s="25"/>
    </row>
    <row r="289">
      <c r="A289" s="25"/>
      <c r="B289" s="25"/>
      <c r="C289" s="25"/>
      <c r="D289" s="25"/>
      <c r="E289" s="28"/>
      <c r="F289" s="28"/>
      <c r="G289" s="25"/>
      <c r="H289" s="25"/>
    </row>
    <row r="290">
      <c r="A290" s="25"/>
      <c r="B290" s="25"/>
      <c r="C290" s="25"/>
      <c r="D290" s="25"/>
      <c r="E290" s="28"/>
      <c r="F290" s="28"/>
      <c r="G290" s="25"/>
      <c r="H290" s="25"/>
    </row>
    <row r="291">
      <c r="A291" s="25"/>
      <c r="B291" s="25"/>
      <c r="C291" s="25"/>
      <c r="D291" s="25"/>
      <c r="E291" s="28"/>
      <c r="F291" s="28"/>
      <c r="G291" s="25"/>
      <c r="H291" s="25"/>
    </row>
    <row r="292">
      <c r="A292" s="25"/>
      <c r="B292" s="25"/>
      <c r="C292" s="25"/>
      <c r="D292" s="25"/>
      <c r="E292" s="28"/>
      <c r="F292" s="28"/>
      <c r="G292" s="25"/>
      <c r="H292" s="25"/>
    </row>
    <row r="293">
      <c r="A293" s="25"/>
      <c r="B293" s="25"/>
      <c r="C293" s="25"/>
      <c r="D293" s="25"/>
      <c r="E293" s="28"/>
      <c r="F293" s="28"/>
      <c r="G293" s="25"/>
      <c r="H293" s="25"/>
    </row>
    <row r="294">
      <c r="A294" s="25"/>
      <c r="B294" s="25"/>
      <c r="C294" s="25"/>
      <c r="D294" s="25"/>
      <c r="E294" s="28"/>
      <c r="F294" s="28"/>
      <c r="G294" s="25"/>
      <c r="H294" s="25"/>
    </row>
    <row r="295">
      <c r="A295" s="25"/>
      <c r="B295" s="25"/>
      <c r="C295" s="25"/>
      <c r="D295" s="25"/>
      <c r="E295" s="28"/>
      <c r="F295" s="28"/>
      <c r="G295" s="25"/>
      <c r="H295" s="25"/>
    </row>
    <row r="296">
      <c r="A296" s="25"/>
      <c r="B296" s="25"/>
      <c r="C296" s="25"/>
      <c r="D296" s="25"/>
      <c r="E296" s="28"/>
      <c r="F296" s="28"/>
      <c r="G296" s="25"/>
      <c r="H296" s="25"/>
    </row>
    <row r="297">
      <c r="A297" s="25"/>
      <c r="B297" s="25"/>
      <c r="C297" s="25"/>
      <c r="D297" s="25"/>
      <c r="E297" s="28"/>
      <c r="F297" s="28"/>
      <c r="G297" s="25"/>
      <c r="H297" s="25"/>
    </row>
    <row r="298">
      <c r="A298" s="25"/>
      <c r="B298" s="25"/>
      <c r="C298" s="25"/>
      <c r="D298" s="25"/>
      <c r="E298" s="28"/>
      <c r="F298" s="28"/>
      <c r="G298" s="25"/>
      <c r="H298" s="25"/>
    </row>
    <row r="299">
      <c r="A299" s="25"/>
      <c r="B299" s="25"/>
      <c r="C299" s="25"/>
      <c r="D299" s="25"/>
      <c r="E299" s="28"/>
      <c r="F299" s="28"/>
      <c r="G299" s="25"/>
      <c r="H299" s="25"/>
    </row>
    <row r="300">
      <c r="A300" s="25"/>
      <c r="B300" s="25"/>
      <c r="C300" s="25"/>
      <c r="D300" s="25"/>
      <c r="E300" s="28"/>
      <c r="F300" s="28"/>
      <c r="G300" s="25"/>
      <c r="H300" s="25"/>
    </row>
    <row r="301">
      <c r="A301" s="25"/>
      <c r="B301" s="25"/>
      <c r="C301" s="25"/>
      <c r="D301" s="25"/>
      <c r="E301" s="28"/>
      <c r="F301" s="28"/>
      <c r="G301" s="25"/>
      <c r="H301" s="25"/>
    </row>
    <row r="302">
      <c r="A302" s="25"/>
      <c r="B302" s="25"/>
      <c r="C302" s="25"/>
      <c r="D302" s="25"/>
      <c r="E302" s="28"/>
      <c r="F302" s="28"/>
      <c r="G302" s="25"/>
      <c r="H302" s="25"/>
    </row>
    <row r="303">
      <c r="A303" s="25"/>
      <c r="B303" s="25"/>
      <c r="C303" s="25"/>
      <c r="D303" s="25"/>
      <c r="E303" s="28"/>
      <c r="F303" s="28"/>
      <c r="G303" s="25"/>
      <c r="H303" s="25"/>
    </row>
    <row r="304">
      <c r="A304" s="25"/>
      <c r="B304" s="25"/>
      <c r="C304" s="25"/>
      <c r="D304" s="25"/>
      <c r="E304" s="28"/>
      <c r="F304" s="28"/>
      <c r="G304" s="25"/>
      <c r="H304" s="25"/>
    </row>
    <row r="305">
      <c r="A305" s="25"/>
      <c r="B305" s="25"/>
      <c r="C305" s="25"/>
      <c r="D305" s="25"/>
      <c r="E305" s="28"/>
      <c r="F305" s="28"/>
      <c r="G305" s="25"/>
      <c r="H305" s="25"/>
    </row>
    <row r="306">
      <c r="A306" s="25"/>
      <c r="B306" s="25"/>
      <c r="C306" s="25"/>
      <c r="D306" s="25"/>
      <c r="E306" s="28"/>
      <c r="F306" s="28"/>
      <c r="G306" s="25"/>
      <c r="H306" s="25"/>
    </row>
    <row r="307">
      <c r="A307" s="25"/>
      <c r="B307" s="25"/>
      <c r="C307" s="25"/>
      <c r="D307" s="25"/>
      <c r="E307" s="28"/>
      <c r="F307" s="28"/>
      <c r="G307" s="25"/>
      <c r="H307" s="25"/>
    </row>
    <row r="308">
      <c r="A308" s="25"/>
      <c r="B308" s="25"/>
      <c r="C308" s="25"/>
      <c r="D308" s="25"/>
      <c r="E308" s="28"/>
      <c r="F308" s="28"/>
      <c r="G308" s="25"/>
      <c r="H308" s="25"/>
    </row>
    <row r="309">
      <c r="A309" s="25"/>
      <c r="B309" s="25"/>
      <c r="C309" s="25"/>
      <c r="D309" s="25"/>
      <c r="E309" s="28"/>
      <c r="F309" s="28"/>
      <c r="G309" s="25"/>
      <c r="H309" s="25"/>
    </row>
    <row r="310">
      <c r="A310" s="25"/>
      <c r="B310" s="25"/>
      <c r="C310" s="25"/>
      <c r="D310" s="25"/>
      <c r="E310" s="28"/>
      <c r="F310" s="28"/>
      <c r="G310" s="25"/>
      <c r="H310" s="25"/>
    </row>
    <row r="311">
      <c r="A311" s="25"/>
      <c r="B311" s="25"/>
      <c r="C311" s="25"/>
      <c r="D311" s="25"/>
      <c r="E311" s="28"/>
      <c r="F311" s="28"/>
      <c r="G311" s="25"/>
      <c r="H311" s="25"/>
    </row>
    <row r="312">
      <c r="A312" s="25"/>
      <c r="B312" s="25"/>
      <c r="C312" s="25"/>
      <c r="D312" s="25"/>
      <c r="E312" s="28"/>
      <c r="F312" s="28"/>
      <c r="G312" s="25"/>
      <c r="H312" s="25"/>
    </row>
    <row r="313">
      <c r="A313" s="25"/>
      <c r="B313" s="25"/>
      <c r="C313" s="25"/>
      <c r="D313" s="25"/>
      <c r="E313" s="28"/>
      <c r="F313" s="28"/>
      <c r="G313" s="25"/>
      <c r="H313" s="25"/>
    </row>
    <row r="314">
      <c r="A314" s="25"/>
      <c r="B314" s="25"/>
      <c r="C314" s="25"/>
      <c r="D314" s="25"/>
      <c r="E314" s="28"/>
      <c r="F314" s="28"/>
      <c r="G314" s="25"/>
      <c r="H314" s="25"/>
    </row>
    <row r="315">
      <c r="A315" s="25"/>
      <c r="B315" s="25"/>
      <c r="C315" s="25"/>
      <c r="D315" s="25"/>
      <c r="E315" s="28"/>
      <c r="F315" s="28"/>
      <c r="G315" s="25"/>
      <c r="H315" s="25"/>
    </row>
    <row r="316">
      <c r="A316" s="25"/>
      <c r="B316" s="25"/>
      <c r="C316" s="25"/>
      <c r="D316" s="25"/>
      <c r="E316" s="28"/>
      <c r="F316" s="28"/>
      <c r="G316" s="25"/>
      <c r="H316" s="25"/>
    </row>
    <row r="317">
      <c r="A317" s="25"/>
      <c r="B317" s="25"/>
      <c r="C317" s="25"/>
      <c r="D317" s="25"/>
      <c r="E317" s="28"/>
      <c r="F317" s="28"/>
      <c r="G317" s="25"/>
      <c r="H317" s="25"/>
    </row>
    <row r="318">
      <c r="A318" s="25"/>
      <c r="B318" s="25"/>
      <c r="C318" s="25"/>
      <c r="D318" s="25"/>
      <c r="E318" s="28"/>
      <c r="F318" s="28"/>
      <c r="G318" s="25"/>
      <c r="H318" s="25"/>
    </row>
    <row r="319">
      <c r="A319" s="25"/>
      <c r="B319" s="25"/>
      <c r="C319" s="25"/>
      <c r="D319" s="25"/>
      <c r="E319" s="28"/>
      <c r="F319" s="28"/>
      <c r="G319" s="25"/>
      <c r="H319" s="25"/>
    </row>
    <row r="320">
      <c r="A320" s="25"/>
      <c r="B320" s="25"/>
      <c r="C320" s="25"/>
      <c r="D320" s="25"/>
      <c r="E320" s="28"/>
      <c r="F320" s="28"/>
      <c r="G320" s="25"/>
      <c r="H320" s="25"/>
    </row>
    <row r="321">
      <c r="A321" s="25"/>
      <c r="B321" s="25"/>
      <c r="C321" s="25"/>
      <c r="D321" s="25"/>
      <c r="E321" s="28"/>
      <c r="F321" s="28"/>
      <c r="G321" s="25"/>
      <c r="H321" s="25"/>
    </row>
    <row r="322">
      <c r="A322" s="25"/>
      <c r="B322" s="25"/>
      <c r="C322" s="25"/>
      <c r="D322" s="25"/>
      <c r="E322" s="28"/>
      <c r="F322" s="28"/>
      <c r="G322" s="25"/>
      <c r="H322" s="25"/>
    </row>
    <row r="323">
      <c r="A323" s="25"/>
      <c r="B323" s="25"/>
      <c r="C323" s="25"/>
      <c r="D323" s="25"/>
      <c r="E323" s="28"/>
      <c r="F323" s="28"/>
      <c r="G323" s="25"/>
      <c r="H323" s="25"/>
    </row>
    <row r="324">
      <c r="A324" s="25"/>
      <c r="B324" s="25"/>
      <c r="C324" s="25"/>
      <c r="D324" s="25"/>
      <c r="E324" s="28"/>
      <c r="F324" s="28"/>
      <c r="G324" s="25"/>
      <c r="H324" s="25"/>
    </row>
    <row r="325">
      <c r="A325" s="25"/>
      <c r="B325" s="25"/>
      <c r="C325" s="25"/>
      <c r="D325" s="25"/>
      <c r="E325" s="28"/>
      <c r="F325" s="28"/>
      <c r="G325" s="25"/>
      <c r="H325" s="25"/>
    </row>
    <row r="326">
      <c r="A326" s="25"/>
      <c r="B326" s="25"/>
      <c r="C326" s="25"/>
      <c r="D326" s="25"/>
      <c r="E326" s="28"/>
      <c r="F326" s="28"/>
      <c r="G326" s="25"/>
      <c r="H326" s="25"/>
    </row>
    <row r="327">
      <c r="A327" s="25"/>
      <c r="B327" s="25"/>
      <c r="C327" s="25"/>
      <c r="D327" s="25"/>
      <c r="E327" s="28"/>
      <c r="F327" s="28"/>
      <c r="G327" s="25"/>
      <c r="H327" s="25"/>
    </row>
    <row r="328">
      <c r="A328" s="25"/>
      <c r="B328" s="25"/>
      <c r="C328" s="25"/>
      <c r="D328" s="25"/>
      <c r="E328" s="28"/>
      <c r="F328" s="28"/>
      <c r="G328" s="25"/>
      <c r="H328" s="25"/>
    </row>
    <row r="329">
      <c r="A329" s="25"/>
      <c r="B329" s="25"/>
      <c r="C329" s="25"/>
      <c r="D329" s="25"/>
      <c r="E329" s="28"/>
      <c r="F329" s="28"/>
      <c r="G329" s="25"/>
      <c r="H329" s="25"/>
    </row>
    <row r="330">
      <c r="A330" s="25"/>
      <c r="B330" s="25"/>
      <c r="C330" s="25"/>
      <c r="D330" s="25"/>
      <c r="E330" s="28"/>
      <c r="F330" s="28"/>
      <c r="G330" s="25"/>
      <c r="H330" s="25"/>
    </row>
    <row r="331">
      <c r="A331" s="25"/>
      <c r="B331" s="25"/>
      <c r="C331" s="25"/>
      <c r="D331" s="25"/>
      <c r="E331" s="28"/>
      <c r="F331" s="28"/>
      <c r="G331" s="25"/>
      <c r="H331" s="25"/>
    </row>
    <row r="332">
      <c r="A332" s="25"/>
      <c r="B332" s="25"/>
      <c r="C332" s="25"/>
      <c r="D332" s="25"/>
      <c r="E332" s="28"/>
      <c r="F332" s="28"/>
      <c r="G332" s="25"/>
      <c r="H332" s="25"/>
    </row>
    <row r="333">
      <c r="A333" s="25"/>
      <c r="B333" s="25"/>
      <c r="C333" s="25"/>
      <c r="D333" s="25"/>
      <c r="E333" s="28"/>
      <c r="F333" s="28"/>
      <c r="G333" s="25"/>
      <c r="H333" s="25"/>
    </row>
    <row r="334">
      <c r="A334" s="25"/>
      <c r="B334" s="25"/>
      <c r="C334" s="25"/>
      <c r="D334" s="25"/>
      <c r="E334" s="28"/>
      <c r="F334" s="28"/>
      <c r="G334" s="25"/>
      <c r="H334" s="25"/>
    </row>
    <row r="335">
      <c r="A335" s="25"/>
      <c r="B335" s="25"/>
      <c r="C335" s="25"/>
      <c r="D335" s="25"/>
      <c r="E335" s="28"/>
      <c r="F335" s="28"/>
      <c r="G335" s="25"/>
      <c r="H335" s="25"/>
    </row>
    <row r="336">
      <c r="A336" s="25"/>
      <c r="B336" s="25"/>
      <c r="C336" s="25"/>
      <c r="D336" s="25"/>
      <c r="E336" s="28"/>
      <c r="F336" s="28"/>
      <c r="G336" s="25"/>
      <c r="H336" s="25"/>
    </row>
    <row r="337">
      <c r="A337" s="25"/>
      <c r="B337" s="25"/>
      <c r="C337" s="25"/>
      <c r="D337" s="25"/>
      <c r="E337" s="28"/>
      <c r="F337" s="28"/>
      <c r="G337" s="25"/>
      <c r="H337" s="25"/>
    </row>
    <row r="338">
      <c r="A338" s="25"/>
      <c r="B338" s="25"/>
      <c r="C338" s="25"/>
      <c r="D338" s="25"/>
      <c r="E338" s="28"/>
      <c r="F338" s="28"/>
      <c r="G338" s="25"/>
      <c r="H338" s="25"/>
    </row>
    <row r="339">
      <c r="A339" s="25"/>
      <c r="B339" s="25"/>
      <c r="C339" s="25"/>
      <c r="D339" s="25"/>
      <c r="E339" s="28"/>
      <c r="F339" s="28"/>
      <c r="G339" s="25"/>
      <c r="H339" s="25"/>
    </row>
    <row r="340">
      <c r="A340" s="25"/>
      <c r="B340" s="25"/>
      <c r="C340" s="25"/>
      <c r="D340" s="25"/>
      <c r="E340" s="28"/>
      <c r="F340" s="28"/>
      <c r="G340" s="25"/>
      <c r="H340" s="25"/>
    </row>
    <row r="341">
      <c r="A341" s="25"/>
      <c r="B341" s="25"/>
      <c r="C341" s="25"/>
      <c r="D341" s="25"/>
      <c r="E341" s="28"/>
      <c r="F341" s="28"/>
      <c r="G341" s="25"/>
      <c r="H341" s="25"/>
    </row>
    <row r="342">
      <c r="A342" s="25"/>
      <c r="B342" s="25"/>
      <c r="C342" s="25"/>
      <c r="D342" s="25"/>
      <c r="E342" s="28"/>
      <c r="F342" s="28"/>
      <c r="G342" s="25"/>
      <c r="H342" s="25"/>
    </row>
    <row r="343">
      <c r="A343" s="25"/>
      <c r="B343" s="25"/>
      <c r="C343" s="25"/>
      <c r="D343" s="25"/>
      <c r="E343" s="28"/>
      <c r="F343" s="28"/>
      <c r="G343" s="25"/>
      <c r="H343" s="25"/>
    </row>
    <row r="344">
      <c r="A344" s="25"/>
      <c r="B344" s="25"/>
      <c r="C344" s="25"/>
      <c r="D344" s="25"/>
      <c r="E344" s="28"/>
      <c r="F344" s="28"/>
      <c r="G344" s="25"/>
      <c r="H344" s="25"/>
    </row>
    <row r="345">
      <c r="A345" s="25"/>
      <c r="B345" s="25"/>
      <c r="C345" s="25"/>
      <c r="D345" s="25"/>
      <c r="E345" s="28"/>
      <c r="F345" s="28"/>
      <c r="G345" s="25"/>
      <c r="H345" s="25"/>
    </row>
    <row r="346">
      <c r="A346" s="25"/>
      <c r="B346" s="25"/>
      <c r="C346" s="25"/>
      <c r="D346" s="25"/>
      <c r="E346" s="28"/>
      <c r="F346" s="28"/>
      <c r="G346" s="25"/>
      <c r="H346" s="25"/>
    </row>
    <row r="347">
      <c r="A347" s="25"/>
      <c r="B347" s="25"/>
      <c r="C347" s="25"/>
      <c r="D347" s="25"/>
      <c r="E347" s="28"/>
      <c r="F347" s="28"/>
      <c r="G347" s="25"/>
      <c r="H347" s="25"/>
    </row>
    <row r="348">
      <c r="A348" s="25"/>
      <c r="B348" s="25"/>
      <c r="C348" s="25"/>
      <c r="D348" s="25"/>
      <c r="E348" s="28"/>
      <c r="F348" s="28"/>
      <c r="G348" s="25"/>
      <c r="H348" s="25"/>
    </row>
    <row r="349">
      <c r="A349" s="25"/>
      <c r="B349" s="25"/>
      <c r="C349" s="25"/>
      <c r="D349" s="25"/>
      <c r="E349" s="28"/>
      <c r="F349" s="28"/>
      <c r="G349" s="25"/>
      <c r="H349" s="25"/>
    </row>
    <row r="350">
      <c r="A350" s="25"/>
      <c r="B350" s="25"/>
      <c r="C350" s="25"/>
      <c r="D350" s="25"/>
      <c r="E350" s="28"/>
      <c r="F350" s="28"/>
      <c r="G350" s="25"/>
      <c r="H350" s="25"/>
    </row>
    <row r="351">
      <c r="A351" s="25"/>
      <c r="B351" s="25"/>
      <c r="C351" s="25"/>
      <c r="D351" s="25"/>
      <c r="E351" s="28"/>
      <c r="F351" s="28"/>
      <c r="G351" s="25"/>
      <c r="H351" s="25"/>
    </row>
    <row r="352">
      <c r="A352" s="25"/>
      <c r="B352" s="25"/>
      <c r="C352" s="25"/>
      <c r="D352" s="25"/>
      <c r="E352" s="28"/>
      <c r="F352" s="28"/>
      <c r="G352" s="25"/>
      <c r="H352" s="25"/>
    </row>
    <row r="353">
      <c r="A353" s="25"/>
      <c r="B353" s="25"/>
      <c r="C353" s="25"/>
      <c r="D353" s="25"/>
      <c r="E353" s="28"/>
      <c r="F353" s="28"/>
      <c r="G353" s="25"/>
      <c r="H353" s="25"/>
    </row>
    <row r="354">
      <c r="A354" s="25"/>
      <c r="B354" s="25"/>
      <c r="C354" s="25"/>
      <c r="D354" s="25"/>
      <c r="E354" s="28"/>
      <c r="F354" s="28"/>
      <c r="G354" s="25"/>
      <c r="H354" s="25"/>
    </row>
    <row r="355">
      <c r="A355" s="25"/>
      <c r="B355" s="25"/>
      <c r="C355" s="25"/>
      <c r="D355" s="25"/>
      <c r="E355" s="28"/>
      <c r="F355" s="28"/>
      <c r="G355" s="25"/>
      <c r="H355" s="25"/>
    </row>
    <row r="356">
      <c r="A356" s="25"/>
      <c r="B356" s="25"/>
      <c r="C356" s="25"/>
      <c r="D356" s="25"/>
      <c r="E356" s="28"/>
      <c r="F356" s="28"/>
      <c r="G356" s="25"/>
      <c r="H356" s="25"/>
    </row>
    <row r="357">
      <c r="A357" s="25"/>
      <c r="B357" s="25"/>
      <c r="C357" s="25"/>
      <c r="D357" s="25"/>
      <c r="E357" s="28"/>
      <c r="F357" s="28"/>
      <c r="G357" s="25"/>
      <c r="H357" s="25"/>
    </row>
    <row r="358">
      <c r="A358" s="25"/>
      <c r="B358" s="25"/>
      <c r="C358" s="25"/>
      <c r="D358" s="25"/>
      <c r="E358" s="28"/>
      <c r="F358" s="28"/>
      <c r="G358" s="25"/>
      <c r="H358" s="25"/>
    </row>
    <row r="359">
      <c r="A359" s="25"/>
      <c r="B359" s="25"/>
      <c r="C359" s="25"/>
      <c r="D359" s="25"/>
      <c r="E359" s="28"/>
      <c r="F359" s="28"/>
      <c r="G359" s="25"/>
      <c r="H359" s="25"/>
    </row>
    <row r="360">
      <c r="A360" s="25"/>
      <c r="B360" s="25"/>
      <c r="C360" s="25"/>
      <c r="D360" s="25"/>
      <c r="E360" s="28"/>
      <c r="F360" s="28"/>
      <c r="G360" s="25"/>
      <c r="H360" s="25"/>
    </row>
    <row r="361">
      <c r="A361" s="25"/>
      <c r="B361" s="25"/>
      <c r="C361" s="25"/>
      <c r="D361" s="25"/>
      <c r="E361" s="28"/>
      <c r="F361" s="28"/>
      <c r="G361" s="25"/>
      <c r="H361" s="25"/>
    </row>
    <row r="362">
      <c r="A362" s="25"/>
      <c r="B362" s="25"/>
      <c r="C362" s="25"/>
      <c r="D362" s="25"/>
      <c r="E362" s="28"/>
      <c r="F362" s="28"/>
      <c r="G362" s="25"/>
      <c r="H362" s="25"/>
    </row>
    <row r="363">
      <c r="A363" s="25"/>
      <c r="B363" s="25"/>
      <c r="C363" s="25"/>
      <c r="D363" s="25"/>
      <c r="E363" s="28"/>
      <c r="F363" s="28"/>
      <c r="G363" s="25"/>
      <c r="H363" s="25"/>
    </row>
    <row r="364">
      <c r="A364" s="25"/>
      <c r="B364" s="25"/>
      <c r="C364" s="25"/>
      <c r="D364" s="25"/>
      <c r="E364" s="28"/>
      <c r="F364" s="28"/>
      <c r="G364" s="25"/>
      <c r="H364" s="25"/>
    </row>
    <row r="365">
      <c r="A365" s="25"/>
      <c r="B365" s="25"/>
      <c r="C365" s="25"/>
      <c r="D365" s="25"/>
      <c r="E365" s="28"/>
      <c r="F365" s="28"/>
      <c r="G365" s="25"/>
      <c r="H365" s="25"/>
    </row>
    <row r="366">
      <c r="A366" s="25"/>
      <c r="B366" s="25"/>
      <c r="C366" s="25"/>
      <c r="D366" s="25"/>
      <c r="E366" s="28"/>
      <c r="F366" s="28"/>
      <c r="G366" s="25"/>
      <c r="H366" s="25"/>
    </row>
    <row r="367">
      <c r="A367" s="25"/>
      <c r="B367" s="25"/>
      <c r="C367" s="25"/>
      <c r="D367" s="25"/>
      <c r="E367" s="28"/>
      <c r="F367" s="28"/>
      <c r="G367" s="25"/>
      <c r="H367" s="25"/>
    </row>
    <row r="368">
      <c r="A368" s="25"/>
      <c r="B368" s="25"/>
      <c r="C368" s="25"/>
      <c r="D368" s="25"/>
      <c r="E368" s="28"/>
      <c r="F368" s="28"/>
      <c r="G368" s="25"/>
      <c r="H368" s="25"/>
    </row>
    <row r="369">
      <c r="A369" s="25"/>
      <c r="B369" s="25"/>
      <c r="C369" s="25"/>
      <c r="D369" s="25"/>
      <c r="E369" s="28"/>
      <c r="F369" s="28"/>
      <c r="G369" s="25"/>
      <c r="H369" s="25"/>
    </row>
    <row r="370">
      <c r="A370" s="25"/>
      <c r="B370" s="25"/>
      <c r="C370" s="25"/>
      <c r="D370" s="25"/>
      <c r="E370" s="28"/>
      <c r="F370" s="28"/>
      <c r="G370" s="25"/>
      <c r="H370" s="25"/>
    </row>
    <row r="371">
      <c r="A371" s="25"/>
      <c r="B371" s="25"/>
      <c r="C371" s="25"/>
      <c r="D371" s="25"/>
      <c r="E371" s="28"/>
      <c r="F371" s="28"/>
      <c r="G371" s="25"/>
      <c r="H371" s="25"/>
    </row>
    <row r="372">
      <c r="A372" s="25"/>
      <c r="B372" s="25"/>
      <c r="C372" s="25"/>
      <c r="D372" s="25"/>
      <c r="E372" s="28"/>
      <c r="F372" s="28"/>
      <c r="G372" s="25"/>
      <c r="H372" s="25"/>
    </row>
    <row r="373">
      <c r="A373" s="25"/>
      <c r="B373" s="25"/>
      <c r="C373" s="25"/>
      <c r="D373" s="25"/>
      <c r="E373" s="28"/>
      <c r="F373" s="28"/>
      <c r="G373" s="25"/>
      <c r="H373" s="25"/>
    </row>
    <row r="374">
      <c r="A374" s="25"/>
      <c r="B374" s="25"/>
      <c r="C374" s="25"/>
      <c r="D374" s="25"/>
      <c r="E374" s="28"/>
      <c r="F374" s="28"/>
      <c r="G374" s="25"/>
      <c r="H374" s="25"/>
    </row>
    <row r="375">
      <c r="A375" s="25"/>
      <c r="B375" s="25"/>
      <c r="C375" s="25"/>
      <c r="D375" s="25"/>
      <c r="E375" s="28"/>
      <c r="F375" s="28"/>
      <c r="G375" s="25"/>
      <c r="H375" s="25"/>
    </row>
    <row r="376">
      <c r="A376" s="25"/>
      <c r="B376" s="25"/>
      <c r="C376" s="25"/>
      <c r="D376" s="25"/>
      <c r="E376" s="28"/>
      <c r="F376" s="28"/>
      <c r="G376" s="25"/>
      <c r="H376" s="25"/>
    </row>
    <row r="377">
      <c r="A377" s="25"/>
      <c r="B377" s="25"/>
      <c r="C377" s="25"/>
      <c r="D377" s="25"/>
      <c r="E377" s="28"/>
      <c r="F377" s="28"/>
      <c r="G377" s="25"/>
      <c r="H377" s="25"/>
    </row>
    <row r="378">
      <c r="A378" s="25"/>
      <c r="B378" s="25"/>
      <c r="C378" s="25"/>
      <c r="D378" s="25"/>
      <c r="E378" s="28"/>
      <c r="F378" s="28"/>
      <c r="G378" s="25"/>
      <c r="H378" s="25"/>
    </row>
    <row r="379">
      <c r="A379" s="25"/>
      <c r="B379" s="25"/>
      <c r="C379" s="25"/>
      <c r="D379" s="25"/>
      <c r="E379" s="28"/>
      <c r="F379" s="28"/>
      <c r="G379" s="25"/>
      <c r="H379" s="25"/>
    </row>
    <row r="380">
      <c r="A380" s="25"/>
      <c r="B380" s="25"/>
      <c r="C380" s="25"/>
      <c r="D380" s="25"/>
      <c r="E380" s="28"/>
      <c r="F380" s="28"/>
      <c r="G380" s="25"/>
      <c r="H380" s="25"/>
    </row>
    <row r="381">
      <c r="A381" s="25"/>
      <c r="B381" s="25"/>
      <c r="C381" s="25"/>
      <c r="D381" s="25"/>
      <c r="E381" s="28"/>
      <c r="F381" s="28"/>
      <c r="G381" s="25"/>
      <c r="H381" s="25"/>
    </row>
    <row r="382">
      <c r="A382" s="25"/>
      <c r="B382" s="25"/>
      <c r="C382" s="25"/>
      <c r="D382" s="25"/>
      <c r="E382" s="28"/>
      <c r="F382" s="28"/>
      <c r="G382" s="25"/>
      <c r="H382" s="25"/>
    </row>
    <row r="383">
      <c r="A383" s="25"/>
      <c r="B383" s="25"/>
      <c r="C383" s="25"/>
      <c r="D383" s="25"/>
      <c r="E383" s="28"/>
      <c r="F383" s="28"/>
      <c r="G383" s="25"/>
      <c r="H383" s="25"/>
    </row>
    <row r="384">
      <c r="A384" s="25"/>
      <c r="B384" s="25"/>
      <c r="C384" s="25"/>
      <c r="D384" s="25"/>
      <c r="E384" s="28"/>
      <c r="F384" s="28"/>
      <c r="G384" s="25"/>
      <c r="H384" s="25"/>
    </row>
    <row r="385">
      <c r="A385" s="25"/>
      <c r="B385" s="25"/>
      <c r="C385" s="25"/>
      <c r="D385" s="25"/>
      <c r="E385" s="28"/>
      <c r="F385" s="28"/>
      <c r="G385" s="25"/>
      <c r="H385" s="25"/>
    </row>
    <row r="386">
      <c r="A386" s="25"/>
      <c r="B386" s="25"/>
      <c r="C386" s="25"/>
      <c r="D386" s="25"/>
      <c r="E386" s="28"/>
      <c r="F386" s="28"/>
      <c r="G386" s="25"/>
      <c r="H386" s="25"/>
    </row>
    <row r="387">
      <c r="A387" s="25"/>
      <c r="B387" s="25"/>
      <c r="C387" s="25"/>
      <c r="D387" s="25"/>
      <c r="E387" s="28"/>
      <c r="F387" s="28"/>
      <c r="G387" s="25"/>
      <c r="H387" s="25"/>
    </row>
    <row r="388">
      <c r="A388" s="25"/>
      <c r="B388" s="25"/>
      <c r="C388" s="25"/>
      <c r="D388" s="25"/>
      <c r="E388" s="28"/>
      <c r="F388" s="28"/>
      <c r="G388" s="25"/>
      <c r="H388" s="25"/>
    </row>
    <row r="389">
      <c r="A389" s="25"/>
      <c r="B389" s="25"/>
      <c r="C389" s="25"/>
      <c r="D389" s="25"/>
      <c r="E389" s="28"/>
      <c r="F389" s="28"/>
      <c r="G389" s="25"/>
      <c r="H389" s="25"/>
    </row>
    <row r="390">
      <c r="A390" s="25"/>
      <c r="B390" s="25"/>
      <c r="C390" s="25"/>
      <c r="D390" s="25"/>
      <c r="E390" s="28"/>
      <c r="F390" s="28"/>
      <c r="G390" s="25"/>
      <c r="H390" s="25"/>
    </row>
    <row r="391">
      <c r="A391" s="25"/>
      <c r="B391" s="25"/>
      <c r="C391" s="25"/>
      <c r="D391" s="25"/>
      <c r="E391" s="28"/>
      <c r="F391" s="28"/>
      <c r="G391" s="25"/>
      <c r="H391" s="25"/>
    </row>
    <row r="392">
      <c r="A392" s="25"/>
      <c r="B392" s="25"/>
      <c r="C392" s="25"/>
      <c r="D392" s="25"/>
      <c r="E392" s="28"/>
      <c r="F392" s="28"/>
      <c r="G392" s="25"/>
      <c r="H392" s="25"/>
    </row>
    <row r="393">
      <c r="A393" s="25"/>
      <c r="B393" s="25"/>
      <c r="C393" s="25"/>
      <c r="D393" s="25"/>
      <c r="E393" s="28"/>
      <c r="F393" s="28"/>
      <c r="G393" s="25"/>
      <c r="H393" s="25"/>
    </row>
    <row r="394">
      <c r="A394" s="25"/>
      <c r="B394" s="25"/>
      <c r="C394" s="25"/>
      <c r="D394" s="25"/>
      <c r="E394" s="28"/>
      <c r="F394" s="28"/>
      <c r="G394" s="25"/>
      <c r="H394" s="25"/>
    </row>
    <row r="395">
      <c r="A395" s="25"/>
      <c r="B395" s="25"/>
      <c r="C395" s="25"/>
      <c r="D395" s="25"/>
      <c r="E395" s="28"/>
      <c r="F395" s="28"/>
      <c r="G395" s="25"/>
      <c r="H395" s="25"/>
    </row>
    <row r="396">
      <c r="A396" s="25"/>
      <c r="B396" s="25"/>
      <c r="C396" s="25"/>
      <c r="D396" s="25"/>
      <c r="E396" s="28"/>
      <c r="F396" s="28"/>
      <c r="G396" s="25"/>
      <c r="H396" s="25"/>
    </row>
    <row r="397">
      <c r="A397" s="25"/>
      <c r="B397" s="25"/>
      <c r="C397" s="25"/>
      <c r="D397" s="25"/>
      <c r="E397" s="28"/>
      <c r="F397" s="28"/>
      <c r="G397" s="25"/>
      <c r="H397" s="25"/>
    </row>
    <row r="398">
      <c r="A398" s="25"/>
      <c r="B398" s="25"/>
      <c r="C398" s="25"/>
      <c r="D398" s="25"/>
      <c r="E398" s="28"/>
      <c r="F398" s="28"/>
      <c r="G398" s="25"/>
      <c r="H398" s="25"/>
    </row>
    <row r="399">
      <c r="A399" s="25"/>
      <c r="B399" s="25"/>
      <c r="C399" s="25"/>
      <c r="D399" s="25"/>
      <c r="E399" s="28"/>
      <c r="F399" s="28"/>
      <c r="G399" s="25"/>
      <c r="H399" s="25"/>
    </row>
    <row r="400">
      <c r="A400" s="25"/>
      <c r="B400" s="25"/>
      <c r="C400" s="25"/>
      <c r="D400" s="25"/>
      <c r="E400" s="28"/>
      <c r="F400" s="28"/>
      <c r="G400" s="25"/>
      <c r="H400" s="25"/>
    </row>
    <row r="401">
      <c r="A401" s="25"/>
      <c r="B401" s="25"/>
      <c r="C401" s="25"/>
      <c r="D401" s="25"/>
      <c r="E401" s="28"/>
      <c r="F401" s="28"/>
      <c r="G401" s="25"/>
      <c r="H401" s="25"/>
    </row>
    <row r="402">
      <c r="A402" s="25"/>
      <c r="B402" s="25"/>
      <c r="C402" s="25"/>
      <c r="D402" s="25"/>
      <c r="E402" s="28"/>
      <c r="F402" s="28"/>
      <c r="G402" s="25"/>
      <c r="H402" s="25"/>
    </row>
    <row r="403">
      <c r="A403" s="25"/>
      <c r="B403" s="25"/>
      <c r="C403" s="25"/>
      <c r="D403" s="25"/>
      <c r="E403" s="28"/>
      <c r="F403" s="28"/>
      <c r="G403" s="25"/>
      <c r="H403" s="25"/>
    </row>
    <row r="404">
      <c r="A404" s="25"/>
      <c r="B404" s="25"/>
      <c r="C404" s="25"/>
      <c r="D404" s="25"/>
      <c r="E404" s="28"/>
      <c r="F404" s="28"/>
      <c r="G404" s="25"/>
      <c r="H404" s="25"/>
    </row>
    <row r="405">
      <c r="A405" s="25"/>
      <c r="B405" s="25"/>
      <c r="C405" s="25"/>
      <c r="D405" s="25"/>
      <c r="E405" s="28"/>
      <c r="F405" s="28"/>
      <c r="G405" s="25"/>
      <c r="H405" s="25"/>
    </row>
    <row r="406">
      <c r="A406" s="25"/>
      <c r="B406" s="25"/>
      <c r="C406" s="25"/>
      <c r="D406" s="25"/>
      <c r="E406" s="28"/>
      <c r="F406" s="28"/>
      <c r="G406" s="25"/>
      <c r="H406" s="25"/>
    </row>
    <row r="407">
      <c r="A407" s="25"/>
      <c r="B407" s="25"/>
      <c r="C407" s="25"/>
      <c r="D407" s="25"/>
      <c r="E407" s="28"/>
      <c r="F407" s="28"/>
      <c r="G407" s="25"/>
      <c r="H407" s="25"/>
    </row>
    <row r="408">
      <c r="A408" s="25"/>
      <c r="B408" s="25"/>
      <c r="C408" s="25"/>
      <c r="D408" s="25"/>
      <c r="E408" s="28"/>
      <c r="F408" s="28"/>
      <c r="G408" s="25"/>
      <c r="H408" s="25"/>
    </row>
    <row r="409">
      <c r="A409" s="25"/>
      <c r="B409" s="25"/>
      <c r="C409" s="25"/>
      <c r="D409" s="25"/>
      <c r="E409" s="28"/>
      <c r="F409" s="28"/>
      <c r="G409" s="25"/>
      <c r="H409" s="25"/>
    </row>
    <row r="410">
      <c r="A410" s="25"/>
      <c r="B410" s="25"/>
      <c r="C410" s="25"/>
      <c r="D410" s="25"/>
      <c r="E410" s="28"/>
      <c r="F410" s="28"/>
      <c r="G410" s="25"/>
      <c r="H410" s="25"/>
    </row>
    <row r="411">
      <c r="A411" s="25"/>
      <c r="B411" s="25"/>
      <c r="C411" s="25"/>
      <c r="D411" s="25"/>
      <c r="E411" s="28"/>
      <c r="F411" s="28"/>
      <c r="G411" s="25"/>
      <c r="H411" s="25"/>
    </row>
    <row r="412">
      <c r="A412" s="25"/>
      <c r="B412" s="25"/>
      <c r="C412" s="25"/>
      <c r="D412" s="25"/>
      <c r="E412" s="28"/>
      <c r="F412" s="28"/>
      <c r="G412" s="25"/>
      <c r="H412" s="25"/>
    </row>
    <row r="413">
      <c r="A413" s="25"/>
      <c r="B413" s="25"/>
      <c r="C413" s="25"/>
      <c r="D413" s="25"/>
      <c r="E413" s="28"/>
      <c r="F413" s="28"/>
      <c r="G413" s="25"/>
      <c r="H413" s="25"/>
    </row>
    <row r="414">
      <c r="A414" s="25"/>
      <c r="B414" s="25"/>
      <c r="C414" s="25"/>
      <c r="D414" s="25"/>
      <c r="E414" s="28"/>
      <c r="F414" s="28"/>
      <c r="G414" s="25"/>
      <c r="H414" s="25"/>
    </row>
    <row r="415">
      <c r="A415" s="25"/>
      <c r="B415" s="25"/>
      <c r="C415" s="25"/>
      <c r="D415" s="25"/>
      <c r="E415" s="28"/>
      <c r="F415" s="28"/>
      <c r="G415" s="25"/>
      <c r="H415" s="25"/>
    </row>
    <row r="416">
      <c r="A416" s="25"/>
      <c r="B416" s="25"/>
      <c r="C416" s="25"/>
      <c r="D416" s="25"/>
      <c r="E416" s="28"/>
      <c r="F416" s="28"/>
      <c r="G416" s="25"/>
      <c r="H416" s="25"/>
    </row>
    <row r="417">
      <c r="A417" s="25"/>
      <c r="B417" s="25"/>
      <c r="C417" s="25"/>
      <c r="D417" s="25"/>
      <c r="E417" s="28"/>
      <c r="F417" s="28"/>
      <c r="G417" s="25"/>
      <c r="H417" s="25"/>
    </row>
    <row r="418">
      <c r="A418" s="25"/>
      <c r="B418" s="25"/>
      <c r="C418" s="25"/>
      <c r="D418" s="25"/>
      <c r="E418" s="28"/>
      <c r="F418" s="28"/>
      <c r="G418" s="25"/>
      <c r="H418" s="25"/>
    </row>
    <row r="419">
      <c r="A419" s="25"/>
      <c r="B419" s="25"/>
      <c r="C419" s="25"/>
      <c r="D419" s="25"/>
      <c r="E419" s="28"/>
      <c r="F419" s="28"/>
      <c r="G419" s="25"/>
      <c r="H419" s="25"/>
    </row>
    <row r="420">
      <c r="A420" s="25"/>
      <c r="B420" s="25"/>
      <c r="C420" s="25"/>
      <c r="D420" s="25"/>
      <c r="E420" s="28"/>
      <c r="F420" s="28"/>
      <c r="G420" s="25"/>
      <c r="H420" s="25"/>
    </row>
    <row r="421">
      <c r="A421" s="25"/>
      <c r="B421" s="25"/>
      <c r="C421" s="25"/>
      <c r="D421" s="25"/>
      <c r="E421" s="28"/>
      <c r="F421" s="28"/>
      <c r="G421" s="25"/>
      <c r="H421" s="25"/>
    </row>
    <row r="422">
      <c r="A422" s="25"/>
      <c r="B422" s="25"/>
      <c r="C422" s="25"/>
      <c r="D422" s="25"/>
      <c r="E422" s="28"/>
      <c r="F422" s="28"/>
      <c r="G422" s="25"/>
      <c r="H422" s="25"/>
    </row>
    <row r="423">
      <c r="A423" s="25"/>
      <c r="B423" s="25"/>
      <c r="C423" s="25"/>
      <c r="D423" s="25"/>
      <c r="E423" s="28"/>
      <c r="F423" s="28"/>
      <c r="G423" s="25"/>
      <c r="H423" s="25"/>
    </row>
    <row r="424">
      <c r="A424" s="25"/>
      <c r="B424" s="25"/>
      <c r="C424" s="25"/>
      <c r="D424" s="25"/>
      <c r="E424" s="28"/>
      <c r="F424" s="28"/>
      <c r="G424" s="25"/>
      <c r="H424" s="25"/>
    </row>
    <row r="425">
      <c r="A425" s="25"/>
      <c r="B425" s="25"/>
      <c r="C425" s="25"/>
      <c r="D425" s="25"/>
      <c r="E425" s="28"/>
      <c r="F425" s="28"/>
      <c r="G425" s="25"/>
      <c r="H425" s="25"/>
    </row>
    <row r="426">
      <c r="A426" s="25"/>
      <c r="B426" s="25"/>
      <c r="C426" s="25"/>
      <c r="D426" s="25"/>
      <c r="E426" s="28"/>
      <c r="F426" s="28"/>
      <c r="G426" s="25"/>
      <c r="H426" s="25"/>
    </row>
    <row r="427">
      <c r="A427" s="25"/>
      <c r="B427" s="25"/>
      <c r="C427" s="25"/>
      <c r="D427" s="25"/>
      <c r="E427" s="28"/>
      <c r="F427" s="28"/>
      <c r="G427" s="25"/>
      <c r="H427" s="25"/>
    </row>
    <row r="428">
      <c r="A428" s="25"/>
      <c r="B428" s="25"/>
      <c r="C428" s="25"/>
      <c r="D428" s="25"/>
      <c r="E428" s="28"/>
      <c r="F428" s="28"/>
      <c r="G428" s="25"/>
      <c r="H428" s="25"/>
    </row>
    <row r="429">
      <c r="A429" s="25"/>
      <c r="B429" s="25"/>
      <c r="C429" s="25"/>
      <c r="D429" s="25"/>
      <c r="E429" s="28"/>
      <c r="F429" s="28"/>
      <c r="G429" s="25"/>
      <c r="H429" s="25"/>
    </row>
    <row r="430">
      <c r="A430" s="25"/>
      <c r="B430" s="25"/>
      <c r="C430" s="25"/>
      <c r="D430" s="25"/>
      <c r="E430" s="28"/>
      <c r="F430" s="28"/>
      <c r="G430" s="25"/>
      <c r="H430" s="25"/>
    </row>
    <row r="431">
      <c r="A431" s="25"/>
      <c r="B431" s="25"/>
      <c r="C431" s="25"/>
      <c r="D431" s="25"/>
      <c r="E431" s="28"/>
      <c r="F431" s="28"/>
      <c r="G431" s="25"/>
      <c r="H431" s="25"/>
    </row>
    <row r="432">
      <c r="A432" s="25"/>
      <c r="B432" s="25"/>
      <c r="C432" s="25"/>
      <c r="D432" s="25"/>
      <c r="E432" s="28"/>
      <c r="F432" s="28"/>
      <c r="G432" s="25"/>
      <c r="H432" s="25"/>
    </row>
    <row r="433">
      <c r="A433" s="25"/>
      <c r="B433" s="25"/>
      <c r="C433" s="25"/>
      <c r="D433" s="25"/>
      <c r="E433" s="28"/>
      <c r="F433" s="28"/>
      <c r="G433" s="25"/>
      <c r="H433" s="25"/>
    </row>
    <row r="434">
      <c r="A434" s="25"/>
      <c r="B434" s="25"/>
      <c r="C434" s="25"/>
      <c r="D434" s="25"/>
      <c r="E434" s="28"/>
      <c r="F434" s="28"/>
      <c r="G434" s="25"/>
      <c r="H434" s="25"/>
    </row>
    <row r="435">
      <c r="A435" s="25"/>
      <c r="B435" s="25"/>
      <c r="C435" s="25"/>
      <c r="D435" s="25"/>
      <c r="E435" s="28"/>
      <c r="F435" s="28"/>
      <c r="G435" s="25"/>
      <c r="H435" s="25"/>
    </row>
    <row r="436">
      <c r="A436" s="25"/>
      <c r="B436" s="25"/>
      <c r="C436" s="25"/>
      <c r="D436" s="25"/>
      <c r="E436" s="28"/>
      <c r="F436" s="28"/>
      <c r="G436" s="25"/>
      <c r="H436" s="25"/>
    </row>
    <row r="437">
      <c r="A437" s="25"/>
      <c r="B437" s="25"/>
      <c r="C437" s="25"/>
      <c r="D437" s="25"/>
      <c r="E437" s="28"/>
      <c r="F437" s="28"/>
      <c r="G437" s="25"/>
      <c r="H437" s="25"/>
    </row>
    <row r="438">
      <c r="A438" s="25"/>
      <c r="B438" s="25"/>
      <c r="C438" s="25"/>
      <c r="D438" s="25"/>
      <c r="E438" s="28"/>
      <c r="F438" s="28"/>
      <c r="G438" s="25"/>
      <c r="H438" s="25"/>
    </row>
    <row r="439">
      <c r="A439" s="25"/>
      <c r="B439" s="25"/>
      <c r="C439" s="25"/>
      <c r="D439" s="25"/>
      <c r="E439" s="28"/>
      <c r="F439" s="28"/>
      <c r="G439" s="25"/>
      <c r="H439" s="25"/>
    </row>
    <row r="440">
      <c r="A440" s="25"/>
      <c r="B440" s="25"/>
      <c r="C440" s="25"/>
      <c r="D440" s="25"/>
      <c r="E440" s="28"/>
      <c r="F440" s="28"/>
      <c r="G440" s="25"/>
      <c r="H440" s="25"/>
    </row>
    <row r="441">
      <c r="A441" s="25"/>
      <c r="B441" s="25"/>
      <c r="C441" s="25"/>
      <c r="D441" s="25"/>
      <c r="E441" s="28"/>
      <c r="F441" s="28"/>
      <c r="G441" s="25"/>
      <c r="H441" s="25"/>
    </row>
    <row r="442">
      <c r="A442" s="25"/>
      <c r="B442" s="25"/>
      <c r="C442" s="25"/>
      <c r="D442" s="25"/>
      <c r="E442" s="28"/>
      <c r="F442" s="28"/>
      <c r="G442" s="25"/>
      <c r="H442" s="25"/>
    </row>
    <row r="443">
      <c r="A443" s="25"/>
      <c r="B443" s="25"/>
      <c r="C443" s="25"/>
      <c r="D443" s="25"/>
      <c r="E443" s="28"/>
      <c r="F443" s="28"/>
      <c r="G443" s="25"/>
      <c r="H443" s="25"/>
    </row>
    <row r="444">
      <c r="A444" s="25"/>
      <c r="B444" s="25"/>
      <c r="C444" s="25"/>
      <c r="D444" s="25"/>
      <c r="E444" s="28"/>
      <c r="F444" s="28"/>
      <c r="G444" s="25"/>
      <c r="H444" s="25"/>
    </row>
    <row r="445">
      <c r="A445" s="25"/>
      <c r="B445" s="25"/>
      <c r="C445" s="25"/>
      <c r="D445" s="25"/>
      <c r="E445" s="28"/>
      <c r="F445" s="28"/>
      <c r="G445" s="25"/>
      <c r="H445" s="25"/>
    </row>
    <row r="446">
      <c r="A446" s="25"/>
      <c r="B446" s="25"/>
      <c r="C446" s="25"/>
      <c r="D446" s="25"/>
      <c r="E446" s="28"/>
      <c r="F446" s="28"/>
      <c r="G446" s="25"/>
      <c r="H446" s="25"/>
    </row>
    <row r="447">
      <c r="A447" s="25"/>
      <c r="B447" s="25"/>
      <c r="C447" s="25"/>
      <c r="D447" s="25"/>
      <c r="E447" s="28"/>
      <c r="F447" s="28"/>
      <c r="G447" s="25"/>
      <c r="H447" s="25"/>
    </row>
    <row r="448">
      <c r="A448" s="25"/>
      <c r="B448" s="25"/>
      <c r="C448" s="25"/>
      <c r="D448" s="25"/>
      <c r="E448" s="28"/>
      <c r="F448" s="28"/>
      <c r="G448" s="25"/>
      <c r="H448" s="25"/>
    </row>
    <row r="449">
      <c r="A449" s="25"/>
      <c r="B449" s="25"/>
      <c r="C449" s="25"/>
      <c r="D449" s="25"/>
      <c r="E449" s="28"/>
      <c r="F449" s="28"/>
      <c r="G449" s="25"/>
      <c r="H449" s="25"/>
    </row>
    <row r="450">
      <c r="A450" s="25"/>
      <c r="B450" s="25"/>
      <c r="C450" s="25"/>
      <c r="D450" s="25"/>
      <c r="E450" s="28"/>
      <c r="F450" s="28"/>
      <c r="G450" s="25"/>
      <c r="H450" s="25"/>
    </row>
    <row r="451">
      <c r="A451" s="25"/>
      <c r="B451" s="25"/>
      <c r="C451" s="25"/>
      <c r="D451" s="25"/>
      <c r="E451" s="28"/>
      <c r="F451" s="28"/>
      <c r="G451" s="25"/>
      <c r="H451" s="25"/>
    </row>
    <row r="452">
      <c r="A452" s="25"/>
      <c r="B452" s="25"/>
      <c r="C452" s="25"/>
      <c r="D452" s="25"/>
      <c r="E452" s="28"/>
      <c r="F452" s="28"/>
      <c r="G452" s="25"/>
      <c r="H452" s="25"/>
    </row>
    <row r="453">
      <c r="A453" s="25"/>
      <c r="B453" s="25"/>
      <c r="C453" s="25"/>
      <c r="D453" s="25"/>
      <c r="E453" s="28"/>
      <c r="F453" s="28"/>
      <c r="G453" s="25"/>
      <c r="H453" s="25"/>
    </row>
    <row r="454">
      <c r="A454" s="25"/>
      <c r="B454" s="25"/>
      <c r="C454" s="25"/>
      <c r="D454" s="25"/>
      <c r="E454" s="28"/>
      <c r="F454" s="28"/>
      <c r="G454" s="25"/>
      <c r="H454" s="25"/>
    </row>
    <row r="455">
      <c r="A455" s="25"/>
      <c r="B455" s="25"/>
      <c r="C455" s="25"/>
      <c r="D455" s="25"/>
      <c r="E455" s="28"/>
      <c r="F455" s="28"/>
      <c r="G455" s="25"/>
      <c r="H455" s="25"/>
    </row>
    <row r="456">
      <c r="A456" s="25"/>
      <c r="B456" s="25"/>
      <c r="C456" s="25"/>
      <c r="D456" s="25"/>
      <c r="E456" s="28"/>
      <c r="F456" s="28"/>
      <c r="G456" s="25"/>
      <c r="H456" s="25"/>
    </row>
    <row r="457">
      <c r="A457" s="25"/>
      <c r="B457" s="25"/>
      <c r="C457" s="25"/>
      <c r="D457" s="25"/>
      <c r="E457" s="28"/>
      <c r="F457" s="28"/>
      <c r="G457" s="25"/>
      <c r="H457" s="25"/>
    </row>
    <row r="458">
      <c r="A458" s="25"/>
      <c r="B458" s="25"/>
      <c r="C458" s="25"/>
      <c r="D458" s="25"/>
      <c r="E458" s="28"/>
      <c r="F458" s="28"/>
      <c r="G458" s="25"/>
      <c r="H458" s="25"/>
    </row>
    <row r="459">
      <c r="A459" s="25"/>
      <c r="B459" s="25"/>
      <c r="C459" s="25"/>
      <c r="D459" s="25"/>
      <c r="E459" s="28"/>
      <c r="F459" s="28"/>
      <c r="G459" s="25"/>
      <c r="H459" s="25"/>
    </row>
    <row r="460">
      <c r="A460" s="25"/>
      <c r="B460" s="25"/>
      <c r="C460" s="25"/>
      <c r="D460" s="25"/>
      <c r="E460" s="28"/>
      <c r="F460" s="28"/>
      <c r="G460" s="25"/>
      <c r="H460" s="25"/>
    </row>
    <row r="461">
      <c r="A461" s="25"/>
      <c r="B461" s="25"/>
      <c r="C461" s="25"/>
      <c r="D461" s="25"/>
      <c r="E461" s="28"/>
      <c r="F461" s="28"/>
      <c r="G461" s="25"/>
      <c r="H461" s="25"/>
    </row>
    <row r="462">
      <c r="A462" s="25"/>
      <c r="B462" s="25"/>
      <c r="C462" s="25"/>
      <c r="D462" s="25"/>
      <c r="E462" s="28"/>
      <c r="F462" s="28"/>
      <c r="G462" s="25"/>
      <c r="H462" s="25"/>
    </row>
    <row r="463">
      <c r="A463" s="25"/>
      <c r="B463" s="25"/>
      <c r="C463" s="25"/>
      <c r="D463" s="25"/>
      <c r="E463" s="28"/>
      <c r="F463" s="28"/>
      <c r="G463" s="25"/>
      <c r="H463" s="25"/>
    </row>
    <row r="464">
      <c r="A464" s="25"/>
      <c r="B464" s="25"/>
      <c r="C464" s="25"/>
      <c r="D464" s="25"/>
      <c r="E464" s="28"/>
      <c r="F464" s="28"/>
      <c r="G464" s="25"/>
      <c r="H464" s="25"/>
    </row>
    <row r="465">
      <c r="A465" s="25"/>
      <c r="B465" s="25"/>
      <c r="C465" s="25"/>
      <c r="D465" s="25"/>
      <c r="E465" s="28"/>
      <c r="F465" s="28"/>
      <c r="G465" s="25"/>
      <c r="H465" s="25"/>
    </row>
    <row r="466">
      <c r="A466" s="25"/>
      <c r="B466" s="25"/>
      <c r="C466" s="25"/>
      <c r="D466" s="25"/>
      <c r="E466" s="28"/>
      <c r="F466" s="28"/>
      <c r="G466" s="25"/>
      <c r="H466" s="25"/>
    </row>
    <row r="467">
      <c r="A467" s="25"/>
      <c r="B467" s="25"/>
      <c r="C467" s="25"/>
      <c r="D467" s="25"/>
      <c r="E467" s="28"/>
      <c r="F467" s="28"/>
      <c r="G467" s="25"/>
      <c r="H467" s="25"/>
    </row>
    <row r="468">
      <c r="A468" s="25"/>
      <c r="B468" s="25"/>
      <c r="C468" s="25"/>
      <c r="D468" s="25"/>
      <c r="E468" s="28"/>
      <c r="F468" s="28"/>
      <c r="G468" s="25"/>
      <c r="H468" s="25"/>
    </row>
    <row r="469">
      <c r="A469" s="25"/>
      <c r="B469" s="25"/>
      <c r="C469" s="25"/>
      <c r="D469" s="25"/>
      <c r="E469" s="28"/>
      <c r="F469" s="28"/>
      <c r="G469" s="25"/>
      <c r="H469" s="25"/>
    </row>
    <row r="470">
      <c r="A470" s="25"/>
      <c r="B470" s="25"/>
      <c r="C470" s="25"/>
      <c r="D470" s="25"/>
      <c r="E470" s="28"/>
      <c r="F470" s="28"/>
      <c r="G470" s="25"/>
      <c r="H470" s="25"/>
    </row>
    <row r="471">
      <c r="A471" s="25"/>
      <c r="B471" s="25"/>
      <c r="C471" s="25"/>
      <c r="D471" s="25"/>
      <c r="E471" s="28"/>
      <c r="F471" s="28"/>
      <c r="G471" s="25"/>
      <c r="H471" s="25"/>
    </row>
    <row r="472">
      <c r="A472" s="25"/>
      <c r="B472" s="25"/>
      <c r="C472" s="25"/>
      <c r="D472" s="25"/>
      <c r="E472" s="28"/>
      <c r="F472" s="28"/>
      <c r="G472" s="25"/>
      <c r="H472" s="25"/>
    </row>
    <row r="473">
      <c r="A473" s="25"/>
      <c r="B473" s="25"/>
      <c r="C473" s="25"/>
      <c r="D473" s="25"/>
      <c r="E473" s="28"/>
      <c r="F473" s="28"/>
      <c r="G473" s="25"/>
      <c r="H473" s="25"/>
    </row>
    <row r="474">
      <c r="A474" s="25"/>
      <c r="B474" s="25"/>
      <c r="C474" s="25"/>
      <c r="D474" s="25"/>
      <c r="E474" s="28"/>
      <c r="F474" s="28"/>
      <c r="G474" s="25"/>
      <c r="H474" s="25"/>
    </row>
    <row r="475">
      <c r="A475" s="25"/>
      <c r="B475" s="25"/>
      <c r="C475" s="25"/>
      <c r="D475" s="25"/>
      <c r="E475" s="28"/>
      <c r="F475" s="28"/>
      <c r="G475" s="25"/>
      <c r="H475" s="25"/>
    </row>
    <row r="476">
      <c r="A476" s="25"/>
      <c r="B476" s="25"/>
      <c r="C476" s="25"/>
      <c r="D476" s="25"/>
      <c r="E476" s="28"/>
      <c r="F476" s="28"/>
      <c r="G476" s="25"/>
      <c r="H476" s="25"/>
    </row>
    <row r="477">
      <c r="A477" s="25"/>
      <c r="B477" s="25"/>
      <c r="C477" s="25"/>
      <c r="D477" s="25"/>
      <c r="E477" s="28"/>
      <c r="F477" s="28"/>
      <c r="G477" s="25"/>
      <c r="H477" s="25"/>
    </row>
    <row r="478">
      <c r="A478" s="25"/>
      <c r="B478" s="25"/>
      <c r="C478" s="25"/>
      <c r="D478" s="25"/>
      <c r="E478" s="28"/>
      <c r="F478" s="28"/>
      <c r="G478" s="25"/>
      <c r="H478" s="25"/>
    </row>
    <row r="479">
      <c r="A479" s="25"/>
      <c r="B479" s="25"/>
      <c r="C479" s="25"/>
      <c r="D479" s="25"/>
      <c r="E479" s="28"/>
      <c r="F479" s="28"/>
      <c r="G479" s="25"/>
      <c r="H479" s="25"/>
    </row>
    <row r="480">
      <c r="A480" s="25"/>
      <c r="B480" s="25"/>
      <c r="C480" s="25"/>
      <c r="D480" s="25"/>
      <c r="E480" s="28"/>
      <c r="F480" s="28"/>
      <c r="G480" s="25"/>
      <c r="H480" s="25"/>
    </row>
    <row r="481">
      <c r="A481" s="25"/>
      <c r="B481" s="25"/>
      <c r="C481" s="25"/>
      <c r="D481" s="25"/>
      <c r="E481" s="28"/>
      <c r="F481" s="28"/>
      <c r="G481" s="25"/>
      <c r="H481" s="25"/>
    </row>
    <row r="482">
      <c r="A482" s="25"/>
      <c r="B482" s="25"/>
      <c r="C482" s="25"/>
      <c r="D482" s="25"/>
      <c r="E482" s="28"/>
      <c r="F482" s="28"/>
      <c r="G482" s="25"/>
      <c r="H482" s="25"/>
    </row>
    <row r="483">
      <c r="A483" s="25"/>
      <c r="B483" s="25"/>
      <c r="C483" s="25"/>
      <c r="D483" s="25"/>
      <c r="E483" s="28"/>
      <c r="F483" s="28"/>
      <c r="G483" s="25"/>
      <c r="H483" s="25"/>
    </row>
    <row r="484">
      <c r="A484" s="25"/>
      <c r="B484" s="25"/>
      <c r="C484" s="25"/>
      <c r="D484" s="25"/>
      <c r="E484" s="28"/>
      <c r="F484" s="28"/>
      <c r="G484" s="25"/>
      <c r="H484" s="25"/>
    </row>
    <row r="485">
      <c r="A485" s="25"/>
      <c r="B485" s="25"/>
      <c r="C485" s="25"/>
      <c r="D485" s="25"/>
      <c r="E485" s="28"/>
      <c r="F485" s="28"/>
      <c r="G485" s="25"/>
      <c r="H485" s="25"/>
    </row>
    <row r="486">
      <c r="A486" s="25"/>
      <c r="B486" s="25"/>
      <c r="C486" s="25"/>
      <c r="D486" s="25"/>
      <c r="E486" s="28"/>
      <c r="F486" s="28"/>
      <c r="G486" s="25"/>
      <c r="H486" s="25"/>
    </row>
    <row r="487">
      <c r="A487" s="25"/>
      <c r="B487" s="25"/>
      <c r="C487" s="25"/>
      <c r="D487" s="25"/>
      <c r="E487" s="28"/>
      <c r="F487" s="28"/>
      <c r="G487" s="25"/>
      <c r="H487" s="25"/>
    </row>
    <row r="488">
      <c r="A488" s="25"/>
      <c r="B488" s="25"/>
      <c r="C488" s="25"/>
      <c r="D488" s="25"/>
      <c r="E488" s="28"/>
      <c r="F488" s="28"/>
      <c r="G488" s="25"/>
      <c r="H488" s="25"/>
    </row>
    <row r="489">
      <c r="A489" s="25"/>
      <c r="B489" s="25"/>
      <c r="C489" s="25"/>
      <c r="D489" s="25"/>
      <c r="E489" s="28"/>
      <c r="F489" s="28"/>
      <c r="G489" s="25"/>
      <c r="H489" s="25"/>
    </row>
    <row r="490">
      <c r="A490" s="25"/>
      <c r="B490" s="25"/>
      <c r="C490" s="25"/>
      <c r="D490" s="25"/>
      <c r="E490" s="28"/>
      <c r="F490" s="28"/>
      <c r="G490" s="25"/>
      <c r="H490" s="25"/>
    </row>
    <row r="491">
      <c r="A491" s="25"/>
      <c r="B491" s="25"/>
      <c r="C491" s="25"/>
      <c r="D491" s="25"/>
      <c r="E491" s="28"/>
      <c r="F491" s="28"/>
      <c r="G491" s="25"/>
      <c r="H491" s="25"/>
    </row>
    <row r="492">
      <c r="A492" s="25"/>
      <c r="B492" s="25"/>
      <c r="C492" s="25"/>
      <c r="D492" s="25"/>
      <c r="E492" s="28"/>
      <c r="F492" s="28"/>
      <c r="G492" s="25"/>
      <c r="H492" s="25"/>
    </row>
    <row r="493">
      <c r="A493" s="25"/>
      <c r="B493" s="25"/>
      <c r="C493" s="25"/>
      <c r="D493" s="25"/>
      <c r="E493" s="28"/>
      <c r="F493" s="28"/>
      <c r="G493" s="25"/>
      <c r="H493" s="25"/>
    </row>
    <row r="494">
      <c r="A494" s="25"/>
      <c r="B494" s="25"/>
      <c r="C494" s="25"/>
      <c r="D494" s="25"/>
      <c r="E494" s="28"/>
      <c r="F494" s="28"/>
      <c r="G494" s="25"/>
      <c r="H494" s="25"/>
    </row>
    <row r="495">
      <c r="A495" s="25"/>
      <c r="B495" s="25"/>
      <c r="C495" s="25"/>
      <c r="D495" s="25"/>
      <c r="E495" s="28"/>
      <c r="F495" s="28"/>
      <c r="G495" s="25"/>
      <c r="H495" s="25"/>
    </row>
    <row r="496">
      <c r="A496" s="25"/>
      <c r="B496" s="25"/>
      <c r="C496" s="25"/>
      <c r="D496" s="25"/>
      <c r="E496" s="28"/>
      <c r="F496" s="28"/>
      <c r="G496" s="25"/>
      <c r="H496" s="25"/>
    </row>
    <row r="497">
      <c r="A497" s="25"/>
      <c r="B497" s="25"/>
      <c r="C497" s="25"/>
      <c r="D497" s="25"/>
      <c r="E497" s="28"/>
      <c r="F497" s="28"/>
      <c r="G497" s="25"/>
      <c r="H497" s="25"/>
    </row>
    <row r="498">
      <c r="A498" s="25"/>
      <c r="B498" s="25"/>
      <c r="C498" s="25"/>
      <c r="D498" s="25"/>
      <c r="E498" s="28"/>
      <c r="F498" s="28"/>
      <c r="G498" s="25"/>
      <c r="H498" s="25"/>
    </row>
    <row r="499">
      <c r="A499" s="25"/>
      <c r="B499" s="25"/>
      <c r="C499" s="25"/>
      <c r="D499" s="25"/>
      <c r="E499" s="28"/>
      <c r="F499" s="28"/>
      <c r="G499" s="25"/>
      <c r="H499" s="25"/>
    </row>
    <row r="500">
      <c r="A500" s="25"/>
      <c r="B500" s="25"/>
      <c r="C500" s="25"/>
      <c r="D500" s="25"/>
      <c r="E500" s="28"/>
      <c r="F500" s="28"/>
      <c r="G500" s="25"/>
      <c r="H500" s="25"/>
    </row>
    <row r="501">
      <c r="A501" s="25"/>
      <c r="B501" s="25"/>
      <c r="C501" s="25"/>
      <c r="D501" s="25"/>
      <c r="E501" s="28"/>
      <c r="F501" s="28"/>
      <c r="G501" s="25"/>
      <c r="H501" s="25"/>
    </row>
    <row r="502">
      <c r="A502" s="25"/>
      <c r="B502" s="25"/>
      <c r="C502" s="25"/>
      <c r="D502" s="25"/>
      <c r="E502" s="28"/>
      <c r="F502" s="28"/>
      <c r="G502" s="25"/>
      <c r="H502" s="25"/>
    </row>
    <row r="503">
      <c r="A503" s="25"/>
      <c r="B503" s="25"/>
      <c r="C503" s="25"/>
      <c r="D503" s="25"/>
      <c r="E503" s="28"/>
      <c r="F503" s="28"/>
      <c r="G503" s="25"/>
      <c r="H503" s="25"/>
    </row>
    <row r="504">
      <c r="A504" s="25"/>
      <c r="B504" s="25"/>
      <c r="C504" s="25"/>
      <c r="D504" s="25"/>
      <c r="E504" s="28"/>
      <c r="F504" s="28"/>
      <c r="G504" s="25"/>
      <c r="H504" s="25"/>
    </row>
    <row r="505">
      <c r="A505" s="25"/>
      <c r="B505" s="25"/>
      <c r="C505" s="25"/>
      <c r="D505" s="25"/>
      <c r="E505" s="28"/>
      <c r="F505" s="28"/>
      <c r="G505" s="25"/>
      <c r="H505" s="25"/>
    </row>
    <row r="506">
      <c r="A506" s="25"/>
      <c r="B506" s="25"/>
      <c r="C506" s="25"/>
      <c r="D506" s="25"/>
      <c r="E506" s="28"/>
      <c r="F506" s="28"/>
      <c r="G506" s="25"/>
      <c r="H506" s="25"/>
    </row>
    <row r="507">
      <c r="A507" s="25"/>
      <c r="B507" s="25"/>
      <c r="C507" s="25"/>
      <c r="D507" s="25"/>
      <c r="E507" s="28"/>
      <c r="F507" s="28"/>
      <c r="G507" s="25"/>
      <c r="H507" s="25"/>
    </row>
    <row r="508">
      <c r="A508" s="25"/>
      <c r="B508" s="25"/>
      <c r="C508" s="25"/>
      <c r="D508" s="25"/>
      <c r="E508" s="28"/>
      <c r="F508" s="28"/>
      <c r="G508" s="25"/>
      <c r="H508" s="25"/>
    </row>
    <row r="509">
      <c r="A509" s="25"/>
      <c r="B509" s="25"/>
      <c r="C509" s="25"/>
      <c r="D509" s="25"/>
      <c r="E509" s="28"/>
      <c r="F509" s="28"/>
      <c r="G509" s="25"/>
      <c r="H509" s="25"/>
    </row>
    <row r="510">
      <c r="A510" s="25"/>
      <c r="B510" s="25"/>
      <c r="C510" s="25"/>
      <c r="D510" s="25"/>
      <c r="E510" s="28"/>
      <c r="F510" s="28"/>
      <c r="G510" s="25"/>
      <c r="H510" s="25"/>
    </row>
    <row r="511">
      <c r="A511" s="25"/>
      <c r="B511" s="25"/>
      <c r="C511" s="25"/>
      <c r="D511" s="25"/>
      <c r="E511" s="28"/>
      <c r="F511" s="28"/>
      <c r="G511" s="25"/>
      <c r="H511" s="25"/>
    </row>
    <row r="512">
      <c r="A512" s="25"/>
      <c r="B512" s="25"/>
      <c r="C512" s="25"/>
      <c r="D512" s="25"/>
      <c r="E512" s="28"/>
      <c r="F512" s="28"/>
      <c r="G512" s="25"/>
      <c r="H512" s="25"/>
    </row>
    <row r="513">
      <c r="A513" s="25"/>
      <c r="B513" s="25"/>
      <c r="C513" s="25"/>
      <c r="D513" s="25"/>
      <c r="E513" s="28"/>
      <c r="F513" s="28"/>
      <c r="G513" s="25"/>
      <c r="H513" s="25"/>
    </row>
    <row r="514">
      <c r="A514" s="25"/>
      <c r="B514" s="25"/>
      <c r="C514" s="25"/>
      <c r="D514" s="25"/>
      <c r="E514" s="28"/>
      <c r="F514" s="28"/>
      <c r="G514" s="25"/>
      <c r="H514" s="25"/>
    </row>
    <row r="515">
      <c r="A515" s="25"/>
      <c r="B515" s="25"/>
      <c r="C515" s="25"/>
      <c r="D515" s="25"/>
      <c r="E515" s="28"/>
      <c r="F515" s="28"/>
      <c r="G515" s="25"/>
      <c r="H515" s="25"/>
    </row>
    <row r="516">
      <c r="A516" s="25"/>
      <c r="B516" s="25"/>
      <c r="C516" s="25"/>
      <c r="D516" s="25"/>
      <c r="E516" s="28"/>
      <c r="F516" s="28"/>
      <c r="G516" s="25"/>
      <c r="H516" s="25"/>
    </row>
    <row r="517">
      <c r="A517" s="25"/>
      <c r="B517" s="25"/>
      <c r="C517" s="25"/>
      <c r="D517" s="25"/>
      <c r="E517" s="28"/>
      <c r="F517" s="28"/>
      <c r="G517" s="25"/>
      <c r="H517" s="25"/>
    </row>
    <row r="518">
      <c r="A518" s="25"/>
      <c r="B518" s="25"/>
      <c r="C518" s="25"/>
      <c r="D518" s="25"/>
      <c r="E518" s="28"/>
      <c r="F518" s="28"/>
      <c r="G518" s="25"/>
      <c r="H518" s="25"/>
    </row>
    <row r="519">
      <c r="A519" s="25"/>
      <c r="B519" s="25"/>
      <c r="C519" s="25"/>
      <c r="D519" s="25"/>
      <c r="E519" s="28"/>
      <c r="F519" s="28"/>
      <c r="G519" s="25"/>
      <c r="H519" s="25"/>
    </row>
    <row r="520">
      <c r="A520" s="25"/>
      <c r="B520" s="25"/>
      <c r="C520" s="25"/>
      <c r="D520" s="25"/>
      <c r="E520" s="28"/>
      <c r="F520" s="28"/>
      <c r="G520" s="25"/>
      <c r="H520" s="25"/>
    </row>
    <row r="521">
      <c r="A521" s="25"/>
      <c r="B521" s="25"/>
      <c r="C521" s="25"/>
      <c r="D521" s="25"/>
      <c r="E521" s="28"/>
      <c r="F521" s="28"/>
      <c r="G521" s="25"/>
      <c r="H521" s="25"/>
    </row>
    <row r="522">
      <c r="A522" s="25"/>
      <c r="B522" s="25"/>
      <c r="C522" s="25"/>
      <c r="D522" s="25"/>
      <c r="E522" s="28"/>
      <c r="F522" s="28"/>
      <c r="G522" s="25"/>
      <c r="H522" s="25"/>
    </row>
    <row r="523">
      <c r="A523" s="25"/>
      <c r="B523" s="25"/>
      <c r="C523" s="25"/>
      <c r="D523" s="25"/>
      <c r="E523" s="28"/>
      <c r="F523" s="28"/>
      <c r="G523" s="25"/>
      <c r="H523" s="25"/>
    </row>
    <row r="524">
      <c r="A524" s="25"/>
      <c r="B524" s="25"/>
      <c r="C524" s="25"/>
      <c r="D524" s="25"/>
      <c r="E524" s="28"/>
      <c r="F524" s="28"/>
      <c r="G524" s="25"/>
      <c r="H524" s="25"/>
    </row>
    <row r="525">
      <c r="A525" s="25"/>
      <c r="B525" s="25"/>
      <c r="C525" s="25"/>
      <c r="D525" s="25"/>
      <c r="E525" s="28"/>
      <c r="F525" s="28"/>
      <c r="G525" s="25"/>
      <c r="H525" s="25"/>
    </row>
    <row r="526">
      <c r="A526" s="25"/>
      <c r="B526" s="25"/>
      <c r="C526" s="25"/>
      <c r="D526" s="25"/>
      <c r="E526" s="28"/>
      <c r="F526" s="28"/>
      <c r="G526" s="25"/>
      <c r="H526" s="25"/>
    </row>
    <row r="527">
      <c r="A527" s="25"/>
      <c r="B527" s="25"/>
      <c r="C527" s="25"/>
      <c r="D527" s="25"/>
      <c r="E527" s="28"/>
      <c r="F527" s="28"/>
      <c r="G527" s="25"/>
      <c r="H527" s="25"/>
    </row>
    <row r="528">
      <c r="A528" s="25"/>
      <c r="B528" s="25"/>
      <c r="C528" s="25"/>
      <c r="D528" s="25"/>
      <c r="E528" s="28"/>
      <c r="F528" s="28"/>
      <c r="G528" s="25"/>
      <c r="H528" s="25"/>
    </row>
    <row r="529">
      <c r="A529" s="25"/>
      <c r="B529" s="25"/>
      <c r="C529" s="25"/>
      <c r="D529" s="25"/>
      <c r="E529" s="28"/>
      <c r="F529" s="28"/>
      <c r="G529" s="25"/>
      <c r="H529" s="25"/>
    </row>
    <row r="530">
      <c r="A530" s="25"/>
      <c r="B530" s="25"/>
      <c r="C530" s="25"/>
      <c r="D530" s="25"/>
      <c r="E530" s="28"/>
      <c r="F530" s="28"/>
      <c r="G530" s="25"/>
      <c r="H530" s="25"/>
    </row>
    <row r="531">
      <c r="A531" s="25"/>
      <c r="B531" s="25"/>
      <c r="C531" s="25"/>
      <c r="D531" s="25"/>
      <c r="E531" s="28"/>
      <c r="F531" s="28"/>
      <c r="G531" s="25"/>
      <c r="H531" s="25"/>
    </row>
    <row r="532">
      <c r="A532" s="25"/>
      <c r="B532" s="25"/>
      <c r="C532" s="25"/>
      <c r="D532" s="25"/>
      <c r="E532" s="28"/>
      <c r="F532" s="28"/>
      <c r="G532" s="25"/>
      <c r="H532" s="25"/>
    </row>
    <row r="533">
      <c r="A533" s="25"/>
      <c r="B533" s="25"/>
      <c r="C533" s="25"/>
      <c r="D533" s="25"/>
      <c r="E533" s="28"/>
      <c r="F533" s="28"/>
      <c r="G533" s="25"/>
      <c r="H533" s="25"/>
    </row>
    <row r="534">
      <c r="A534" s="25"/>
      <c r="B534" s="25"/>
      <c r="C534" s="25"/>
      <c r="D534" s="25"/>
      <c r="E534" s="28"/>
      <c r="F534" s="28"/>
      <c r="G534" s="25"/>
      <c r="H534" s="25"/>
    </row>
    <row r="535">
      <c r="A535" s="25"/>
      <c r="B535" s="25"/>
      <c r="C535" s="25"/>
      <c r="D535" s="25"/>
      <c r="E535" s="28"/>
      <c r="F535" s="28"/>
      <c r="G535" s="25"/>
      <c r="H535" s="25"/>
    </row>
    <row r="536">
      <c r="A536" s="25"/>
      <c r="B536" s="25"/>
      <c r="C536" s="25"/>
      <c r="D536" s="25"/>
      <c r="E536" s="28"/>
      <c r="F536" s="28"/>
      <c r="G536" s="25"/>
      <c r="H536" s="25"/>
    </row>
    <row r="537">
      <c r="A537" s="25"/>
      <c r="B537" s="25"/>
      <c r="C537" s="25"/>
      <c r="D537" s="25"/>
      <c r="E537" s="28"/>
      <c r="F537" s="28"/>
      <c r="G537" s="25"/>
      <c r="H537" s="25"/>
    </row>
    <row r="538">
      <c r="A538" s="25"/>
      <c r="B538" s="25"/>
      <c r="C538" s="25"/>
      <c r="D538" s="25"/>
      <c r="E538" s="28"/>
      <c r="F538" s="28"/>
      <c r="G538" s="25"/>
      <c r="H538" s="25"/>
    </row>
    <row r="539">
      <c r="A539" s="25"/>
      <c r="B539" s="25"/>
      <c r="C539" s="25"/>
      <c r="D539" s="25"/>
      <c r="E539" s="28"/>
      <c r="F539" s="28"/>
      <c r="G539" s="25"/>
      <c r="H539" s="25"/>
    </row>
    <row r="540">
      <c r="A540" s="25"/>
      <c r="B540" s="25"/>
      <c r="C540" s="25"/>
      <c r="D540" s="25"/>
      <c r="E540" s="28"/>
      <c r="F540" s="28"/>
      <c r="G540" s="25"/>
      <c r="H540" s="25"/>
    </row>
    <row r="541">
      <c r="A541" s="25"/>
      <c r="B541" s="25"/>
      <c r="C541" s="25"/>
      <c r="D541" s="25"/>
      <c r="E541" s="28"/>
      <c r="F541" s="28"/>
      <c r="G541" s="25"/>
      <c r="H541" s="25"/>
    </row>
    <row r="542">
      <c r="A542" s="25"/>
      <c r="B542" s="25"/>
      <c r="C542" s="25"/>
      <c r="D542" s="25"/>
      <c r="E542" s="28"/>
      <c r="F542" s="28"/>
      <c r="G542" s="25"/>
      <c r="H542" s="25"/>
    </row>
    <row r="543">
      <c r="A543" s="25"/>
      <c r="B543" s="25"/>
      <c r="C543" s="25"/>
      <c r="D543" s="25"/>
      <c r="E543" s="28"/>
      <c r="F543" s="28"/>
      <c r="G543" s="25"/>
      <c r="H543" s="25"/>
    </row>
    <row r="544">
      <c r="A544" s="25"/>
      <c r="B544" s="25"/>
      <c r="C544" s="25"/>
      <c r="D544" s="25"/>
      <c r="E544" s="28"/>
      <c r="F544" s="28"/>
      <c r="G544" s="25"/>
      <c r="H544" s="25"/>
    </row>
    <row r="545">
      <c r="A545" s="25"/>
      <c r="B545" s="25"/>
      <c r="C545" s="25"/>
      <c r="D545" s="25"/>
      <c r="E545" s="28"/>
      <c r="F545" s="28"/>
      <c r="G545" s="25"/>
      <c r="H545" s="25"/>
    </row>
    <row r="546">
      <c r="A546" s="25"/>
      <c r="B546" s="25"/>
      <c r="C546" s="25"/>
      <c r="D546" s="25"/>
      <c r="E546" s="28"/>
      <c r="F546" s="28"/>
      <c r="G546" s="25"/>
      <c r="H546" s="25"/>
    </row>
    <row r="547">
      <c r="A547" s="25"/>
      <c r="B547" s="25"/>
      <c r="C547" s="25"/>
      <c r="D547" s="25"/>
      <c r="E547" s="28"/>
      <c r="F547" s="28"/>
      <c r="G547" s="25"/>
      <c r="H547" s="25"/>
    </row>
    <row r="548">
      <c r="A548" s="25"/>
      <c r="B548" s="25"/>
      <c r="C548" s="25"/>
      <c r="D548" s="25"/>
      <c r="E548" s="28"/>
      <c r="F548" s="28"/>
      <c r="G548" s="25"/>
      <c r="H548" s="25"/>
    </row>
    <row r="549">
      <c r="A549" s="25"/>
      <c r="B549" s="25"/>
      <c r="C549" s="25"/>
      <c r="D549" s="25"/>
      <c r="E549" s="28"/>
      <c r="F549" s="28"/>
      <c r="G549" s="25"/>
      <c r="H549" s="25"/>
    </row>
    <row r="550">
      <c r="A550" s="25"/>
      <c r="B550" s="25"/>
      <c r="C550" s="25"/>
      <c r="D550" s="25"/>
      <c r="E550" s="28"/>
      <c r="F550" s="28"/>
      <c r="G550" s="25"/>
      <c r="H550" s="25"/>
    </row>
    <row r="551">
      <c r="A551" s="25"/>
      <c r="B551" s="25"/>
      <c r="C551" s="25"/>
      <c r="D551" s="25"/>
      <c r="E551" s="28"/>
      <c r="F551" s="28"/>
      <c r="G551" s="25"/>
      <c r="H551" s="25"/>
    </row>
    <row r="552">
      <c r="A552" s="25"/>
      <c r="B552" s="25"/>
      <c r="C552" s="25"/>
      <c r="D552" s="25"/>
      <c r="E552" s="28"/>
      <c r="F552" s="28"/>
      <c r="G552" s="25"/>
      <c r="H552" s="25"/>
    </row>
    <row r="553">
      <c r="A553" s="25"/>
      <c r="B553" s="25"/>
      <c r="C553" s="25"/>
      <c r="D553" s="25"/>
      <c r="E553" s="28"/>
      <c r="F553" s="28"/>
      <c r="G553" s="25"/>
      <c r="H553" s="25"/>
    </row>
    <row r="554">
      <c r="A554" s="25"/>
      <c r="B554" s="25"/>
      <c r="C554" s="25"/>
      <c r="D554" s="25"/>
      <c r="E554" s="28"/>
      <c r="F554" s="28"/>
      <c r="G554" s="25"/>
      <c r="H554" s="25"/>
    </row>
    <row r="555">
      <c r="A555" s="25"/>
      <c r="B555" s="25"/>
      <c r="C555" s="25"/>
      <c r="D555" s="25"/>
      <c r="E555" s="28"/>
      <c r="F555" s="28"/>
      <c r="G555" s="25"/>
      <c r="H555" s="25"/>
    </row>
    <row r="556">
      <c r="A556" s="25"/>
      <c r="B556" s="25"/>
      <c r="C556" s="25"/>
      <c r="D556" s="25"/>
      <c r="E556" s="28"/>
      <c r="F556" s="28"/>
      <c r="G556" s="25"/>
      <c r="H556" s="25"/>
    </row>
    <row r="557">
      <c r="A557" s="25"/>
      <c r="B557" s="25"/>
      <c r="C557" s="25"/>
      <c r="D557" s="25"/>
      <c r="E557" s="28"/>
      <c r="F557" s="28"/>
      <c r="G557" s="25"/>
      <c r="H557" s="25"/>
    </row>
    <row r="558">
      <c r="A558" s="25"/>
      <c r="B558" s="25"/>
      <c r="C558" s="25"/>
      <c r="D558" s="25"/>
      <c r="E558" s="28"/>
      <c r="F558" s="28"/>
      <c r="G558" s="25"/>
      <c r="H558" s="25"/>
    </row>
    <row r="559">
      <c r="A559" s="25"/>
      <c r="B559" s="25"/>
      <c r="C559" s="25"/>
      <c r="D559" s="25"/>
      <c r="E559" s="28"/>
      <c r="F559" s="28"/>
      <c r="G559" s="25"/>
      <c r="H559" s="25"/>
    </row>
    <row r="560">
      <c r="A560" s="25"/>
      <c r="B560" s="25"/>
      <c r="C560" s="25"/>
      <c r="D560" s="25"/>
      <c r="E560" s="28"/>
      <c r="F560" s="28"/>
      <c r="G560" s="25"/>
      <c r="H560" s="25"/>
    </row>
    <row r="561">
      <c r="A561" s="25"/>
      <c r="B561" s="25"/>
      <c r="C561" s="25"/>
      <c r="D561" s="25"/>
      <c r="E561" s="28"/>
      <c r="F561" s="28"/>
      <c r="G561" s="25"/>
      <c r="H561" s="25"/>
    </row>
    <row r="562">
      <c r="A562" s="25"/>
      <c r="B562" s="25"/>
      <c r="C562" s="25"/>
      <c r="D562" s="25"/>
      <c r="E562" s="28"/>
      <c r="F562" s="28"/>
      <c r="G562" s="25"/>
      <c r="H562" s="25"/>
    </row>
    <row r="563">
      <c r="A563" s="25"/>
      <c r="B563" s="25"/>
      <c r="C563" s="25"/>
      <c r="D563" s="25"/>
      <c r="E563" s="28"/>
      <c r="F563" s="28"/>
      <c r="G563" s="25"/>
      <c r="H563" s="25"/>
    </row>
    <row r="564">
      <c r="A564" s="25"/>
      <c r="B564" s="25"/>
      <c r="C564" s="25"/>
      <c r="D564" s="25"/>
      <c r="E564" s="28"/>
      <c r="F564" s="28"/>
      <c r="G564" s="25"/>
      <c r="H564" s="25"/>
    </row>
    <row r="565">
      <c r="A565" s="25"/>
      <c r="B565" s="25"/>
      <c r="C565" s="25"/>
      <c r="D565" s="25"/>
      <c r="E565" s="28"/>
      <c r="F565" s="28"/>
      <c r="G565" s="25"/>
      <c r="H565" s="25"/>
    </row>
    <row r="566">
      <c r="A566" s="25"/>
      <c r="B566" s="25"/>
      <c r="C566" s="25"/>
      <c r="D566" s="25"/>
      <c r="E566" s="28"/>
      <c r="F566" s="28"/>
      <c r="G566" s="25"/>
      <c r="H566" s="25"/>
    </row>
    <row r="567">
      <c r="A567" s="25"/>
      <c r="B567" s="25"/>
      <c r="C567" s="25"/>
      <c r="D567" s="25"/>
      <c r="E567" s="28"/>
      <c r="F567" s="28"/>
      <c r="G567" s="25"/>
      <c r="H567" s="25"/>
    </row>
    <row r="568">
      <c r="A568" s="25"/>
      <c r="B568" s="25"/>
      <c r="C568" s="25"/>
      <c r="D568" s="25"/>
      <c r="E568" s="28"/>
      <c r="F568" s="28"/>
      <c r="G568" s="25"/>
      <c r="H568" s="25"/>
    </row>
    <row r="569">
      <c r="A569" s="25"/>
      <c r="B569" s="25"/>
      <c r="C569" s="25"/>
      <c r="D569" s="25"/>
      <c r="E569" s="28"/>
      <c r="F569" s="28"/>
      <c r="G569" s="25"/>
      <c r="H569" s="25"/>
    </row>
    <row r="570">
      <c r="A570" s="25"/>
      <c r="B570" s="25"/>
      <c r="C570" s="25"/>
      <c r="D570" s="25"/>
      <c r="E570" s="28"/>
      <c r="F570" s="28"/>
      <c r="G570" s="25"/>
      <c r="H570" s="25"/>
    </row>
    <row r="571">
      <c r="A571" s="25"/>
      <c r="B571" s="25"/>
      <c r="C571" s="25"/>
      <c r="D571" s="25"/>
      <c r="E571" s="28"/>
      <c r="F571" s="28"/>
      <c r="G571" s="25"/>
      <c r="H571" s="25"/>
    </row>
    <row r="572">
      <c r="A572" s="25"/>
      <c r="B572" s="25"/>
      <c r="C572" s="25"/>
      <c r="D572" s="25"/>
      <c r="E572" s="28"/>
      <c r="F572" s="28"/>
      <c r="G572" s="25"/>
      <c r="H572" s="25"/>
    </row>
    <row r="573">
      <c r="A573" s="25"/>
      <c r="B573" s="25"/>
      <c r="C573" s="25"/>
      <c r="D573" s="25"/>
      <c r="E573" s="28"/>
      <c r="F573" s="28"/>
      <c r="G573" s="25"/>
      <c r="H573" s="25"/>
    </row>
    <row r="574">
      <c r="A574" s="25"/>
      <c r="B574" s="25"/>
      <c r="C574" s="25"/>
      <c r="D574" s="25"/>
      <c r="E574" s="28"/>
      <c r="F574" s="28"/>
      <c r="G574" s="25"/>
      <c r="H574" s="25"/>
    </row>
    <row r="575">
      <c r="A575" s="25"/>
      <c r="B575" s="25"/>
      <c r="C575" s="25"/>
      <c r="D575" s="25"/>
      <c r="E575" s="28"/>
      <c r="F575" s="28"/>
      <c r="G575" s="25"/>
      <c r="H575" s="25"/>
    </row>
    <row r="576">
      <c r="A576" s="25"/>
      <c r="B576" s="25"/>
      <c r="C576" s="25"/>
      <c r="D576" s="25"/>
      <c r="E576" s="28"/>
      <c r="F576" s="28"/>
      <c r="G576" s="25"/>
      <c r="H576" s="25"/>
    </row>
    <row r="577">
      <c r="A577" s="25"/>
      <c r="B577" s="25"/>
      <c r="C577" s="25"/>
      <c r="D577" s="25"/>
      <c r="E577" s="28"/>
      <c r="F577" s="28"/>
      <c r="G577" s="25"/>
      <c r="H577" s="25"/>
    </row>
    <row r="578">
      <c r="A578" s="25"/>
      <c r="B578" s="25"/>
      <c r="C578" s="25"/>
      <c r="D578" s="25"/>
      <c r="E578" s="28"/>
      <c r="F578" s="28"/>
      <c r="G578" s="25"/>
      <c r="H578" s="25"/>
    </row>
    <row r="579">
      <c r="A579" s="25"/>
      <c r="B579" s="25"/>
      <c r="C579" s="25"/>
      <c r="D579" s="25"/>
      <c r="E579" s="28"/>
      <c r="F579" s="28"/>
      <c r="G579" s="25"/>
      <c r="H579" s="25"/>
    </row>
    <row r="580">
      <c r="A580" s="25"/>
      <c r="B580" s="25"/>
      <c r="C580" s="25"/>
      <c r="D580" s="25"/>
      <c r="E580" s="28"/>
      <c r="F580" s="28"/>
      <c r="G580" s="25"/>
      <c r="H580" s="25"/>
    </row>
    <row r="581">
      <c r="A581" s="25"/>
      <c r="B581" s="25"/>
      <c r="C581" s="25"/>
      <c r="D581" s="25"/>
      <c r="E581" s="28"/>
      <c r="F581" s="28"/>
      <c r="G581" s="25"/>
      <c r="H581" s="25"/>
    </row>
    <row r="582">
      <c r="A582" s="25"/>
      <c r="B582" s="25"/>
      <c r="C582" s="25"/>
      <c r="D582" s="25"/>
      <c r="E582" s="28"/>
      <c r="F582" s="28"/>
      <c r="G582" s="25"/>
      <c r="H582" s="25"/>
    </row>
    <row r="583">
      <c r="A583" s="25"/>
      <c r="B583" s="25"/>
      <c r="C583" s="25"/>
      <c r="D583" s="25"/>
      <c r="E583" s="28"/>
      <c r="F583" s="28"/>
      <c r="G583" s="25"/>
      <c r="H583" s="25"/>
    </row>
    <row r="584">
      <c r="A584" s="25"/>
      <c r="B584" s="25"/>
      <c r="C584" s="25"/>
      <c r="D584" s="25"/>
      <c r="E584" s="28"/>
      <c r="F584" s="28"/>
      <c r="G584" s="25"/>
      <c r="H584" s="25"/>
    </row>
    <row r="585">
      <c r="A585" s="25"/>
      <c r="B585" s="25"/>
      <c r="C585" s="25"/>
      <c r="D585" s="25"/>
      <c r="E585" s="28"/>
      <c r="F585" s="28"/>
      <c r="G585" s="25"/>
      <c r="H585" s="25"/>
    </row>
    <row r="586">
      <c r="A586" s="25"/>
      <c r="B586" s="25"/>
      <c r="C586" s="25"/>
      <c r="D586" s="25"/>
      <c r="E586" s="28"/>
      <c r="F586" s="28"/>
      <c r="G586" s="25"/>
      <c r="H586" s="25"/>
    </row>
    <row r="587">
      <c r="A587" s="25"/>
      <c r="B587" s="25"/>
      <c r="C587" s="25"/>
      <c r="D587" s="25"/>
      <c r="E587" s="28"/>
      <c r="F587" s="28"/>
      <c r="G587" s="25"/>
      <c r="H587" s="25"/>
    </row>
    <row r="588">
      <c r="A588" s="25"/>
      <c r="B588" s="25"/>
      <c r="C588" s="25"/>
      <c r="D588" s="25"/>
      <c r="E588" s="28"/>
      <c r="F588" s="28"/>
      <c r="G588" s="25"/>
      <c r="H588" s="25"/>
    </row>
    <row r="589">
      <c r="A589" s="25"/>
      <c r="B589" s="25"/>
      <c r="C589" s="25"/>
      <c r="D589" s="25"/>
      <c r="E589" s="28"/>
      <c r="F589" s="28"/>
      <c r="G589" s="25"/>
      <c r="H589" s="25"/>
    </row>
    <row r="590">
      <c r="A590" s="25"/>
      <c r="B590" s="25"/>
      <c r="C590" s="25"/>
      <c r="D590" s="25"/>
      <c r="E590" s="28"/>
      <c r="F590" s="28"/>
      <c r="G590" s="25"/>
      <c r="H590" s="25"/>
    </row>
    <row r="591">
      <c r="A591" s="25"/>
      <c r="B591" s="25"/>
      <c r="C591" s="25"/>
      <c r="D591" s="25"/>
      <c r="E591" s="28"/>
      <c r="F591" s="28"/>
      <c r="G591" s="25"/>
      <c r="H591" s="25"/>
    </row>
    <row r="592">
      <c r="A592" s="25"/>
      <c r="B592" s="25"/>
      <c r="C592" s="25"/>
      <c r="D592" s="25"/>
      <c r="E592" s="28"/>
      <c r="F592" s="28"/>
      <c r="G592" s="25"/>
      <c r="H592" s="25"/>
    </row>
    <row r="593">
      <c r="A593" s="25"/>
      <c r="B593" s="25"/>
      <c r="C593" s="25"/>
      <c r="D593" s="25"/>
      <c r="E593" s="28"/>
      <c r="F593" s="28"/>
      <c r="G593" s="25"/>
      <c r="H593" s="25"/>
    </row>
    <row r="594">
      <c r="A594" s="25"/>
      <c r="B594" s="25"/>
      <c r="C594" s="25"/>
      <c r="D594" s="25"/>
      <c r="E594" s="28"/>
      <c r="F594" s="28"/>
      <c r="G594" s="25"/>
      <c r="H594" s="25"/>
    </row>
    <row r="595">
      <c r="A595" s="25"/>
      <c r="B595" s="25"/>
      <c r="C595" s="25"/>
      <c r="D595" s="25"/>
      <c r="E595" s="28"/>
      <c r="F595" s="28"/>
      <c r="G595" s="25"/>
      <c r="H595" s="25"/>
    </row>
    <row r="596">
      <c r="A596" s="25"/>
      <c r="B596" s="25"/>
      <c r="C596" s="25"/>
      <c r="D596" s="25"/>
      <c r="E596" s="28"/>
      <c r="F596" s="28"/>
      <c r="G596" s="25"/>
      <c r="H596" s="25"/>
    </row>
    <row r="597">
      <c r="A597" s="25"/>
      <c r="B597" s="25"/>
      <c r="C597" s="25"/>
      <c r="D597" s="25"/>
      <c r="E597" s="28"/>
      <c r="F597" s="28"/>
      <c r="G597" s="25"/>
      <c r="H597" s="25"/>
    </row>
    <row r="598">
      <c r="A598" s="25"/>
      <c r="B598" s="25"/>
      <c r="C598" s="25"/>
      <c r="D598" s="25"/>
      <c r="E598" s="28"/>
      <c r="F598" s="28"/>
      <c r="G598" s="25"/>
      <c r="H598" s="25"/>
    </row>
    <row r="599">
      <c r="A599" s="25"/>
      <c r="B599" s="25"/>
      <c r="C599" s="25"/>
      <c r="D599" s="25"/>
      <c r="E599" s="28"/>
      <c r="F599" s="28"/>
      <c r="G599" s="25"/>
      <c r="H599" s="25"/>
    </row>
    <row r="600">
      <c r="A600" s="25"/>
      <c r="B600" s="25"/>
      <c r="C600" s="25"/>
      <c r="D600" s="25"/>
      <c r="E600" s="28"/>
      <c r="F600" s="28"/>
      <c r="G600" s="25"/>
      <c r="H600" s="25"/>
    </row>
    <row r="601">
      <c r="A601" s="25"/>
      <c r="B601" s="25"/>
      <c r="C601" s="25"/>
      <c r="D601" s="25"/>
      <c r="E601" s="28"/>
      <c r="F601" s="28"/>
      <c r="G601" s="25"/>
      <c r="H601" s="25"/>
    </row>
    <row r="602">
      <c r="A602" s="25"/>
      <c r="B602" s="25"/>
      <c r="C602" s="25"/>
      <c r="D602" s="25"/>
      <c r="E602" s="28"/>
      <c r="F602" s="28"/>
      <c r="G602" s="25"/>
      <c r="H602" s="25"/>
    </row>
    <row r="603">
      <c r="A603" s="25"/>
      <c r="B603" s="25"/>
      <c r="C603" s="25"/>
      <c r="D603" s="25"/>
      <c r="E603" s="28"/>
      <c r="F603" s="28"/>
      <c r="G603" s="25"/>
      <c r="H603" s="25"/>
    </row>
    <row r="604">
      <c r="A604" s="25"/>
      <c r="B604" s="25"/>
      <c r="C604" s="25"/>
      <c r="D604" s="25"/>
      <c r="E604" s="28"/>
      <c r="F604" s="28"/>
      <c r="G604" s="25"/>
      <c r="H604" s="25"/>
    </row>
    <row r="605">
      <c r="A605" s="25"/>
      <c r="B605" s="25"/>
      <c r="C605" s="25"/>
      <c r="D605" s="25"/>
      <c r="E605" s="28"/>
      <c r="F605" s="28"/>
      <c r="G605" s="25"/>
      <c r="H605" s="25"/>
    </row>
    <row r="606">
      <c r="A606" s="25"/>
      <c r="B606" s="25"/>
      <c r="C606" s="25"/>
      <c r="D606" s="25"/>
      <c r="E606" s="28"/>
      <c r="F606" s="28"/>
      <c r="G606" s="25"/>
      <c r="H606" s="25"/>
    </row>
    <row r="607">
      <c r="A607" s="25"/>
      <c r="B607" s="25"/>
      <c r="C607" s="25"/>
      <c r="D607" s="25"/>
      <c r="E607" s="28"/>
      <c r="F607" s="28"/>
      <c r="G607" s="25"/>
      <c r="H607" s="25"/>
    </row>
    <row r="608">
      <c r="A608" s="25"/>
      <c r="B608" s="25"/>
      <c r="C608" s="25"/>
      <c r="D608" s="25"/>
      <c r="E608" s="28"/>
      <c r="F608" s="28"/>
      <c r="G608" s="25"/>
      <c r="H608" s="25"/>
    </row>
    <row r="609">
      <c r="A609" s="25"/>
      <c r="B609" s="25"/>
      <c r="C609" s="25"/>
      <c r="D609" s="25"/>
      <c r="E609" s="28"/>
      <c r="F609" s="28"/>
      <c r="G609" s="25"/>
      <c r="H609" s="25"/>
    </row>
    <row r="610">
      <c r="A610" s="25"/>
      <c r="B610" s="25"/>
      <c r="C610" s="25"/>
      <c r="D610" s="25"/>
      <c r="E610" s="28"/>
      <c r="F610" s="28"/>
      <c r="G610" s="25"/>
      <c r="H610" s="25"/>
    </row>
    <row r="611">
      <c r="A611" s="25"/>
      <c r="B611" s="25"/>
      <c r="C611" s="25"/>
      <c r="D611" s="25"/>
      <c r="E611" s="28"/>
      <c r="F611" s="28"/>
      <c r="G611" s="25"/>
      <c r="H611" s="25"/>
    </row>
    <row r="612">
      <c r="A612" s="25"/>
      <c r="B612" s="25"/>
      <c r="C612" s="25"/>
      <c r="D612" s="25"/>
      <c r="E612" s="28"/>
      <c r="F612" s="28"/>
      <c r="G612" s="25"/>
      <c r="H612" s="25"/>
    </row>
    <row r="613">
      <c r="A613" s="25"/>
      <c r="B613" s="25"/>
      <c r="C613" s="25"/>
      <c r="D613" s="25"/>
      <c r="E613" s="28"/>
      <c r="F613" s="28"/>
      <c r="G613" s="25"/>
      <c r="H613" s="25"/>
    </row>
    <row r="614">
      <c r="A614" s="25"/>
      <c r="B614" s="25"/>
      <c r="C614" s="25"/>
      <c r="D614" s="25"/>
      <c r="E614" s="28"/>
      <c r="F614" s="28"/>
      <c r="G614" s="25"/>
      <c r="H614" s="25"/>
    </row>
    <row r="615">
      <c r="A615" s="25"/>
      <c r="B615" s="25"/>
      <c r="C615" s="25"/>
      <c r="D615" s="25"/>
      <c r="E615" s="28"/>
      <c r="F615" s="28"/>
      <c r="G615" s="25"/>
      <c r="H615" s="25"/>
    </row>
    <row r="616">
      <c r="A616" s="25"/>
      <c r="B616" s="25"/>
      <c r="C616" s="25"/>
      <c r="D616" s="25"/>
      <c r="E616" s="28"/>
      <c r="F616" s="28"/>
      <c r="G616" s="25"/>
      <c r="H616" s="25"/>
    </row>
    <row r="617">
      <c r="A617" s="25"/>
      <c r="B617" s="25"/>
      <c r="C617" s="25"/>
      <c r="D617" s="25"/>
      <c r="E617" s="28"/>
      <c r="F617" s="28"/>
      <c r="G617" s="25"/>
      <c r="H617" s="25"/>
    </row>
    <row r="618">
      <c r="A618" s="25"/>
      <c r="B618" s="25"/>
      <c r="C618" s="25"/>
      <c r="D618" s="25"/>
      <c r="E618" s="28"/>
      <c r="F618" s="28"/>
      <c r="G618" s="25"/>
      <c r="H618" s="25"/>
    </row>
    <row r="619">
      <c r="A619" s="25"/>
      <c r="B619" s="25"/>
      <c r="C619" s="25"/>
      <c r="D619" s="25"/>
      <c r="E619" s="28"/>
      <c r="F619" s="28"/>
      <c r="G619" s="25"/>
      <c r="H619" s="25"/>
    </row>
    <row r="620">
      <c r="A620" s="25"/>
      <c r="B620" s="25"/>
      <c r="C620" s="25"/>
      <c r="D620" s="25"/>
      <c r="E620" s="28"/>
      <c r="F620" s="28"/>
      <c r="G620" s="25"/>
      <c r="H620" s="25"/>
    </row>
    <row r="621">
      <c r="A621" s="25"/>
      <c r="B621" s="25"/>
      <c r="C621" s="25"/>
      <c r="D621" s="25"/>
      <c r="E621" s="28"/>
      <c r="F621" s="28"/>
      <c r="G621" s="25"/>
      <c r="H621" s="25"/>
    </row>
    <row r="622">
      <c r="A622" s="25"/>
      <c r="B622" s="25"/>
      <c r="C622" s="25"/>
      <c r="D622" s="25"/>
      <c r="E622" s="28"/>
      <c r="F622" s="28"/>
      <c r="G622" s="25"/>
      <c r="H622" s="25"/>
    </row>
    <row r="623">
      <c r="A623" s="25"/>
      <c r="B623" s="25"/>
      <c r="C623" s="25"/>
      <c r="D623" s="25"/>
      <c r="E623" s="28"/>
      <c r="F623" s="28"/>
      <c r="G623" s="25"/>
      <c r="H623" s="25"/>
    </row>
    <row r="624">
      <c r="A624" s="25"/>
      <c r="B624" s="25"/>
      <c r="C624" s="25"/>
      <c r="D624" s="25"/>
      <c r="E624" s="28"/>
      <c r="F624" s="28"/>
      <c r="G624" s="25"/>
      <c r="H624" s="25"/>
    </row>
    <row r="625">
      <c r="A625" s="25"/>
      <c r="B625" s="25"/>
      <c r="C625" s="25"/>
      <c r="D625" s="25"/>
      <c r="E625" s="28"/>
      <c r="F625" s="28"/>
      <c r="G625" s="25"/>
      <c r="H625" s="25"/>
    </row>
    <row r="626">
      <c r="A626" s="25"/>
      <c r="B626" s="25"/>
      <c r="C626" s="25"/>
      <c r="D626" s="25"/>
      <c r="E626" s="28"/>
      <c r="F626" s="28"/>
      <c r="G626" s="25"/>
      <c r="H626" s="25"/>
    </row>
    <row r="627">
      <c r="A627" s="25"/>
      <c r="B627" s="25"/>
      <c r="C627" s="25"/>
      <c r="D627" s="25"/>
      <c r="E627" s="28"/>
      <c r="F627" s="28"/>
      <c r="G627" s="25"/>
      <c r="H627" s="25"/>
    </row>
    <row r="628">
      <c r="A628" s="25"/>
      <c r="B628" s="25"/>
      <c r="C628" s="25"/>
      <c r="D628" s="25"/>
      <c r="E628" s="28"/>
      <c r="F628" s="28"/>
      <c r="G628" s="25"/>
      <c r="H628" s="25"/>
    </row>
    <row r="629">
      <c r="A629" s="25"/>
      <c r="B629" s="25"/>
      <c r="C629" s="25"/>
      <c r="D629" s="25"/>
      <c r="E629" s="28"/>
      <c r="F629" s="28"/>
      <c r="G629" s="25"/>
      <c r="H629" s="25"/>
    </row>
    <row r="630">
      <c r="A630" s="25"/>
      <c r="B630" s="25"/>
      <c r="C630" s="25"/>
      <c r="D630" s="25"/>
      <c r="E630" s="28"/>
      <c r="F630" s="28"/>
      <c r="G630" s="25"/>
      <c r="H630" s="25"/>
    </row>
    <row r="631">
      <c r="A631" s="25"/>
      <c r="B631" s="25"/>
      <c r="C631" s="25"/>
      <c r="D631" s="25"/>
      <c r="E631" s="28"/>
      <c r="F631" s="28"/>
      <c r="G631" s="25"/>
      <c r="H631" s="25"/>
    </row>
    <row r="632">
      <c r="A632" s="25"/>
      <c r="B632" s="25"/>
      <c r="C632" s="25"/>
      <c r="D632" s="25"/>
      <c r="E632" s="28"/>
      <c r="F632" s="28"/>
      <c r="G632" s="25"/>
      <c r="H632" s="25"/>
    </row>
    <row r="633">
      <c r="A633" s="25"/>
      <c r="B633" s="25"/>
      <c r="C633" s="25"/>
      <c r="D633" s="25"/>
      <c r="E633" s="28"/>
      <c r="F633" s="28"/>
      <c r="G633" s="25"/>
      <c r="H633" s="25"/>
    </row>
    <row r="634">
      <c r="A634" s="25"/>
      <c r="B634" s="25"/>
      <c r="C634" s="25"/>
      <c r="D634" s="25"/>
      <c r="E634" s="28"/>
      <c r="F634" s="28"/>
      <c r="G634" s="25"/>
      <c r="H634" s="25"/>
    </row>
    <row r="635">
      <c r="A635" s="25"/>
      <c r="B635" s="25"/>
      <c r="C635" s="25"/>
      <c r="D635" s="25"/>
      <c r="E635" s="28"/>
      <c r="F635" s="28"/>
      <c r="G635" s="25"/>
      <c r="H635" s="25"/>
    </row>
    <row r="636">
      <c r="A636" s="25"/>
      <c r="B636" s="25"/>
      <c r="C636" s="25"/>
      <c r="D636" s="25"/>
      <c r="E636" s="28"/>
      <c r="F636" s="28"/>
      <c r="G636" s="25"/>
      <c r="H636" s="25"/>
    </row>
    <row r="637">
      <c r="A637" s="25"/>
      <c r="B637" s="25"/>
      <c r="C637" s="25"/>
      <c r="D637" s="25"/>
      <c r="E637" s="28"/>
      <c r="F637" s="28"/>
      <c r="G637" s="25"/>
      <c r="H637" s="25"/>
    </row>
    <row r="638">
      <c r="A638" s="25"/>
      <c r="B638" s="25"/>
      <c r="C638" s="25"/>
      <c r="D638" s="25"/>
      <c r="E638" s="28"/>
      <c r="F638" s="28"/>
      <c r="G638" s="25"/>
      <c r="H638" s="25"/>
    </row>
    <row r="639">
      <c r="A639" s="25"/>
      <c r="B639" s="25"/>
      <c r="C639" s="25"/>
      <c r="D639" s="25"/>
      <c r="E639" s="28"/>
      <c r="F639" s="28"/>
      <c r="G639" s="25"/>
      <c r="H639" s="25"/>
    </row>
    <row r="640">
      <c r="A640" s="25"/>
      <c r="B640" s="25"/>
      <c r="C640" s="25"/>
      <c r="D640" s="25"/>
      <c r="E640" s="28"/>
      <c r="F640" s="28"/>
      <c r="G640" s="25"/>
      <c r="H640" s="25"/>
    </row>
    <row r="641">
      <c r="A641" s="25"/>
      <c r="B641" s="25"/>
      <c r="C641" s="25"/>
      <c r="D641" s="25"/>
      <c r="E641" s="28"/>
      <c r="F641" s="28"/>
      <c r="G641" s="25"/>
      <c r="H641" s="25"/>
    </row>
    <row r="642">
      <c r="A642" s="25"/>
      <c r="B642" s="25"/>
      <c r="C642" s="25"/>
      <c r="D642" s="25"/>
      <c r="E642" s="28"/>
      <c r="F642" s="28"/>
      <c r="G642" s="25"/>
      <c r="H642" s="25"/>
    </row>
    <row r="643">
      <c r="A643" s="25"/>
      <c r="B643" s="25"/>
      <c r="C643" s="25"/>
      <c r="D643" s="25"/>
      <c r="E643" s="28"/>
      <c r="F643" s="28"/>
      <c r="G643" s="25"/>
      <c r="H643" s="25"/>
    </row>
    <row r="644">
      <c r="A644" s="25"/>
      <c r="B644" s="25"/>
      <c r="C644" s="25"/>
      <c r="D644" s="25"/>
      <c r="E644" s="28"/>
      <c r="F644" s="28"/>
      <c r="G644" s="25"/>
      <c r="H644" s="25"/>
    </row>
    <row r="645">
      <c r="A645" s="25"/>
      <c r="B645" s="25"/>
      <c r="C645" s="25"/>
      <c r="D645" s="25"/>
      <c r="E645" s="28"/>
      <c r="F645" s="28"/>
      <c r="G645" s="25"/>
      <c r="H645" s="25"/>
    </row>
    <row r="646">
      <c r="A646" s="25"/>
      <c r="B646" s="25"/>
      <c r="C646" s="25"/>
      <c r="D646" s="25"/>
      <c r="E646" s="28"/>
      <c r="F646" s="28"/>
      <c r="G646" s="25"/>
      <c r="H646" s="25"/>
    </row>
    <row r="647">
      <c r="A647" s="25"/>
      <c r="B647" s="25"/>
      <c r="C647" s="25"/>
      <c r="D647" s="25"/>
      <c r="E647" s="28"/>
      <c r="F647" s="28"/>
      <c r="G647" s="25"/>
      <c r="H647" s="25"/>
    </row>
    <row r="648">
      <c r="A648" s="25"/>
      <c r="B648" s="25"/>
      <c r="C648" s="25"/>
      <c r="D648" s="25"/>
      <c r="E648" s="28"/>
      <c r="F648" s="28"/>
      <c r="G648" s="25"/>
      <c r="H648" s="25"/>
    </row>
    <row r="649">
      <c r="A649" s="25"/>
      <c r="B649" s="25"/>
      <c r="C649" s="25"/>
      <c r="D649" s="25"/>
      <c r="E649" s="28"/>
      <c r="F649" s="28"/>
      <c r="G649" s="25"/>
      <c r="H649" s="25"/>
    </row>
    <row r="650">
      <c r="A650" s="25"/>
      <c r="B650" s="25"/>
      <c r="C650" s="25"/>
      <c r="D650" s="25"/>
      <c r="E650" s="28"/>
      <c r="F650" s="28"/>
      <c r="G650" s="25"/>
      <c r="H650" s="25"/>
    </row>
    <row r="651">
      <c r="A651" s="25"/>
      <c r="B651" s="25"/>
      <c r="C651" s="25"/>
      <c r="D651" s="25"/>
      <c r="E651" s="28"/>
      <c r="F651" s="28"/>
      <c r="G651" s="25"/>
      <c r="H651" s="25"/>
    </row>
    <row r="652">
      <c r="A652" s="25"/>
      <c r="B652" s="25"/>
      <c r="C652" s="25"/>
      <c r="D652" s="25"/>
      <c r="E652" s="28"/>
      <c r="F652" s="28"/>
      <c r="G652" s="25"/>
      <c r="H652" s="25"/>
    </row>
    <row r="653">
      <c r="A653" s="25"/>
      <c r="B653" s="25"/>
      <c r="C653" s="25"/>
      <c r="D653" s="25"/>
      <c r="E653" s="28"/>
      <c r="F653" s="28"/>
      <c r="G653" s="25"/>
      <c r="H653" s="25"/>
    </row>
    <row r="654">
      <c r="A654" s="25"/>
      <c r="B654" s="25"/>
      <c r="C654" s="25"/>
      <c r="D654" s="25"/>
      <c r="E654" s="28"/>
      <c r="F654" s="28"/>
      <c r="G654" s="25"/>
      <c r="H654" s="25"/>
    </row>
    <row r="655">
      <c r="A655" s="25"/>
      <c r="B655" s="25"/>
      <c r="C655" s="25"/>
      <c r="D655" s="25"/>
      <c r="E655" s="28"/>
      <c r="F655" s="28"/>
      <c r="G655" s="25"/>
      <c r="H655" s="25"/>
    </row>
    <row r="656">
      <c r="A656" s="25"/>
      <c r="B656" s="25"/>
      <c r="C656" s="25"/>
      <c r="D656" s="25"/>
      <c r="E656" s="28"/>
      <c r="F656" s="28"/>
      <c r="G656" s="25"/>
      <c r="H656" s="25"/>
    </row>
    <row r="657">
      <c r="A657" s="25"/>
      <c r="B657" s="25"/>
      <c r="C657" s="25"/>
      <c r="D657" s="25"/>
      <c r="E657" s="28"/>
      <c r="F657" s="28"/>
      <c r="G657" s="25"/>
      <c r="H657" s="25"/>
    </row>
    <row r="658">
      <c r="A658" s="25"/>
      <c r="B658" s="25"/>
      <c r="C658" s="25"/>
      <c r="D658" s="25"/>
      <c r="E658" s="28"/>
      <c r="F658" s="28"/>
      <c r="G658" s="25"/>
      <c r="H658" s="25"/>
    </row>
    <row r="659">
      <c r="A659" s="25"/>
      <c r="B659" s="25"/>
      <c r="C659" s="25"/>
      <c r="D659" s="25"/>
      <c r="E659" s="28"/>
      <c r="F659" s="28"/>
      <c r="G659" s="25"/>
      <c r="H659" s="25"/>
    </row>
    <row r="660">
      <c r="A660" s="25"/>
      <c r="B660" s="25"/>
      <c r="C660" s="25"/>
      <c r="D660" s="25"/>
      <c r="E660" s="28"/>
      <c r="F660" s="28"/>
      <c r="G660" s="25"/>
      <c r="H660" s="25"/>
    </row>
    <row r="661">
      <c r="A661" s="25"/>
      <c r="B661" s="25"/>
      <c r="C661" s="25"/>
      <c r="D661" s="25"/>
      <c r="E661" s="28"/>
      <c r="F661" s="28"/>
      <c r="G661" s="25"/>
      <c r="H661" s="25"/>
    </row>
    <row r="662">
      <c r="A662" s="25"/>
      <c r="B662" s="25"/>
      <c r="C662" s="25"/>
      <c r="D662" s="25"/>
      <c r="E662" s="28"/>
      <c r="F662" s="28"/>
      <c r="G662" s="25"/>
      <c r="H662" s="25"/>
    </row>
    <row r="663">
      <c r="A663" s="25"/>
      <c r="B663" s="25"/>
      <c r="C663" s="25"/>
      <c r="D663" s="25"/>
      <c r="E663" s="28"/>
      <c r="F663" s="28"/>
      <c r="G663" s="25"/>
      <c r="H663" s="25"/>
    </row>
    <row r="664">
      <c r="A664" s="25"/>
      <c r="B664" s="25"/>
      <c r="C664" s="25"/>
      <c r="D664" s="25"/>
      <c r="E664" s="28"/>
      <c r="F664" s="28"/>
      <c r="G664" s="25"/>
      <c r="H664" s="25"/>
    </row>
    <row r="665">
      <c r="A665" s="25"/>
      <c r="B665" s="25"/>
      <c r="C665" s="25"/>
      <c r="D665" s="25"/>
      <c r="E665" s="28"/>
      <c r="F665" s="28"/>
      <c r="G665" s="25"/>
      <c r="H665" s="25"/>
    </row>
    <row r="666">
      <c r="A666" s="25"/>
      <c r="B666" s="25"/>
      <c r="C666" s="25"/>
      <c r="D666" s="25"/>
      <c r="E666" s="28"/>
      <c r="F666" s="28"/>
      <c r="G666" s="25"/>
      <c r="H666" s="25"/>
    </row>
    <row r="667">
      <c r="A667" s="25"/>
      <c r="B667" s="25"/>
      <c r="C667" s="25"/>
      <c r="D667" s="25"/>
      <c r="E667" s="28"/>
      <c r="F667" s="28"/>
      <c r="G667" s="25"/>
      <c r="H667" s="25"/>
    </row>
    <row r="668">
      <c r="A668" s="25"/>
      <c r="B668" s="25"/>
      <c r="C668" s="25"/>
      <c r="D668" s="25"/>
      <c r="E668" s="28"/>
      <c r="F668" s="28"/>
      <c r="G668" s="25"/>
      <c r="H668" s="25"/>
    </row>
    <row r="669">
      <c r="A669" s="25"/>
      <c r="B669" s="25"/>
      <c r="C669" s="25"/>
      <c r="D669" s="25"/>
      <c r="E669" s="28"/>
      <c r="F669" s="28"/>
      <c r="G669" s="25"/>
      <c r="H669" s="25"/>
    </row>
    <row r="670">
      <c r="A670" s="25"/>
      <c r="B670" s="25"/>
      <c r="C670" s="25"/>
      <c r="D670" s="25"/>
      <c r="E670" s="28"/>
      <c r="F670" s="28"/>
      <c r="G670" s="25"/>
      <c r="H670" s="25"/>
    </row>
    <row r="671">
      <c r="A671" s="25"/>
      <c r="B671" s="25"/>
      <c r="C671" s="25"/>
      <c r="D671" s="25"/>
      <c r="E671" s="28"/>
      <c r="F671" s="28"/>
      <c r="G671" s="25"/>
      <c r="H671" s="25"/>
    </row>
    <row r="672">
      <c r="A672" s="25"/>
      <c r="B672" s="25"/>
      <c r="C672" s="25"/>
      <c r="D672" s="25"/>
      <c r="E672" s="28"/>
      <c r="F672" s="28"/>
      <c r="G672" s="25"/>
      <c r="H672" s="25"/>
    </row>
    <row r="673">
      <c r="A673" s="25"/>
      <c r="B673" s="25"/>
      <c r="C673" s="25"/>
      <c r="D673" s="25"/>
      <c r="E673" s="28"/>
      <c r="F673" s="28"/>
      <c r="G673" s="25"/>
      <c r="H673" s="25"/>
    </row>
    <row r="674">
      <c r="A674" s="25"/>
      <c r="B674" s="25"/>
      <c r="C674" s="25"/>
      <c r="D674" s="25"/>
      <c r="E674" s="28"/>
      <c r="F674" s="28"/>
      <c r="G674" s="25"/>
      <c r="H674" s="25"/>
    </row>
    <row r="675">
      <c r="A675" s="25"/>
      <c r="B675" s="25"/>
      <c r="C675" s="25"/>
      <c r="D675" s="25"/>
      <c r="E675" s="28"/>
      <c r="F675" s="28"/>
      <c r="G675" s="25"/>
      <c r="H675" s="25"/>
    </row>
    <row r="676">
      <c r="A676" s="25"/>
      <c r="B676" s="25"/>
      <c r="C676" s="25"/>
      <c r="D676" s="25"/>
      <c r="E676" s="28"/>
      <c r="F676" s="28"/>
      <c r="G676" s="25"/>
      <c r="H676" s="25"/>
    </row>
    <row r="677">
      <c r="A677" s="25"/>
      <c r="B677" s="25"/>
      <c r="C677" s="25"/>
      <c r="D677" s="25"/>
      <c r="E677" s="28"/>
      <c r="F677" s="28"/>
      <c r="G677" s="25"/>
      <c r="H677" s="25"/>
    </row>
    <row r="678">
      <c r="A678" s="25"/>
      <c r="B678" s="25"/>
      <c r="C678" s="25"/>
      <c r="D678" s="25"/>
      <c r="E678" s="28"/>
      <c r="F678" s="28"/>
      <c r="G678" s="25"/>
      <c r="H678" s="25"/>
    </row>
    <row r="679">
      <c r="A679" s="25"/>
      <c r="B679" s="25"/>
      <c r="C679" s="25"/>
      <c r="D679" s="25"/>
      <c r="E679" s="28"/>
      <c r="F679" s="28"/>
      <c r="G679" s="25"/>
      <c r="H679" s="25"/>
    </row>
    <row r="680">
      <c r="A680" s="25"/>
      <c r="B680" s="25"/>
      <c r="C680" s="25"/>
      <c r="D680" s="25"/>
      <c r="E680" s="28"/>
      <c r="F680" s="28"/>
      <c r="G680" s="25"/>
      <c r="H680" s="25"/>
    </row>
    <row r="681">
      <c r="A681" s="25"/>
      <c r="B681" s="25"/>
      <c r="C681" s="25"/>
      <c r="D681" s="25"/>
      <c r="E681" s="28"/>
      <c r="F681" s="28"/>
      <c r="G681" s="25"/>
      <c r="H681" s="25"/>
    </row>
    <row r="682">
      <c r="A682" s="25"/>
      <c r="B682" s="25"/>
      <c r="C682" s="25"/>
      <c r="D682" s="25"/>
      <c r="E682" s="28"/>
      <c r="F682" s="28"/>
      <c r="G682" s="25"/>
      <c r="H682" s="25"/>
    </row>
    <row r="683">
      <c r="A683" s="25"/>
      <c r="B683" s="25"/>
      <c r="C683" s="25"/>
      <c r="D683" s="25"/>
      <c r="E683" s="28"/>
      <c r="F683" s="28"/>
      <c r="G683" s="25"/>
      <c r="H683" s="25"/>
    </row>
    <row r="684">
      <c r="A684" s="25"/>
      <c r="B684" s="25"/>
      <c r="C684" s="25"/>
      <c r="D684" s="25"/>
      <c r="E684" s="28"/>
      <c r="F684" s="28"/>
      <c r="G684" s="25"/>
      <c r="H684" s="25"/>
    </row>
    <row r="685">
      <c r="A685" s="25"/>
      <c r="B685" s="25"/>
      <c r="C685" s="25"/>
      <c r="D685" s="25"/>
      <c r="E685" s="28"/>
      <c r="F685" s="28"/>
      <c r="G685" s="25"/>
      <c r="H685" s="25"/>
    </row>
    <row r="686">
      <c r="A686" s="25"/>
      <c r="B686" s="25"/>
      <c r="C686" s="25"/>
      <c r="D686" s="25"/>
      <c r="E686" s="28"/>
      <c r="F686" s="28"/>
      <c r="G686" s="25"/>
      <c r="H686" s="25"/>
    </row>
    <row r="687">
      <c r="A687" s="25"/>
      <c r="B687" s="25"/>
      <c r="C687" s="25"/>
      <c r="D687" s="25"/>
      <c r="E687" s="28"/>
      <c r="F687" s="28"/>
      <c r="G687" s="25"/>
      <c r="H687" s="25"/>
    </row>
    <row r="688">
      <c r="A688" s="25"/>
      <c r="B688" s="25"/>
      <c r="C688" s="25"/>
      <c r="D688" s="25"/>
      <c r="E688" s="28"/>
      <c r="F688" s="28"/>
      <c r="G688" s="25"/>
      <c r="H688" s="25"/>
    </row>
    <row r="689">
      <c r="A689" s="25"/>
      <c r="B689" s="25"/>
      <c r="C689" s="25"/>
      <c r="D689" s="25"/>
      <c r="E689" s="28"/>
      <c r="F689" s="28"/>
      <c r="G689" s="25"/>
      <c r="H689" s="25"/>
    </row>
    <row r="690">
      <c r="A690" s="25"/>
      <c r="B690" s="25"/>
      <c r="C690" s="25"/>
      <c r="D690" s="25"/>
      <c r="E690" s="28"/>
      <c r="F690" s="28"/>
      <c r="G690" s="25"/>
      <c r="H690" s="25"/>
    </row>
    <row r="691">
      <c r="A691" s="25"/>
      <c r="B691" s="25"/>
      <c r="C691" s="25"/>
      <c r="D691" s="25"/>
      <c r="E691" s="28"/>
      <c r="F691" s="28"/>
      <c r="G691" s="25"/>
      <c r="H691" s="25"/>
    </row>
    <row r="692">
      <c r="A692" s="25"/>
      <c r="B692" s="25"/>
      <c r="C692" s="25"/>
      <c r="D692" s="25"/>
      <c r="E692" s="28"/>
      <c r="F692" s="28"/>
      <c r="G692" s="25"/>
      <c r="H692" s="25"/>
    </row>
    <row r="693">
      <c r="A693" s="25"/>
      <c r="B693" s="25"/>
      <c r="C693" s="25"/>
      <c r="D693" s="25"/>
      <c r="E693" s="28"/>
      <c r="F693" s="28"/>
      <c r="G693" s="25"/>
      <c r="H693" s="25"/>
    </row>
    <row r="694">
      <c r="A694" s="25"/>
      <c r="B694" s="25"/>
      <c r="C694" s="25"/>
      <c r="D694" s="25"/>
      <c r="E694" s="28"/>
      <c r="F694" s="28"/>
      <c r="G694" s="25"/>
      <c r="H694" s="25"/>
    </row>
    <row r="695">
      <c r="A695" s="25"/>
      <c r="B695" s="25"/>
      <c r="C695" s="25"/>
      <c r="D695" s="25"/>
      <c r="E695" s="28"/>
      <c r="F695" s="28"/>
      <c r="G695" s="25"/>
      <c r="H695" s="25"/>
    </row>
    <row r="696">
      <c r="A696" s="25"/>
      <c r="B696" s="25"/>
      <c r="C696" s="25"/>
      <c r="D696" s="25"/>
      <c r="E696" s="28"/>
      <c r="F696" s="28"/>
      <c r="G696" s="25"/>
      <c r="H696" s="25"/>
    </row>
    <row r="697">
      <c r="A697" s="25"/>
      <c r="B697" s="25"/>
      <c r="C697" s="25"/>
      <c r="D697" s="25"/>
      <c r="E697" s="28"/>
      <c r="F697" s="28"/>
      <c r="G697" s="25"/>
      <c r="H697" s="25"/>
    </row>
    <row r="698">
      <c r="A698" s="25"/>
      <c r="B698" s="25"/>
      <c r="C698" s="25"/>
      <c r="D698" s="25"/>
      <c r="E698" s="28"/>
      <c r="F698" s="28"/>
      <c r="G698" s="25"/>
      <c r="H698" s="25"/>
    </row>
    <row r="699">
      <c r="A699" s="25"/>
      <c r="B699" s="25"/>
      <c r="C699" s="25"/>
      <c r="D699" s="25"/>
      <c r="E699" s="28"/>
      <c r="F699" s="28"/>
      <c r="G699" s="25"/>
      <c r="H699" s="25"/>
    </row>
    <row r="700">
      <c r="A700" s="25"/>
      <c r="B700" s="25"/>
      <c r="C700" s="25"/>
      <c r="D700" s="25"/>
      <c r="E700" s="28"/>
      <c r="F700" s="28"/>
      <c r="G700" s="25"/>
      <c r="H700" s="25"/>
    </row>
    <row r="701">
      <c r="A701" s="25"/>
      <c r="B701" s="25"/>
      <c r="C701" s="25"/>
      <c r="D701" s="25"/>
      <c r="E701" s="28"/>
      <c r="F701" s="28"/>
      <c r="G701" s="25"/>
      <c r="H701" s="25"/>
    </row>
    <row r="702">
      <c r="A702" s="25"/>
      <c r="B702" s="25"/>
      <c r="C702" s="25"/>
      <c r="D702" s="25"/>
      <c r="E702" s="28"/>
      <c r="F702" s="28"/>
      <c r="G702" s="25"/>
      <c r="H702" s="25"/>
    </row>
    <row r="703">
      <c r="A703" s="25"/>
      <c r="B703" s="25"/>
      <c r="C703" s="25"/>
      <c r="D703" s="25"/>
      <c r="E703" s="28"/>
      <c r="F703" s="28"/>
      <c r="G703" s="25"/>
      <c r="H703" s="25"/>
    </row>
    <row r="704">
      <c r="A704" s="25"/>
      <c r="B704" s="25"/>
      <c r="C704" s="25"/>
      <c r="D704" s="25"/>
      <c r="E704" s="28"/>
      <c r="F704" s="28"/>
      <c r="G704" s="25"/>
      <c r="H704" s="25"/>
    </row>
    <row r="705">
      <c r="A705" s="25"/>
      <c r="B705" s="25"/>
      <c r="C705" s="25"/>
      <c r="D705" s="25"/>
      <c r="E705" s="28"/>
      <c r="F705" s="28"/>
      <c r="G705" s="25"/>
      <c r="H705" s="25"/>
    </row>
    <row r="706">
      <c r="A706" s="25"/>
      <c r="B706" s="25"/>
      <c r="C706" s="25"/>
      <c r="D706" s="25"/>
      <c r="E706" s="28"/>
      <c r="F706" s="28"/>
      <c r="G706" s="25"/>
      <c r="H706" s="25"/>
    </row>
    <row r="707">
      <c r="A707" s="25"/>
      <c r="B707" s="25"/>
      <c r="C707" s="25"/>
      <c r="D707" s="25"/>
      <c r="E707" s="28"/>
      <c r="F707" s="28"/>
      <c r="G707" s="25"/>
      <c r="H707" s="25"/>
    </row>
    <row r="708">
      <c r="A708" s="25"/>
      <c r="B708" s="25"/>
      <c r="C708" s="25"/>
      <c r="D708" s="25"/>
      <c r="E708" s="28"/>
      <c r="F708" s="28"/>
      <c r="G708" s="25"/>
      <c r="H708" s="25"/>
    </row>
    <row r="709">
      <c r="A709" s="25"/>
      <c r="B709" s="25"/>
      <c r="C709" s="25"/>
      <c r="D709" s="25"/>
      <c r="E709" s="28"/>
      <c r="F709" s="28"/>
      <c r="G709" s="25"/>
      <c r="H709" s="25"/>
    </row>
    <row r="710">
      <c r="A710" s="25"/>
      <c r="B710" s="25"/>
      <c r="C710" s="25"/>
      <c r="D710" s="25"/>
      <c r="E710" s="28"/>
      <c r="F710" s="28"/>
      <c r="G710" s="25"/>
      <c r="H710" s="25"/>
    </row>
    <row r="711">
      <c r="A711" s="25"/>
      <c r="B711" s="25"/>
      <c r="C711" s="25"/>
      <c r="D711" s="25"/>
      <c r="E711" s="28"/>
      <c r="F711" s="28"/>
      <c r="G711" s="25"/>
      <c r="H711" s="25"/>
    </row>
    <row r="712">
      <c r="A712" s="25"/>
      <c r="B712" s="25"/>
      <c r="C712" s="25"/>
      <c r="D712" s="25"/>
      <c r="E712" s="28"/>
      <c r="F712" s="28"/>
      <c r="G712" s="25"/>
      <c r="H712" s="25"/>
    </row>
    <row r="713">
      <c r="A713" s="25"/>
      <c r="B713" s="25"/>
      <c r="C713" s="25"/>
      <c r="D713" s="25"/>
      <c r="E713" s="28"/>
      <c r="F713" s="28"/>
      <c r="G713" s="25"/>
      <c r="H713" s="25"/>
    </row>
    <row r="714">
      <c r="A714" s="25"/>
      <c r="B714" s="25"/>
      <c r="C714" s="25"/>
      <c r="D714" s="25"/>
      <c r="E714" s="28"/>
      <c r="F714" s="28"/>
      <c r="G714" s="25"/>
      <c r="H714" s="25"/>
    </row>
    <row r="715">
      <c r="A715" s="25"/>
      <c r="B715" s="25"/>
      <c r="C715" s="25"/>
      <c r="D715" s="25"/>
      <c r="E715" s="28"/>
      <c r="F715" s="28"/>
      <c r="G715" s="25"/>
      <c r="H715" s="25"/>
    </row>
    <row r="716">
      <c r="A716" s="25"/>
      <c r="B716" s="25"/>
      <c r="C716" s="25"/>
      <c r="D716" s="25"/>
      <c r="E716" s="28"/>
      <c r="F716" s="28"/>
      <c r="G716" s="25"/>
      <c r="H716" s="25"/>
    </row>
    <row r="717">
      <c r="A717" s="25"/>
      <c r="B717" s="25"/>
      <c r="C717" s="25"/>
      <c r="D717" s="25"/>
      <c r="E717" s="28"/>
      <c r="F717" s="28"/>
      <c r="G717" s="25"/>
      <c r="H717" s="25"/>
    </row>
    <row r="718">
      <c r="A718" s="25"/>
      <c r="B718" s="25"/>
      <c r="C718" s="25"/>
      <c r="D718" s="25"/>
      <c r="E718" s="28"/>
      <c r="F718" s="28"/>
      <c r="G718" s="25"/>
      <c r="H718" s="25"/>
    </row>
    <row r="719">
      <c r="A719" s="25"/>
      <c r="B719" s="25"/>
      <c r="C719" s="25"/>
      <c r="D719" s="25"/>
      <c r="E719" s="28"/>
      <c r="F719" s="28"/>
      <c r="G719" s="25"/>
      <c r="H719" s="25"/>
    </row>
    <row r="720">
      <c r="A720" s="25"/>
      <c r="B720" s="25"/>
      <c r="C720" s="25"/>
      <c r="D720" s="25"/>
      <c r="E720" s="28"/>
      <c r="F720" s="28"/>
      <c r="G720" s="25"/>
      <c r="H720" s="25"/>
    </row>
    <row r="721">
      <c r="A721" s="25"/>
      <c r="B721" s="25"/>
      <c r="C721" s="25"/>
      <c r="D721" s="25"/>
      <c r="E721" s="28"/>
      <c r="F721" s="28"/>
      <c r="G721" s="25"/>
      <c r="H721" s="25"/>
    </row>
    <row r="722">
      <c r="A722" s="25"/>
      <c r="B722" s="25"/>
      <c r="C722" s="25"/>
      <c r="D722" s="25"/>
      <c r="E722" s="28"/>
      <c r="F722" s="28"/>
      <c r="G722" s="25"/>
      <c r="H722" s="25"/>
    </row>
    <row r="723">
      <c r="A723" s="25"/>
      <c r="B723" s="25"/>
      <c r="C723" s="25"/>
      <c r="D723" s="25"/>
      <c r="E723" s="28"/>
      <c r="F723" s="28"/>
      <c r="G723" s="25"/>
      <c r="H723" s="25"/>
    </row>
    <row r="724">
      <c r="A724" s="25"/>
      <c r="B724" s="25"/>
      <c r="C724" s="25"/>
      <c r="D724" s="25"/>
      <c r="E724" s="28"/>
      <c r="F724" s="28"/>
      <c r="G724" s="25"/>
      <c r="H724" s="25"/>
    </row>
    <row r="725">
      <c r="A725" s="25"/>
      <c r="B725" s="25"/>
      <c r="C725" s="25"/>
      <c r="D725" s="25"/>
      <c r="E725" s="28"/>
      <c r="F725" s="28"/>
      <c r="G725" s="25"/>
      <c r="H725" s="25"/>
    </row>
    <row r="726">
      <c r="A726" s="25"/>
      <c r="B726" s="25"/>
      <c r="C726" s="25"/>
      <c r="D726" s="25"/>
      <c r="E726" s="28"/>
      <c r="F726" s="28"/>
      <c r="G726" s="25"/>
      <c r="H726" s="25"/>
    </row>
    <row r="727">
      <c r="A727" s="25"/>
      <c r="B727" s="25"/>
      <c r="C727" s="25"/>
      <c r="D727" s="25"/>
      <c r="E727" s="28"/>
      <c r="F727" s="28"/>
      <c r="G727" s="25"/>
      <c r="H727" s="25"/>
    </row>
    <row r="728">
      <c r="A728" s="25"/>
      <c r="B728" s="25"/>
      <c r="C728" s="25"/>
      <c r="D728" s="25"/>
      <c r="E728" s="28"/>
      <c r="F728" s="28"/>
      <c r="G728" s="25"/>
      <c r="H728" s="25"/>
    </row>
    <row r="729">
      <c r="A729" s="25"/>
      <c r="B729" s="25"/>
      <c r="C729" s="25"/>
      <c r="D729" s="25"/>
      <c r="E729" s="28"/>
      <c r="F729" s="28"/>
      <c r="G729" s="25"/>
      <c r="H729" s="25"/>
    </row>
    <row r="730">
      <c r="A730" s="25"/>
      <c r="B730" s="25"/>
      <c r="C730" s="25"/>
      <c r="D730" s="25"/>
      <c r="E730" s="28"/>
      <c r="F730" s="28"/>
      <c r="G730" s="25"/>
      <c r="H730" s="25"/>
    </row>
    <row r="731">
      <c r="A731" s="25"/>
      <c r="B731" s="25"/>
      <c r="C731" s="25"/>
      <c r="D731" s="25"/>
      <c r="E731" s="28"/>
      <c r="F731" s="28"/>
      <c r="G731" s="25"/>
      <c r="H731" s="25"/>
    </row>
    <row r="732">
      <c r="A732" s="25"/>
      <c r="B732" s="25"/>
      <c r="C732" s="25"/>
      <c r="D732" s="25"/>
      <c r="E732" s="28"/>
      <c r="F732" s="28"/>
      <c r="G732" s="25"/>
      <c r="H732" s="25"/>
    </row>
    <row r="733">
      <c r="A733" s="25"/>
      <c r="B733" s="25"/>
      <c r="C733" s="25"/>
      <c r="D733" s="25"/>
      <c r="E733" s="28"/>
      <c r="F733" s="28"/>
      <c r="G733" s="25"/>
      <c r="H733" s="25"/>
    </row>
    <row r="734">
      <c r="A734" s="25"/>
      <c r="B734" s="25"/>
      <c r="C734" s="25"/>
      <c r="D734" s="25"/>
      <c r="E734" s="28"/>
      <c r="F734" s="28"/>
      <c r="G734" s="25"/>
      <c r="H734" s="25"/>
    </row>
    <row r="735">
      <c r="A735" s="25"/>
      <c r="B735" s="25"/>
      <c r="C735" s="25"/>
      <c r="D735" s="25"/>
      <c r="E735" s="28"/>
      <c r="F735" s="28"/>
      <c r="G735" s="25"/>
      <c r="H735" s="25"/>
    </row>
    <row r="736">
      <c r="A736" s="25"/>
      <c r="B736" s="25"/>
      <c r="C736" s="25"/>
      <c r="D736" s="25"/>
      <c r="E736" s="28"/>
      <c r="F736" s="28"/>
      <c r="G736" s="25"/>
      <c r="H736" s="25"/>
    </row>
    <row r="737">
      <c r="A737" s="25"/>
      <c r="B737" s="25"/>
      <c r="C737" s="25"/>
      <c r="D737" s="25"/>
      <c r="E737" s="28"/>
      <c r="F737" s="28"/>
      <c r="G737" s="25"/>
      <c r="H737" s="25"/>
    </row>
    <row r="738">
      <c r="A738" s="25"/>
      <c r="B738" s="25"/>
      <c r="C738" s="25"/>
      <c r="D738" s="25"/>
      <c r="E738" s="28"/>
      <c r="F738" s="28"/>
      <c r="G738" s="25"/>
      <c r="H738" s="25"/>
    </row>
    <row r="739">
      <c r="A739" s="25"/>
      <c r="B739" s="25"/>
      <c r="C739" s="25"/>
      <c r="D739" s="25"/>
      <c r="E739" s="28"/>
      <c r="F739" s="28"/>
      <c r="G739" s="25"/>
      <c r="H739" s="25"/>
    </row>
    <row r="740">
      <c r="A740" s="25"/>
      <c r="B740" s="25"/>
      <c r="C740" s="25"/>
      <c r="D740" s="25"/>
      <c r="E740" s="28"/>
      <c r="F740" s="28"/>
      <c r="G740" s="25"/>
      <c r="H740" s="25"/>
    </row>
    <row r="741">
      <c r="A741" s="25"/>
      <c r="B741" s="25"/>
      <c r="C741" s="25"/>
      <c r="D741" s="25"/>
      <c r="E741" s="28"/>
      <c r="F741" s="28"/>
      <c r="G741" s="25"/>
      <c r="H741" s="25"/>
    </row>
    <row r="742">
      <c r="A742" s="25"/>
      <c r="B742" s="25"/>
      <c r="C742" s="25"/>
      <c r="D742" s="25"/>
      <c r="E742" s="28"/>
      <c r="F742" s="28"/>
      <c r="G742" s="25"/>
      <c r="H742" s="25"/>
    </row>
    <row r="743">
      <c r="A743" s="25"/>
      <c r="B743" s="25"/>
      <c r="C743" s="25"/>
      <c r="D743" s="25"/>
      <c r="E743" s="28"/>
      <c r="F743" s="28"/>
      <c r="G743" s="25"/>
      <c r="H743" s="25"/>
    </row>
    <row r="744">
      <c r="A744" s="25"/>
      <c r="B744" s="25"/>
      <c r="C744" s="25"/>
      <c r="D744" s="25"/>
      <c r="E744" s="28"/>
      <c r="F744" s="28"/>
      <c r="G744" s="25"/>
      <c r="H744" s="25"/>
    </row>
    <row r="745">
      <c r="A745" s="25"/>
      <c r="B745" s="25"/>
      <c r="C745" s="25"/>
      <c r="D745" s="25"/>
      <c r="E745" s="28"/>
      <c r="F745" s="28"/>
      <c r="G745" s="25"/>
      <c r="H745" s="25"/>
    </row>
    <row r="746">
      <c r="A746" s="25"/>
      <c r="B746" s="25"/>
      <c r="C746" s="25"/>
      <c r="D746" s="25"/>
      <c r="E746" s="28"/>
      <c r="F746" s="28"/>
      <c r="G746" s="25"/>
      <c r="H746" s="25"/>
    </row>
    <row r="747">
      <c r="A747" s="25"/>
      <c r="B747" s="25"/>
      <c r="C747" s="25"/>
      <c r="D747" s="25"/>
      <c r="E747" s="28"/>
      <c r="F747" s="28"/>
      <c r="G747" s="25"/>
      <c r="H747" s="25"/>
    </row>
    <row r="748">
      <c r="A748" s="25"/>
      <c r="B748" s="25"/>
      <c r="C748" s="25"/>
      <c r="D748" s="25"/>
      <c r="E748" s="28"/>
      <c r="F748" s="28"/>
      <c r="G748" s="25"/>
      <c r="H748" s="25"/>
    </row>
    <row r="749">
      <c r="A749" s="25"/>
      <c r="B749" s="25"/>
      <c r="C749" s="25"/>
      <c r="D749" s="25"/>
      <c r="E749" s="28"/>
      <c r="F749" s="28"/>
      <c r="G749" s="25"/>
      <c r="H749" s="25"/>
    </row>
    <row r="750">
      <c r="A750" s="25"/>
      <c r="B750" s="25"/>
      <c r="C750" s="25"/>
      <c r="D750" s="25"/>
      <c r="E750" s="28"/>
      <c r="F750" s="28"/>
      <c r="G750" s="25"/>
      <c r="H750" s="25"/>
    </row>
    <row r="751">
      <c r="A751" s="25"/>
      <c r="B751" s="25"/>
      <c r="C751" s="25"/>
      <c r="D751" s="25"/>
      <c r="E751" s="28"/>
      <c r="F751" s="28"/>
      <c r="G751" s="25"/>
      <c r="H751" s="25"/>
    </row>
    <row r="752">
      <c r="A752" s="25"/>
      <c r="B752" s="25"/>
      <c r="C752" s="25"/>
      <c r="D752" s="25"/>
      <c r="E752" s="28"/>
      <c r="F752" s="28"/>
      <c r="G752" s="25"/>
      <c r="H752" s="25"/>
    </row>
    <row r="753">
      <c r="A753" s="25"/>
      <c r="B753" s="25"/>
      <c r="C753" s="25"/>
      <c r="D753" s="25"/>
      <c r="E753" s="28"/>
      <c r="F753" s="28"/>
      <c r="G753" s="25"/>
      <c r="H753" s="25"/>
    </row>
    <row r="754">
      <c r="A754" s="25"/>
      <c r="B754" s="25"/>
      <c r="C754" s="25"/>
      <c r="D754" s="25"/>
      <c r="E754" s="28"/>
      <c r="F754" s="28"/>
      <c r="G754" s="25"/>
      <c r="H754" s="25"/>
    </row>
    <row r="755">
      <c r="A755" s="25"/>
      <c r="B755" s="25"/>
      <c r="C755" s="25"/>
      <c r="D755" s="25"/>
      <c r="E755" s="28"/>
      <c r="F755" s="28"/>
      <c r="G755" s="25"/>
      <c r="H755" s="25"/>
    </row>
    <row r="756">
      <c r="A756" s="25"/>
      <c r="B756" s="25"/>
      <c r="C756" s="25"/>
      <c r="D756" s="25"/>
      <c r="E756" s="28"/>
      <c r="F756" s="28"/>
      <c r="G756" s="25"/>
      <c r="H756" s="25"/>
    </row>
    <row r="757">
      <c r="A757" s="25"/>
      <c r="B757" s="25"/>
      <c r="C757" s="25"/>
      <c r="D757" s="25"/>
      <c r="E757" s="28"/>
      <c r="F757" s="28"/>
      <c r="G757" s="25"/>
      <c r="H757" s="25"/>
    </row>
    <row r="758">
      <c r="A758" s="25"/>
      <c r="B758" s="25"/>
      <c r="C758" s="25"/>
      <c r="D758" s="25"/>
      <c r="E758" s="28"/>
      <c r="F758" s="28"/>
      <c r="G758" s="25"/>
      <c r="H758" s="25"/>
    </row>
    <row r="759">
      <c r="A759" s="25"/>
      <c r="B759" s="25"/>
      <c r="C759" s="25"/>
      <c r="D759" s="25"/>
      <c r="E759" s="28"/>
      <c r="F759" s="28"/>
      <c r="G759" s="25"/>
      <c r="H759" s="25"/>
    </row>
    <row r="760">
      <c r="A760" s="25"/>
      <c r="B760" s="25"/>
      <c r="C760" s="25"/>
      <c r="D760" s="25"/>
      <c r="E760" s="28"/>
      <c r="F760" s="28"/>
      <c r="G760" s="25"/>
      <c r="H760" s="25"/>
    </row>
    <row r="761">
      <c r="A761" s="25"/>
      <c r="B761" s="25"/>
      <c r="C761" s="25"/>
      <c r="D761" s="25"/>
      <c r="E761" s="28"/>
      <c r="F761" s="28"/>
      <c r="G761" s="25"/>
      <c r="H761" s="25"/>
    </row>
    <row r="762">
      <c r="A762" s="25"/>
      <c r="B762" s="25"/>
      <c r="C762" s="25"/>
      <c r="D762" s="25"/>
      <c r="E762" s="28"/>
      <c r="F762" s="28"/>
      <c r="G762" s="25"/>
      <c r="H762" s="25"/>
    </row>
    <row r="763">
      <c r="A763" s="25"/>
      <c r="B763" s="25"/>
      <c r="C763" s="25"/>
      <c r="D763" s="25"/>
      <c r="E763" s="28"/>
      <c r="F763" s="28"/>
      <c r="G763" s="25"/>
      <c r="H763" s="25"/>
    </row>
    <row r="764">
      <c r="A764" s="25"/>
      <c r="B764" s="25"/>
      <c r="C764" s="25"/>
      <c r="D764" s="25"/>
      <c r="E764" s="28"/>
      <c r="F764" s="28"/>
      <c r="G764" s="25"/>
      <c r="H764" s="25"/>
    </row>
    <row r="765">
      <c r="A765" s="25"/>
      <c r="B765" s="25"/>
      <c r="C765" s="25"/>
      <c r="D765" s="25"/>
      <c r="E765" s="28"/>
      <c r="F765" s="28"/>
      <c r="G765" s="25"/>
      <c r="H765" s="25"/>
    </row>
    <row r="766">
      <c r="A766" s="25"/>
      <c r="B766" s="25"/>
      <c r="C766" s="25"/>
      <c r="D766" s="25"/>
      <c r="E766" s="28"/>
      <c r="F766" s="28"/>
      <c r="G766" s="25"/>
      <c r="H766" s="25"/>
    </row>
    <row r="767">
      <c r="A767" s="25"/>
      <c r="B767" s="25"/>
      <c r="C767" s="25"/>
      <c r="D767" s="25"/>
      <c r="E767" s="28"/>
      <c r="F767" s="28"/>
      <c r="G767" s="25"/>
      <c r="H767" s="25"/>
    </row>
    <row r="768">
      <c r="A768" s="25"/>
      <c r="B768" s="25"/>
      <c r="C768" s="25"/>
      <c r="D768" s="25"/>
      <c r="E768" s="28"/>
      <c r="F768" s="28"/>
      <c r="G768" s="25"/>
      <c r="H768" s="25"/>
    </row>
    <row r="769">
      <c r="A769" s="25"/>
      <c r="B769" s="25"/>
      <c r="C769" s="25"/>
      <c r="D769" s="25"/>
      <c r="E769" s="28"/>
      <c r="F769" s="28"/>
      <c r="G769" s="25"/>
      <c r="H769" s="25"/>
    </row>
    <row r="770">
      <c r="A770" s="25"/>
      <c r="B770" s="25"/>
      <c r="C770" s="25"/>
      <c r="D770" s="25"/>
      <c r="E770" s="28"/>
      <c r="F770" s="28"/>
      <c r="G770" s="25"/>
      <c r="H770" s="25"/>
    </row>
    <row r="771">
      <c r="A771" s="25"/>
      <c r="B771" s="25"/>
      <c r="C771" s="25"/>
      <c r="D771" s="25"/>
      <c r="E771" s="28"/>
      <c r="F771" s="28"/>
      <c r="G771" s="25"/>
      <c r="H771" s="25"/>
    </row>
    <row r="772">
      <c r="A772" s="25"/>
      <c r="B772" s="25"/>
      <c r="C772" s="25"/>
      <c r="D772" s="25"/>
      <c r="E772" s="28"/>
      <c r="F772" s="28"/>
      <c r="G772" s="25"/>
      <c r="H772" s="25"/>
    </row>
    <row r="773">
      <c r="A773" s="25"/>
      <c r="B773" s="25"/>
      <c r="C773" s="25"/>
      <c r="D773" s="25"/>
      <c r="E773" s="28"/>
      <c r="F773" s="28"/>
      <c r="G773" s="25"/>
      <c r="H773" s="25"/>
    </row>
    <row r="774">
      <c r="A774" s="25"/>
      <c r="B774" s="25"/>
      <c r="C774" s="25"/>
      <c r="D774" s="25"/>
      <c r="E774" s="28"/>
      <c r="F774" s="28"/>
      <c r="G774" s="25"/>
      <c r="H774" s="25"/>
    </row>
    <row r="775">
      <c r="A775" s="25"/>
      <c r="B775" s="25"/>
      <c r="C775" s="25"/>
      <c r="D775" s="25"/>
      <c r="E775" s="28"/>
      <c r="F775" s="28"/>
      <c r="G775" s="25"/>
      <c r="H775" s="25"/>
    </row>
    <row r="776">
      <c r="A776" s="25"/>
      <c r="B776" s="25"/>
      <c r="C776" s="25"/>
      <c r="D776" s="25"/>
      <c r="E776" s="28"/>
      <c r="F776" s="28"/>
      <c r="G776" s="25"/>
      <c r="H776" s="25"/>
    </row>
    <row r="777">
      <c r="A777" s="25"/>
      <c r="B777" s="25"/>
      <c r="C777" s="25"/>
      <c r="D777" s="25"/>
      <c r="E777" s="28"/>
      <c r="F777" s="28"/>
      <c r="G777" s="25"/>
      <c r="H777" s="25"/>
    </row>
    <row r="778">
      <c r="A778" s="25"/>
      <c r="B778" s="25"/>
      <c r="C778" s="25"/>
      <c r="D778" s="25"/>
      <c r="E778" s="28"/>
      <c r="F778" s="28"/>
      <c r="G778" s="25"/>
      <c r="H778" s="25"/>
    </row>
    <row r="779">
      <c r="A779" s="25"/>
      <c r="B779" s="25"/>
      <c r="C779" s="25"/>
      <c r="D779" s="25"/>
      <c r="E779" s="28"/>
      <c r="F779" s="28"/>
      <c r="G779" s="25"/>
      <c r="H779" s="25"/>
    </row>
    <row r="780">
      <c r="A780" s="25"/>
      <c r="B780" s="25"/>
      <c r="C780" s="25"/>
      <c r="D780" s="25"/>
      <c r="E780" s="28"/>
      <c r="F780" s="28"/>
      <c r="G780" s="25"/>
      <c r="H780" s="25"/>
    </row>
    <row r="781">
      <c r="A781" s="25"/>
      <c r="B781" s="25"/>
      <c r="C781" s="25"/>
      <c r="D781" s="25"/>
      <c r="E781" s="28"/>
      <c r="F781" s="28"/>
      <c r="G781" s="25"/>
      <c r="H781" s="25"/>
    </row>
    <row r="782">
      <c r="A782" s="25"/>
      <c r="B782" s="25"/>
      <c r="C782" s="25"/>
      <c r="D782" s="25"/>
      <c r="E782" s="28"/>
      <c r="F782" s="28"/>
      <c r="G782" s="25"/>
      <c r="H782" s="25"/>
    </row>
    <row r="783">
      <c r="A783" s="25"/>
      <c r="B783" s="25"/>
      <c r="C783" s="25"/>
      <c r="D783" s="25"/>
      <c r="E783" s="28"/>
      <c r="F783" s="28"/>
      <c r="G783" s="25"/>
      <c r="H783" s="25"/>
    </row>
    <row r="784">
      <c r="A784" s="25"/>
      <c r="B784" s="25"/>
      <c r="C784" s="25"/>
      <c r="D784" s="25"/>
      <c r="E784" s="28"/>
      <c r="F784" s="28"/>
      <c r="G784" s="25"/>
      <c r="H784" s="25"/>
    </row>
    <row r="785">
      <c r="A785" s="25"/>
      <c r="B785" s="25"/>
      <c r="C785" s="25"/>
      <c r="D785" s="25"/>
      <c r="E785" s="28"/>
      <c r="F785" s="28"/>
      <c r="G785" s="25"/>
      <c r="H785" s="25"/>
    </row>
    <row r="786">
      <c r="A786" s="25"/>
      <c r="B786" s="25"/>
      <c r="C786" s="25"/>
      <c r="D786" s="25"/>
      <c r="E786" s="28"/>
      <c r="F786" s="28"/>
      <c r="G786" s="25"/>
      <c r="H786" s="25"/>
    </row>
    <row r="787">
      <c r="A787" s="25"/>
      <c r="B787" s="25"/>
      <c r="C787" s="25"/>
      <c r="D787" s="25"/>
      <c r="E787" s="28"/>
      <c r="F787" s="28"/>
      <c r="G787" s="25"/>
      <c r="H787" s="25"/>
    </row>
    <row r="788">
      <c r="A788" s="25"/>
      <c r="B788" s="25"/>
      <c r="C788" s="25"/>
      <c r="D788" s="25"/>
      <c r="E788" s="28"/>
      <c r="F788" s="28"/>
      <c r="G788" s="25"/>
      <c r="H788" s="25"/>
    </row>
    <row r="789">
      <c r="A789" s="25"/>
      <c r="B789" s="25"/>
      <c r="C789" s="25"/>
      <c r="D789" s="25"/>
      <c r="E789" s="28"/>
      <c r="F789" s="28"/>
      <c r="G789" s="25"/>
      <c r="H789" s="25"/>
    </row>
    <row r="790">
      <c r="A790" s="25"/>
      <c r="B790" s="25"/>
      <c r="C790" s="25"/>
      <c r="D790" s="25"/>
      <c r="E790" s="28"/>
      <c r="F790" s="28"/>
      <c r="G790" s="25"/>
      <c r="H790" s="25"/>
    </row>
    <row r="791">
      <c r="A791" s="25"/>
      <c r="B791" s="25"/>
      <c r="C791" s="25"/>
      <c r="D791" s="25"/>
      <c r="E791" s="28"/>
      <c r="F791" s="28"/>
      <c r="G791" s="25"/>
      <c r="H791" s="25"/>
    </row>
    <row r="792">
      <c r="A792" s="25"/>
      <c r="B792" s="25"/>
      <c r="C792" s="25"/>
      <c r="D792" s="25"/>
      <c r="E792" s="28"/>
      <c r="F792" s="28"/>
      <c r="G792" s="25"/>
      <c r="H792" s="25"/>
    </row>
    <row r="793">
      <c r="A793" s="25"/>
      <c r="B793" s="25"/>
      <c r="C793" s="25"/>
      <c r="D793" s="25"/>
      <c r="E793" s="28"/>
      <c r="F793" s="28"/>
      <c r="G793" s="25"/>
      <c r="H793" s="25"/>
    </row>
    <row r="794">
      <c r="A794" s="25"/>
      <c r="B794" s="25"/>
      <c r="C794" s="25"/>
      <c r="D794" s="25"/>
      <c r="E794" s="28"/>
      <c r="F794" s="28"/>
      <c r="G794" s="25"/>
      <c r="H794" s="25"/>
    </row>
    <row r="795">
      <c r="A795" s="25"/>
      <c r="B795" s="25"/>
      <c r="C795" s="25"/>
      <c r="D795" s="25"/>
      <c r="E795" s="28"/>
      <c r="F795" s="28"/>
      <c r="G795" s="25"/>
      <c r="H795" s="25"/>
    </row>
    <row r="796">
      <c r="A796" s="25"/>
      <c r="B796" s="25"/>
      <c r="C796" s="25"/>
      <c r="D796" s="25"/>
      <c r="E796" s="28"/>
      <c r="F796" s="28"/>
      <c r="G796" s="25"/>
      <c r="H796" s="25"/>
    </row>
    <row r="797">
      <c r="A797" s="25"/>
      <c r="B797" s="25"/>
      <c r="C797" s="25"/>
      <c r="D797" s="25"/>
      <c r="E797" s="28"/>
      <c r="F797" s="28"/>
      <c r="G797" s="25"/>
      <c r="H797" s="25"/>
    </row>
    <row r="798">
      <c r="A798" s="25"/>
      <c r="B798" s="25"/>
      <c r="C798" s="25"/>
      <c r="D798" s="25"/>
      <c r="E798" s="28"/>
      <c r="F798" s="28"/>
      <c r="G798" s="25"/>
      <c r="H798" s="25"/>
    </row>
    <row r="799">
      <c r="A799" s="25"/>
      <c r="B799" s="25"/>
      <c r="C799" s="25"/>
      <c r="D799" s="25"/>
      <c r="E799" s="28"/>
      <c r="F799" s="28"/>
      <c r="G799" s="25"/>
      <c r="H799" s="25"/>
    </row>
    <row r="800">
      <c r="A800" s="25"/>
      <c r="B800" s="25"/>
      <c r="C800" s="25"/>
      <c r="D800" s="25"/>
      <c r="E800" s="28"/>
      <c r="F800" s="28"/>
      <c r="G800" s="25"/>
      <c r="H800" s="25"/>
    </row>
    <row r="801">
      <c r="A801" s="25"/>
      <c r="B801" s="25"/>
      <c r="C801" s="25"/>
      <c r="D801" s="25"/>
      <c r="E801" s="28"/>
      <c r="F801" s="28"/>
      <c r="G801" s="25"/>
      <c r="H801" s="25"/>
    </row>
    <row r="802">
      <c r="A802" s="25"/>
      <c r="B802" s="25"/>
      <c r="C802" s="25"/>
      <c r="D802" s="25"/>
      <c r="E802" s="28"/>
      <c r="F802" s="28"/>
      <c r="G802" s="25"/>
      <c r="H802" s="25"/>
    </row>
    <row r="803">
      <c r="A803" s="25"/>
      <c r="B803" s="25"/>
      <c r="C803" s="25"/>
      <c r="D803" s="25"/>
      <c r="E803" s="28"/>
      <c r="F803" s="28"/>
      <c r="G803" s="25"/>
      <c r="H803" s="25"/>
    </row>
    <row r="804">
      <c r="A804" s="25"/>
      <c r="B804" s="25"/>
      <c r="C804" s="25"/>
      <c r="D804" s="25"/>
      <c r="E804" s="28"/>
      <c r="F804" s="28"/>
      <c r="G804" s="25"/>
      <c r="H804" s="25"/>
    </row>
    <row r="805">
      <c r="A805" s="25"/>
      <c r="B805" s="25"/>
      <c r="C805" s="25"/>
      <c r="D805" s="25"/>
      <c r="E805" s="28"/>
      <c r="F805" s="28"/>
      <c r="G805" s="25"/>
      <c r="H805" s="25"/>
    </row>
    <row r="806">
      <c r="A806" s="25"/>
      <c r="B806" s="25"/>
      <c r="C806" s="25"/>
      <c r="D806" s="25"/>
      <c r="E806" s="28"/>
      <c r="F806" s="28"/>
      <c r="G806" s="25"/>
      <c r="H806" s="25"/>
    </row>
    <row r="807">
      <c r="A807" s="25"/>
      <c r="B807" s="25"/>
      <c r="C807" s="25"/>
      <c r="D807" s="25"/>
      <c r="E807" s="28"/>
      <c r="F807" s="28"/>
      <c r="G807" s="25"/>
      <c r="H807" s="25"/>
    </row>
    <row r="808">
      <c r="A808" s="25"/>
      <c r="B808" s="25"/>
      <c r="C808" s="25"/>
      <c r="D808" s="25"/>
      <c r="E808" s="28"/>
      <c r="F808" s="28"/>
      <c r="G808" s="25"/>
      <c r="H808" s="25"/>
    </row>
    <row r="809">
      <c r="A809" s="25"/>
      <c r="B809" s="25"/>
      <c r="C809" s="25"/>
      <c r="D809" s="25"/>
      <c r="E809" s="28"/>
      <c r="F809" s="28"/>
      <c r="G809" s="25"/>
      <c r="H809" s="25"/>
    </row>
    <row r="810">
      <c r="A810" s="25"/>
      <c r="B810" s="25"/>
      <c r="C810" s="25"/>
      <c r="D810" s="25"/>
      <c r="E810" s="28"/>
      <c r="F810" s="28"/>
      <c r="G810" s="25"/>
      <c r="H810" s="25"/>
    </row>
    <row r="811">
      <c r="A811" s="25"/>
      <c r="B811" s="25"/>
      <c r="C811" s="25"/>
      <c r="D811" s="25"/>
      <c r="E811" s="28"/>
      <c r="F811" s="28"/>
      <c r="G811" s="25"/>
      <c r="H811" s="25"/>
    </row>
    <row r="812">
      <c r="A812" s="25"/>
      <c r="B812" s="25"/>
      <c r="C812" s="25"/>
      <c r="D812" s="25"/>
      <c r="E812" s="28"/>
      <c r="F812" s="28"/>
      <c r="G812" s="25"/>
      <c r="H812" s="25"/>
    </row>
    <row r="813">
      <c r="A813" s="25"/>
      <c r="B813" s="25"/>
      <c r="C813" s="25"/>
      <c r="D813" s="25"/>
      <c r="E813" s="28"/>
      <c r="F813" s="28"/>
      <c r="G813" s="25"/>
      <c r="H813" s="25"/>
    </row>
    <row r="814">
      <c r="A814" s="25"/>
      <c r="B814" s="25"/>
      <c r="C814" s="25"/>
      <c r="D814" s="25"/>
      <c r="E814" s="28"/>
      <c r="F814" s="28"/>
      <c r="G814" s="25"/>
      <c r="H814" s="25"/>
    </row>
    <row r="815">
      <c r="A815" s="25"/>
      <c r="B815" s="25"/>
      <c r="C815" s="25"/>
      <c r="D815" s="25"/>
      <c r="E815" s="28"/>
      <c r="F815" s="28"/>
      <c r="G815" s="25"/>
      <c r="H815" s="25"/>
    </row>
    <row r="816">
      <c r="A816" s="25"/>
      <c r="B816" s="25"/>
      <c r="C816" s="25"/>
      <c r="D816" s="25"/>
      <c r="E816" s="28"/>
      <c r="F816" s="28"/>
      <c r="G816" s="25"/>
      <c r="H816" s="25"/>
    </row>
    <row r="817">
      <c r="A817" s="25"/>
      <c r="B817" s="25"/>
      <c r="C817" s="25"/>
      <c r="D817" s="25"/>
      <c r="E817" s="28"/>
      <c r="F817" s="28"/>
      <c r="G817" s="25"/>
      <c r="H817" s="25"/>
    </row>
    <row r="818">
      <c r="A818" s="25"/>
      <c r="B818" s="25"/>
      <c r="C818" s="25"/>
      <c r="D818" s="25"/>
      <c r="E818" s="28"/>
      <c r="F818" s="28"/>
      <c r="G818" s="25"/>
      <c r="H818" s="25"/>
    </row>
    <row r="819">
      <c r="A819" s="25"/>
      <c r="B819" s="25"/>
      <c r="C819" s="25"/>
      <c r="D819" s="25"/>
      <c r="E819" s="28"/>
      <c r="F819" s="28"/>
      <c r="G819" s="25"/>
      <c r="H819" s="25"/>
    </row>
    <row r="820">
      <c r="A820" s="25"/>
      <c r="B820" s="25"/>
      <c r="C820" s="25"/>
      <c r="D820" s="25"/>
      <c r="E820" s="28"/>
      <c r="F820" s="28"/>
      <c r="G820" s="25"/>
      <c r="H820" s="25"/>
    </row>
    <row r="821">
      <c r="A821" s="25"/>
      <c r="B821" s="25"/>
      <c r="C821" s="25"/>
      <c r="D821" s="25"/>
      <c r="E821" s="28"/>
      <c r="F821" s="28"/>
      <c r="G821" s="25"/>
      <c r="H821" s="25"/>
    </row>
    <row r="822">
      <c r="A822" s="25"/>
      <c r="B822" s="25"/>
      <c r="C822" s="25"/>
      <c r="D822" s="25"/>
      <c r="E822" s="28"/>
      <c r="F822" s="28"/>
      <c r="G822" s="25"/>
      <c r="H822" s="25"/>
    </row>
    <row r="823">
      <c r="A823" s="25"/>
      <c r="B823" s="25"/>
      <c r="C823" s="25"/>
      <c r="D823" s="25"/>
      <c r="E823" s="28"/>
      <c r="F823" s="28"/>
      <c r="G823" s="25"/>
      <c r="H823" s="25"/>
    </row>
    <row r="824">
      <c r="A824" s="25"/>
      <c r="B824" s="25"/>
      <c r="C824" s="25"/>
      <c r="D824" s="25"/>
      <c r="E824" s="28"/>
      <c r="F824" s="28"/>
      <c r="G824" s="25"/>
      <c r="H824" s="25"/>
    </row>
    <row r="825">
      <c r="A825" s="25"/>
      <c r="B825" s="25"/>
      <c r="C825" s="25"/>
      <c r="D825" s="25"/>
      <c r="E825" s="28"/>
      <c r="F825" s="28"/>
      <c r="G825" s="25"/>
      <c r="H825" s="25"/>
    </row>
    <row r="826">
      <c r="A826" s="25"/>
      <c r="B826" s="25"/>
      <c r="C826" s="25"/>
      <c r="D826" s="25"/>
      <c r="E826" s="28"/>
      <c r="F826" s="28"/>
      <c r="G826" s="25"/>
      <c r="H826" s="25"/>
    </row>
    <row r="827">
      <c r="A827" s="25"/>
      <c r="B827" s="25"/>
      <c r="C827" s="25"/>
      <c r="D827" s="25"/>
      <c r="E827" s="28"/>
      <c r="F827" s="28"/>
      <c r="G827" s="25"/>
      <c r="H827" s="25"/>
    </row>
    <row r="828">
      <c r="A828" s="25"/>
      <c r="B828" s="25"/>
      <c r="C828" s="25"/>
      <c r="D828" s="25"/>
      <c r="E828" s="28"/>
      <c r="F828" s="28"/>
      <c r="G828" s="25"/>
      <c r="H828" s="25"/>
    </row>
    <row r="829">
      <c r="A829" s="25"/>
      <c r="B829" s="25"/>
      <c r="C829" s="25"/>
      <c r="D829" s="25"/>
      <c r="E829" s="28"/>
      <c r="F829" s="28"/>
      <c r="G829" s="25"/>
      <c r="H829" s="25"/>
    </row>
    <row r="830">
      <c r="A830" s="25"/>
      <c r="B830" s="25"/>
      <c r="C830" s="25"/>
      <c r="D830" s="25"/>
      <c r="E830" s="28"/>
      <c r="F830" s="28"/>
      <c r="G830" s="25"/>
      <c r="H830" s="25"/>
    </row>
    <row r="831">
      <c r="A831" s="25"/>
      <c r="B831" s="25"/>
      <c r="C831" s="25"/>
      <c r="D831" s="25"/>
      <c r="E831" s="28"/>
      <c r="F831" s="28"/>
      <c r="G831" s="25"/>
      <c r="H831" s="25"/>
    </row>
    <row r="832">
      <c r="A832" s="25"/>
      <c r="B832" s="25"/>
      <c r="C832" s="25"/>
      <c r="D832" s="25"/>
      <c r="E832" s="28"/>
      <c r="F832" s="28"/>
      <c r="G832" s="25"/>
      <c r="H832" s="25"/>
    </row>
    <row r="833">
      <c r="A833" s="25"/>
      <c r="B833" s="25"/>
      <c r="C833" s="25"/>
      <c r="D833" s="25"/>
      <c r="E833" s="28"/>
      <c r="F833" s="28"/>
      <c r="G833" s="25"/>
      <c r="H833" s="25"/>
    </row>
    <row r="834">
      <c r="A834" s="25"/>
      <c r="B834" s="25"/>
      <c r="C834" s="25"/>
      <c r="D834" s="25"/>
      <c r="E834" s="28"/>
      <c r="F834" s="28"/>
      <c r="G834" s="25"/>
      <c r="H834" s="25"/>
    </row>
    <row r="835">
      <c r="A835" s="25"/>
      <c r="B835" s="25"/>
      <c r="C835" s="25"/>
      <c r="D835" s="25"/>
      <c r="E835" s="28"/>
      <c r="F835" s="28"/>
      <c r="G835" s="25"/>
      <c r="H835" s="25"/>
    </row>
    <row r="836">
      <c r="A836" s="25"/>
      <c r="B836" s="25"/>
      <c r="C836" s="25"/>
      <c r="D836" s="25"/>
      <c r="E836" s="28"/>
      <c r="F836" s="28"/>
      <c r="G836" s="25"/>
      <c r="H836" s="25"/>
    </row>
    <row r="837">
      <c r="A837" s="25"/>
      <c r="B837" s="25"/>
      <c r="C837" s="25"/>
      <c r="D837" s="25"/>
      <c r="E837" s="28"/>
      <c r="F837" s="28"/>
      <c r="G837" s="25"/>
      <c r="H837" s="25"/>
    </row>
    <row r="838">
      <c r="A838" s="25"/>
      <c r="B838" s="25"/>
      <c r="C838" s="25"/>
      <c r="D838" s="25"/>
      <c r="E838" s="28"/>
      <c r="F838" s="28"/>
      <c r="G838" s="25"/>
      <c r="H838" s="25"/>
    </row>
    <row r="839">
      <c r="A839" s="25"/>
      <c r="B839" s="25"/>
      <c r="C839" s="25"/>
      <c r="D839" s="25"/>
      <c r="E839" s="28"/>
      <c r="F839" s="28"/>
      <c r="G839" s="25"/>
      <c r="H839" s="25"/>
    </row>
    <row r="840">
      <c r="A840" s="25"/>
      <c r="B840" s="25"/>
      <c r="C840" s="25"/>
      <c r="D840" s="25"/>
      <c r="E840" s="28"/>
      <c r="F840" s="28"/>
      <c r="G840" s="25"/>
      <c r="H840" s="25"/>
    </row>
    <row r="841">
      <c r="A841" s="25"/>
      <c r="B841" s="25"/>
      <c r="C841" s="25"/>
      <c r="D841" s="25"/>
      <c r="E841" s="28"/>
      <c r="F841" s="28"/>
      <c r="G841" s="25"/>
      <c r="H841" s="25"/>
    </row>
    <row r="842">
      <c r="A842" s="25"/>
      <c r="B842" s="25"/>
      <c r="C842" s="25"/>
      <c r="D842" s="25"/>
      <c r="E842" s="28"/>
      <c r="F842" s="28"/>
      <c r="G842" s="25"/>
      <c r="H842" s="25"/>
    </row>
    <row r="843">
      <c r="A843" s="25"/>
      <c r="B843" s="25"/>
      <c r="C843" s="25"/>
      <c r="D843" s="25"/>
      <c r="E843" s="28"/>
      <c r="F843" s="28"/>
      <c r="G843" s="25"/>
      <c r="H843" s="25"/>
    </row>
    <row r="844">
      <c r="A844" s="25"/>
      <c r="B844" s="25"/>
      <c r="C844" s="25"/>
      <c r="D844" s="25"/>
      <c r="E844" s="28"/>
      <c r="F844" s="28"/>
      <c r="G844" s="25"/>
      <c r="H844" s="25"/>
    </row>
    <row r="845">
      <c r="A845" s="25"/>
      <c r="B845" s="25"/>
      <c r="C845" s="25"/>
      <c r="D845" s="25"/>
      <c r="E845" s="28"/>
      <c r="F845" s="28"/>
      <c r="G845" s="25"/>
      <c r="H845" s="25"/>
    </row>
    <row r="846">
      <c r="A846" s="25"/>
      <c r="B846" s="25"/>
      <c r="C846" s="25"/>
      <c r="D846" s="25"/>
      <c r="E846" s="28"/>
      <c r="F846" s="28"/>
      <c r="G846" s="25"/>
      <c r="H846" s="25"/>
    </row>
    <row r="847">
      <c r="A847" s="25"/>
      <c r="B847" s="25"/>
      <c r="C847" s="25"/>
      <c r="D847" s="25"/>
      <c r="E847" s="28"/>
      <c r="F847" s="28"/>
      <c r="G847" s="25"/>
      <c r="H847" s="25"/>
    </row>
    <row r="848">
      <c r="A848" s="25"/>
      <c r="B848" s="25"/>
      <c r="C848" s="25"/>
      <c r="D848" s="25"/>
      <c r="E848" s="28"/>
      <c r="F848" s="28"/>
      <c r="G848" s="25"/>
      <c r="H848" s="25"/>
    </row>
    <row r="849">
      <c r="A849" s="25"/>
      <c r="B849" s="25"/>
      <c r="C849" s="25"/>
      <c r="D849" s="25"/>
      <c r="E849" s="28"/>
      <c r="F849" s="28"/>
      <c r="G849" s="25"/>
      <c r="H849" s="25"/>
    </row>
    <row r="850">
      <c r="A850" s="25"/>
      <c r="B850" s="25"/>
      <c r="C850" s="25"/>
      <c r="D850" s="25"/>
      <c r="E850" s="28"/>
      <c r="F850" s="28"/>
      <c r="G850" s="25"/>
      <c r="H850" s="25"/>
    </row>
    <row r="851">
      <c r="A851" s="25"/>
      <c r="B851" s="25"/>
      <c r="C851" s="25"/>
      <c r="D851" s="25"/>
      <c r="E851" s="28"/>
      <c r="F851" s="28"/>
      <c r="G851" s="25"/>
      <c r="H851" s="25"/>
    </row>
    <row r="852">
      <c r="A852" s="25"/>
      <c r="B852" s="25"/>
      <c r="C852" s="25"/>
      <c r="D852" s="25"/>
      <c r="E852" s="28"/>
      <c r="F852" s="28"/>
      <c r="G852" s="25"/>
      <c r="H852" s="25"/>
    </row>
    <row r="853">
      <c r="A853" s="25"/>
      <c r="B853" s="25"/>
      <c r="C853" s="25"/>
      <c r="D853" s="25"/>
      <c r="E853" s="28"/>
      <c r="F853" s="28"/>
      <c r="G853" s="25"/>
      <c r="H853" s="25"/>
    </row>
    <row r="854">
      <c r="A854" s="25"/>
      <c r="B854" s="25"/>
      <c r="C854" s="25"/>
      <c r="D854" s="25"/>
      <c r="E854" s="28"/>
      <c r="F854" s="28"/>
      <c r="G854" s="25"/>
      <c r="H854" s="25"/>
    </row>
    <row r="855">
      <c r="A855" s="25"/>
      <c r="B855" s="25"/>
      <c r="C855" s="25"/>
      <c r="D855" s="25"/>
      <c r="E855" s="28"/>
      <c r="F855" s="28"/>
      <c r="G855" s="25"/>
      <c r="H855" s="25"/>
    </row>
    <row r="856">
      <c r="A856" s="25"/>
      <c r="B856" s="25"/>
      <c r="C856" s="25"/>
      <c r="D856" s="25"/>
      <c r="E856" s="28"/>
      <c r="F856" s="28"/>
      <c r="G856" s="25"/>
      <c r="H856" s="25"/>
    </row>
    <row r="857">
      <c r="A857" s="25"/>
      <c r="B857" s="25"/>
      <c r="C857" s="25"/>
      <c r="D857" s="25"/>
      <c r="E857" s="28"/>
      <c r="F857" s="28"/>
      <c r="G857" s="25"/>
      <c r="H857" s="25"/>
    </row>
    <row r="858">
      <c r="A858" s="25"/>
      <c r="B858" s="25"/>
      <c r="C858" s="25"/>
      <c r="D858" s="25"/>
      <c r="E858" s="28"/>
      <c r="F858" s="28"/>
      <c r="G858" s="25"/>
      <c r="H858" s="25"/>
    </row>
    <row r="859">
      <c r="A859" s="25"/>
      <c r="B859" s="25"/>
      <c r="C859" s="25"/>
      <c r="D859" s="25"/>
      <c r="E859" s="28"/>
      <c r="F859" s="28"/>
      <c r="G859" s="25"/>
      <c r="H859" s="25"/>
    </row>
    <row r="860">
      <c r="A860" s="25"/>
      <c r="B860" s="25"/>
      <c r="C860" s="25"/>
      <c r="D860" s="25"/>
      <c r="E860" s="28"/>
      <c r="F860" s="28"/>
      <c r="G860" s="25"/>
      <c r="H860" s="25"/>
    </row>
    <row r="861">
      <c r="A861" s="25"/>
      <c r="B861" s="25"/>
      <c r="C861" s="25"/>
      <c r="D861" s="25"/>
      <c r="E861" s="28"/>
      <c r="F861" s="28"/>
      <c r="G861" s="25"/>
      <c r="H861" s="25"/>
    </row>
    <row r="862">
      <c r="A862" s="25"/>
      <c r="B862" s="25"/>
      <c r="C862" s="25"/>
      <c r="D862" s="25"/>
      <c r="E862" s="28"/>
      <c r="F862" s="28"/>
      <c r="G862" s="25"/>
      <c r="H862" s="25"/>
    </row>
    <row r="863">
      <c r="A863" s="25"/>
      <c r="B863" s="25"/>
      <c r="C863" s="25"/>
      <c r="D863" s="25"/>
      <c r="E863" s="28"/>
      <c r="F863" s="28"/>
      <c r="G863" s="25"/>
      <c r="H863" s="25"/>
    </row>
    <row r="864">
      <c r="A864" s="25"/>
      <c r="B864" s="25"/>
      <c r="C864" s="25"/>
      <c r="D864" s="25"/>
      <c r="E864" s="28"/>
      <c r="F864" s="28"/>
      <c r="G864" s="25"/>
      <c r="H864" s="25"/>
    </row>
    <row r="865">
      <c r="A865" s="25"/>
      <c r="B865" s="25"/>
      <c r="C865" s="25"/>
      <c r="D865" s="25"/>
      <c r="E865" s="28"/>
      <c r="F865" s="28"/>
      <c r="G865" s="25"/>
      <c r="H865" s="25"/>
    </row>
    <row r="866">
      <c r="A866" s="25"/>
      <c r="B866" s="25"/>
      <c r="C866" s="25"/>
      <c r="D866" s="25"/>
      <c r="E866" s="28"/>
      <c r="F866" s="28"/>
      <c r="G866" s="25"/>
      <c r="H866" s="25"/>
    </row>
    <row r="867">
      <c r="A867" s="25"/>
      <c r="B867" s="25"/>
      <c r="C867" s="25"/>
      <c r="D867" s="25"/>
      <c r="E867" s="28"/>
      <c r="F867" s="28"/>
      <c r="G867" s="25"/>
      <c r="H867" s="25"/>
    </row>
    <row r="868">
      <c r="A868" s="25"/>
      <c r="B868" s="25"/>
      <c r="C868" s="25"/>
      <c r="D868" s="25"/>
      <c r="E868" s="28"/>
      <c r="F868" s="28"/>
      <c r="G868" s="25"/>
      <c r="H868" s="25"/>
    </row>
    <row r="869">
      <c r="A869" s="25"/>
      <c r="B869" s="25"/>
      <c r="C869" s="25"/>
      <c r="D869" s="25"/>
      <c r="E869" s="28"/>
      <c r="F869" s="28"/>
      <c r="G869" s="25"/>
      <c r="H869" s="25"/>
    </row>
    <row r="870">
      <c r="A870" s="25"/>
      <c r="B870" s="25"/>
      <c r="C870" s="25"/>
      <c r="D870" s="25"/>
      <c r="E870" s="28"/>
      <c r="F870" s="28"/>
      <c r="G870" s="25"/>
      <c r="H870" s="25"/>
    </row>
    <row r="871">
      <c r="A871" s="25"/>
      <c r="B871" s="25"/>
      <c r="C871" s="25"/>
      <c r="D871" s="25"/>
      <c r="E871" s="28"/>
      <c r="F871" s="28"/>
      <c r="G871" s="25"/>
      <c r="H871" s="25"/>
    </row>
    <row r="872">
      <c r="A872" s="25"/>
      <c r="B872" s="25"/>
      <c r="C872" s="25"/>
      <c r="D872" s="25"/>
      <c r="E872" s="28"/>
      <c r="F872" s="28"/>
      <c r="G872" s="25"/>
      <c r="H872" s="25"/>
    </row>
    <row r="873">
      <c r="A873" s="25"/>
      <c r="B873" s="25"/>
      <c r="C873" s="25"/>
      <c r="D873" s="25"/>
      <c r="E873" s="28"/>
      <c r="F873" s="28"/>
      <c r="G873" s="25"/>
      <c r="H873" s="25"/>
    </row>
    <row r="874">
      <c r="A874" s="25"/>
      <c r="B874" s="25"/>
      <c r="C874" s="25"/>
      <c r="D874" s="25"/>
      <c r="E874" s="28"/>
      <c r="F874" s="28"/>
      <c r="G874" s="25"/>
      <c r="H874" s="25"/>
    </row>
    <row r="875">
      <c r="A875" s="25"/>
      <c r="B875" s="25"/>
      <c r="C875" s="25"/>
      <c r="D875" s="25"/>
      <c r="E875" s="28"/>
      <c r="F875" s="28"/>
      <c r="G875" s="25"/>
      <c r="H875" s="25"/>
    </row>
    <row r="876">
      <c r="A876" s="25"/>
      <c r="B876" s="25"/>
      <c r="C876" s="25"/>
      <c r="D876" s="25"/>
      <c r="E876" s="28"/>
      <c r="F876" s="28"/>
      <c r="G876" s="25"/>
      <c r="H876" s="25"/>
    </row>
    <row r="877">
      <c r="A877" s="25"/>
      <c r="B877" s="25"/>
      <c r="C877" s="25"/>
      <c r="D877" s="25"/>
      <c r="E877" s="28"/>
      <c r="F877" s="28"/>
      <c r="G877" s="25"/>
      <c r="H877" s="25"/>
    </row>
    <row r="878">
      <c r="A878" s="25"/>
      <c r="B878" s="25"/>
      <c r="C878" s="25"/>
      <c r="D878" s="25"/>
      <c r="E878" s="28"/>
      <c r="F878" s="28"/>
      <c r="G878" s="25"/>
      <c r="H878" s="25"/>
    </row>
    <row r="879">
      <c r="A879" s="25"/>
      <c r="B879" s="25"/>
      <c r="C879" s="25"/>
      <c r="D879" s="25"/>
      <c r="E879" s="28"/>
      <c r="F879" s="28"/>
      <c r="G879" s="25"/>
      <c r="H879" s="25"/>
    </row>
    <row r="880">
      <c r="A880" s="25"/>
      <c r="B880" s="25"/>
      <c r="C880" s="25"/>
      <c r="D880" s="25"/>
      <c r="E880" s="28"/>
      <c r="F880" s="28"/>
      <c r="G880" s="25"/>
      <c r="H880" s="25"/>
    </row>
    <row r="881">
      <c r="A881" s="25"/>
      <c r="B881" s="25"/>
      <c r="C881" s="25"/>
      <c r="D881" s="25"/>
      <c r="E881" s="28"/>
      <c r="F881" s="28"/>
      <c r="G881" s="25"/>
      <c r="H881" s="25"/>
    </row>
    <row r="882">
      <c r="A882" s="25"/>
      <c r="B882" s="25"/>
      <c r="C882" s="25"/>
      <c r="D882" s="25"/>
      <c r="E882" s="28"/>
      <c r="F882" s="28"/>
      <c r="G882" s="25"/>
      <c r="H882" s="25"/>
    </row>
    <row r="883">
      <c r="A883" s="25"/>
      <c r="B883" s="25"/>
      <c r="C883" s="25"/>
      <c r="D883" s="25"/>
      <c r="E883" s="28"/>
      <c r="F883" s="28"/>
      <c r="G883" s="25"/>
      <c r="H883" s="25"/>
    </row>
    <row r="884">
      <c r="A884" s="25"/>
      <c r="B884" s="25"/>
      <c r="C884" s="25"/>
      <c r="D884" s="25"/>
      <c r="E884" s="28"/>
      <c r="F884" s="28"/>
      <c r="G884" s="25"/>
      <c r="H884" s="25"/>
    </row>
    <row r="885">
      <c r="A885" s="25"/>
      <c r="B885" s="25"/>
      <c r="C885" s="25"/>
      <c r="D885" s="25"/>
      <c r="E885" s="28"/>
      <c r="F885" s="28"/>
      <c r="G885" s="25"/>
      <c r="H885" s="25"/>
    </row>
    <row r="886">
      <c r="A886" s="25"/>
      <c r="B886" s="25"/>
      <c r="C886" s="25"/>
      <c r="D886" s="25"/>
      <c r="E886" s="28"/>
      <c r="F886" s="28"/>
      <c r="G886" s="25"/>
      <c r="H886" s="25"/>
    </row>
    <row r="887">
      <c r="A887" s="25"/>
      <c r="B887" s="25"/>
      <c r="C887" s="25"/>
      <c r="D887" s="25"/>
      <c r="E887" s="28"/>
      <c r="F887" s="28"/>
      <c r="G887" s="25"/>
      <c r="H887" s="25"/>
    </row>
    <row r="888">
      <c r="A888" s="25"/>
      <c r="B888" s="25"/>
      <c r="C888" s="25"/>
      <c r="D888" s="25"/>
      <c r="E888" s="28"/>
      <c r="F888" s="28"/>
      <c r="G888" s="25"/>
      <c r="H888" s="25"/>
    </row>
    <row r="889">
      <c r="A889" s="25"/>
      <c r="B889" s="25"/>
      <c r="C889" s="25"/>
      <c r="D889" s="25"/>
      <c r="E889" s="28"/>
      <c r="F889" s="28"/>
      <c r="G889" s="25"/>
      <c r="H889" s="25"/>
    </row>
    <row r="890">
      <c r="A890" s="25"/>
      <c r="B890" s="25"/>
      <c r="C890" s="25"/>
      <c r="D890" s="25"/>
      <c r="E890" s="28"/>
      <c r="F890" s="28"/>
      <c r="G890" s="25"/>
      <c r="H890" s="25"/>
    </row>
    <row r="891">
      <c r="A891" s="25"/>
      <c r="B891" s="25"/>
      <c r="C891" s="25"/>
      <c r="D891" s="25"/>
      <c r="E891" s="28"/>
      <c r="F891" s="28"/>
      <c r="G891" s="25"/>
      <c r="H891" s="25"/>
    </row>
    <row r="892">
      <c r="A892" s="25"/>
      <c r="B892" s="25"/>
      <c r="C892" s="25"/>
      <c r="D892" s="25"/>
      <c r="E892" s="28"/>
      <c r="F892" s="28"/>
      <c r="G892" s="25"/>
      <c r="H892" s="25"/>
    </row>
    <row r="893">
      <c r="A893" s="25"/>
      <c r="B893" s="25"/>
      <c r="C893" s="25"/>
      <c r="D893" s="25"/>
      <c r="E893" s="28"/>
      <c r="F893" s="28"/>
      <c r="G893" s="25"/>
      <c r="H893" s="25"/>
    </row>
    <row r="894">
      <c r="A894" s="25"/>
      <c r="B894" s="25"/>
      <c r="C894" s="25"/>
      <c r="D894" s="25"/>
      <c r="E894" s="28"/>
      <c r="F894" s="28"/>
      <c r="G894" s="25"/>
      <c r="H894" s="25"/>
    </row>
    <row r="895">
      <c r="A895" s="25"/>
      <c r="B895" s="25"/>
      <c r="C895" s="25"/>
      <c r="D895" s="25"/>
      <c r="E895" s="28"/>
      <c r="F895" s="28"/>
      <c r="G895" s="25"/>
      <c r="H895" s="25"/>
    </row>
    <row r="896">
      <c r="A896" s="25"/>
      <c r="B896" s="25"/>
      <c r="C896" s="25"/>
      <c r="D896" s="25"/>
      <c r="E896" s="28"/>
      <c r="F896" s="28"/>
      <c r="G896" s="25"/>
      <c r="H896" s="25"/>
    </row>
    <row r="897">
      <c r="A897" s="25"/>
      <c r="B897" s="25"/>
      <c r="C897" s="25"/>
      <c r="D897" s="25"/>
      <c r="E897" s="28"/>
      <c r="F897" s="28"/>
      <c r="G897" s="25"/>
      <c r="H897" s="25"/>
    </row>
    <row r="898">
      <c r="A898" s="25"/>
      <c r="B898" s="25"/>
      <c r="C898" s="25"/>
      <c r="D898" s="25"/>
      <c r="E898" s="28"/>
      <c r="F898" s="28"/>
      <c r="G898" s="25"/>
      <c r="H898" s="25"/>
    </row>
    <row r="899">
      <c r="A899" s="25"/>
      <c r="B899" s="25"/>
      <c r="C899" s="25"/>
      <c r="D899" s="25"/>
      <c r="E899" s="28"/>
      <c r="F899" s="28"/>
      <c r="G899" s="25"/>
      <c r="H899" s="25"/>
    </row>
    <row r="900">
      <c r="A900" s="25"/>
      <c r="B900" s="25"/>
      <c r="C900" s="25"/>
      <c r="D900" s="25"/>
      <c r="E900" s="28"/>
      <c r="F900" s="28"/>
      <c r="G900" s="25"/>
      <c r="H900" s="25"/>
    </row>
    <row r="901">
      <c r="A901" s="25"/>
      <c r="B901" s="25"/>
      <c r="C901" s="25"/>
      <c r="D901" s="25"/>
      <c r="E901" s="28"/>
      <c r="F901" s="28"/>
      <c r="G901" s="25"/>
      <c r="H901" s="25"/>
    </row>
    <row r="902">
      <c r="A902" s="25"/>
      <c r="B902" s="25"/>
      <c r="C902" s="25"/>
      <c r="D902" s="25"/>
      <c r="E902" s="28"/>
      <c r="F902" s="28"/>
      <c r="G902" s="25"/>
      <c r="H902" s="25"/>
    </row>
    <row r="903">
      <c r="A903" s="25"/>
      <c r="B903" s="25"/>
      <c r="C903" s="25"/>
      <c r="D903" s="25"/>
      <c r="E903" s="28"/>
      <c r="F903" s="28"/>
      <c r="G903" s="25"/>
      <c r="H903" s="25"/>
    </row>
    <row r="904">
      <c r="A904" s="25"/>
      <c r="B904" s="25"/>
      <c r="C904" s="25"/>
      <c r="D904" s="25"/>
      <c r="E904" s="28"/>
      <c r="F904" s="28"/>
      <c r="G904" s="25"/>
      <c r="H904" s="25"/>
    </row>
    <row r="905">
      <c r="A905" s="25"/>
      <c r="B905" s="25"/>
      <c r="C905" s="25"/>
      <c r="D905" s="25"/>
      <c r="E905" s="28"/>
      <c r="F905" s="28"/>
      <c r="G905" s="25"/>
      <c r="H905" s="25"/>
    </row>
    <row r="906">
      <c r="A906" s="25"/>
      <c r="B906" s="25"/>
      <c r="C906" s="25"/>
      <c r="D906" s="25"/>
      <c r="E906" s="28"/>
      <c r="F906" s="28"/>
      <c r="G906" s="25"/>
      <c r="H906" s="25"/>
    </row>
    <row r="907">
      <c r="A907" s="25"/>
      <c r="B907" s="25"/>
      <c r="C907" s="25"/>
      <c r="D907" s="25"/>
      <c r="E907" s="28"/>
      <c r="F907" s="28"/>
      <c r="G907" s="25"/>
      <c r="H907" s="25"/>
    </row>
    <row r="908">
      <c r="A908" s="25"/>
      <c r="B908" s="25"/>
      <c r="C908" s="25"/>
      <c r="D908" s="25"/>
      <c r="E908" s="28"/>
      <c r="F908" s="28"/>
      <c r="G908" s="25"/>
      <c r="H908" s="25"/>
    </row>
    <row r="909">
      <c r="A909" s="25"/>
      <c r="B909" s="25"/>
      <c r="C909" s="25"/>
      <c r="D909" s="25"/>
      <c r="E909" s="28"/>
      <c r="F909" s="28"/>
      <c r="G909" s="25"/>
      <c r="H909" s="25"/>
    </row>
    <row r="910">
      <c r="A910" s="25"/>
      <c r="B910" s="25"/>
      <c r="C910" s="25"/>
      <c r="D910" s="25"/>
      <c r="E910" s="28"/>
      <c r="F910" s="28"/>
      <c r="G910" s="25"/>
      <c r="H910" s="25"/>
    </row>
    <row r="911">
      <c r="A911" s="25"/>
      <c r="B911" s="25"/>
      <c r="C911" s="25"/>
      <c r="D911" s="25"/>
      <c r="E911" s="28"/>
      <c r="F911" s="28"/>
      <c r="G911" s="25"/>
      <c r="H911" s="25"/>
    </row>
    <row r="912">
      <c r="A912" s="25"/>
      <c r="B912" s="25"/>
      <c r="C912" s="25"/>
      <c r="D912" s="25"/>
      <c r="E912" s="28"/>
      <c r="F912" s="28"/>
      <c r="G912" s="25"/>
      <c r="H912" s="25"/>
    </row>
    <row r="913">
      <c r="A913" s="25"/>
      <c r="B913" s="25"/>
      <c r="C913" s="25"/>
      <c r="D913" s="25"/>
      <c r="E913" s="28"/>
      <c r="F913" s="28"/>
      <c r="G913" s="25"/>
      <c r="H913" s="25"/>
    </row>
    <row r="914">
      <c r="A914" s="25"/>
      <c r="B914" s="25"/>
      <c r="C914" s="25"/>
      <c r="D914" s="25"/>
      <c r="E914" s="28"/>
      <c r="F914" s="28"/>
      <c r="G914" s="25"/>
      <c r="H914" s="25"/>
    </row>
    <row r="915">
      <c r="A915" s="25"/>
      <c r="B915" s="25"/>
      <c r="C915" s="25"/>
      <c r="D915" s="25"/>
      <c r="E915" s="28"/>
      <c r="F915" s="28"/>
      <c r="G915" s="25"/>
      <c r="H915" s="25"/>
    </row>
    <row r="916">
      <c r="A916" s="25"/>
      <c r="B916" s="25"/>
      <c r="C916" s="25"/>
      <c r="D916" s="25"/>
      <c r="E916" s="28"/>
      <c r="F916" s="28"/>
      <c r="G916" s="25"/>
      <c r="H916" s="25"/>
    </row>
    <row r="917">
      <c r="A917" s="25"/>
      <c r="B917" s="25"/>
      <c r="C917" s="25"/>
      <c r="D917" s="25"/>
      <c r="E917" s="28"/>
      <c r="F917" s="28"/>
      <c r="G917" s="25"/>
      <c r="H917" s="25"/>
    </row>
    <row r="918">
      <c r="A918" s="25"/>
      <c r="B918" s="25"/>
      <c r="C918" s="25"/>
      <c r="D918" s="25"/>
      <c r="E918" s="28"/>
      <c r="F918" s="28"/>
      <c r="G918" s="25"/>
      <c r="H918" s="25"/>
    </row>
    <row r="919">
      <c r="A919" s="25"/>
      <c r="B919" s="25"/>
      <c r="C919" s="25"/>
      <c r="D919" s="25"/>
      <c r="E919" s="28"/>
      <c r="F919" s="28"/>
      <c r="G919" s="25"/>
      <c r="H919" s="25"/>
    </row>
    <row r="920">
      <c r="A920" s="25"/>
      <c r="B920" s="25"/>
      <c r="C920" s="25"/>
      <c r="D920" s="25"/>
      <c r="E920" s="28"/>
      <c r="F920" s="28"/>
      <c r="G920" s="25"/>
      <c r="H920" s="25"/>
    </row>
    <row r="921">
      <c r="A921" s="25"/>
      <c r="B921" s="25"/>
      <c r="C921" s="25"/>
      <c r="D921" s="25"/>
      <c r="E921" s="28"/>
      <c r="F921" s="28"/>
      <c r="G921" s="25"/>
      <c r="H921" s="25"/>
    </row>
    <row r="922">
      <c r="A922" s="25"/>
      <c r="B922" s="25"/>
      <c r="C922" s="25"/>
      <c r="D922" s="25"/>
      <c r="E922" s="28"/>
      <c r="F922" s="28"/>
      <c r="G922" s="25"/>
      <c r="H922" s="25"/>
    </row>
    <row r="923">
      <c r="A923" s="25"/>
      <c r="B923" s="25"/>
      <c r="C923" s="25"/>
      <c r="D923" s="25"/>
      <c r="E923" s="28"/>
      <c r="F923" s="28"/>
      <c r="G923" s="25"/>
      <c r="H923" s="25"/>
    </row>
    <row r="924">
      <c r="A924" s="25"/>
      <c r="B924" s="25"/>
      <c r="C924" s="25"/>
      <c r="D924" s="25"/>
      <c r="E924" s="28"/>
      <c r="F924" s="28"/>
      <c r="G924" s="25"/>
      <c r="H924" s="25"/>
    </row>
    <row r="925">
      <c r="A925" s="25"/>
      <c r="B925" s="25"/>
      <c r="C925" s="25"/>
      <c r="D925" s="25"/>
      <c r="E925" s="28"/>
      <c r="F925" s="28"/>
      <c r="G925" s="25"/>
      <c r="H925" s="25"/>
    </row>
    <row r="926">
      <c r="A926" s="25"/>
      <c r="B926" s="25"/>
      <c r="C926" s="25"/>
      <c r="D926" s="25"/>
      <c r="E926" s="28"/>
      <c r="F926" s="28"/>
      <c r="G926" s="25"/>
      <c r="H926" s="25"/>
    </row>
    <row r="927">
      <c r="A927" s="25"/>
      <c r="B927" s="25"/>
      <c r="C927" s="25"/>
      <c r="D927" s="25"/>
      <c r="E927" s="28"/>
      <c r="F927" s="28"/>
      <c r="G927" s="25"/>
      <c r="H927" s="25"/>
    </row>
    <row r="928">
      <c r="A928" s="25"/>
      <c r="B928" s="25"/>
      <c r="C928" s="25"/>
      <c r="D928" s="25"/>
      <c r="E928" s="28"/>
      <c r="F928" s="28"/>
      <c r="G928" s="25"/>
      <c r="H928" s="25"/>
    </row>
    <row r="929">
      <c r="A929" s="25"/>
      <c r="B929" s="25"/>
      <c r="C929" s="25"/>
      <c r="D929" s="25"/>
      <c r="E929" s="28"/>
      <c r="F929" s="28"/>
      <c r="G929" s="25"/>
      <c r="H929" s="25"/>
    </row>
    <row r="930">
      <c r="A930" s="25"/>
      <c r="B930" s="25"/>
      <c r="C930" s="25"/>
      <c r="D930" s="25"/>
      <c r="E930" s="28"/>
      <c r="F930" s="28"/>
      <c r="G930" s="25"/>
      <c r="H930" s="25"/>
    </row>
    <row r="931">
      <c r="A931" s="25"/>
      <c r="B931" s="25"/>
      <c r="C931" s="25"/>
      <c r="D931" s="25"/>
      <c r="E931" s="28"/>
      <c r="F931" s="28"/>
      <c r="G931" s="25"/>
      <c r="H931" s="25"/>
    </row>
    <row r="932">
      <c r="A932" s="25"/>
      <c r="B932" s="25"/>
      <c r="C932" s="25"/>
      <c r="D932" s="25"/>
      <c r="E932" s="28"/>
      <c r="F932" s="28"/>
      <c r="G932" s="25"/>
      <c r="H932" s="25"/>
    </row>
    <row r="933">
      <c r="A933" s="25"/>
      <c r="B933" s="25"/>
      <c r="C933" s="25"/>
      <c r="D933" s="25"/>
      <c r="E933" s="28"/>
      <c r="F933" s="28"/>
      <c r="G933" s="25"/>
      <c r="H933" s="25"/>
    </row>
    <row r="934">
      <c r="A934" s="25"/>
      <c r="B934" s="25"/>
      <c r="C934" s="25"/>
      <c r="D934" s="25"/>
      <c r="E934" s="28"/>
      <c r="F934" s="28"/>
      <c r="G934" s="25"/>
      <c r="H934" s="25"/>
    </row>
    <row r="935">
      <c r="A935" s="25"/>
      <c r="B935" s="25"/>
      <c r="C935" s="25"/>
      <c r="D935" s="25"/>
      <c r="E935" s="28"/>
      <c r="F935" s="28"/>
      <c r="G935" s="25"/>
      <c r="H935" s="25"/>
    </row>
    <row r="936">
      <c r="A936" s="25"/>
      <c r="B936" s="25"/>
      <c r="C936" s="25"/>
      <c r="D936" s="25"/>
      <c r="E936" s="28"/>
      <c r="F936" s="28"/>
      <c r="G936" s="25"/>
      <c r="H936" s="25"/>
    </row>
    <row r="937">
      <c r="A937" s="25"/>
      <c r="B937" s="25"/>
      <c r="C937" s="25"/>
      <c r="D937" s="25"/>
      <c r="E937" s="28"/>
      <c r="F937" s="28"/>
      <c r="G937" s="25"/>
      <c r="H937" s="25"/>
    </row>
    <row r="938">
      <c r="A938" s="25"/>
      <c r="B938" s="25"/>
      <c r="C938" s="25"/>
      <c r="D938" s="25"/>
      <c r="E938" s="28"/>
      <c r="F938" s="28"/>
      <c r="G938" s="25"/>
      <c r="H938" s="25"/>
    </row>
    <row r="939">
      <c r="A939" s="25"/>
      <c r="B939" s="25"/>
      <c r="C939" s="25"/>
      <c r="D939" s="25"/>
      <c r="E939" s="28"/>
      <c r="F939" s="28"/>
      <c r="G939" s="25"/>
      <c r="H939" s="25"/>
    </row>
    <row r="940">
      <c r="A940" s="25"/>
      <c r="B940" s="25"/>
      <c r="C940" s="25"/>
      <c r="D940" s="25"/>
      <c r="E940" s="28"/>
      <c r="F940" s="28"/>
      <c r="G940" s="25"/>
      <c r="H940" s="25"/>
    </row>
    <row r="941">
      <c r="A941" s="25"/>
      <c r="B941" s="25"/>
      <c r="C941" s="25"/>
      <c r="D941" s="25"/>
      <c r="E941" s="28"/>
      <c r="F941" s="28"/>
      <c r="G941" s="25"/>
      <c r="H941" s="25"/>
    </row>
    <row r="942">
      <c r="A942" s="25"/>
      <c r="B942" s="25"/>
      <c r="C942" s="25"/>
      <c r="D942" s="25"/>
      <c r="E942" s="28"/>
      <c r="F942" s="28"/>
      <c r="G942" s="25"/>
      <c r="H942" s="25"/>
    </row>
    <row r="943">
      <c r="A943" s="25"/>
      <c r="B943" s="25"/>
      <c r="C943" s="25"/>
      <c r="D943" s="25"/>
      <c r="E943" s="28"/>
      <c r="F943" s="28"/>
      <c r="G943" s="25"/>
      <c r="H943" s="25"/>
    </row>
    <row r="944">
      <c r="A944" s="25"/>
      <c r="B944" s="25"/>
      <c r="C944" s="25"/>
      <c r="D944" s="25"/>
      <c r="E944" s="28"/>
      <c r="F944" s="28"/>
      <c r="G944" s="25"/>
      <c r="H944" s="25"/>
    </row>
    <row r="945">
      <c r="A945" s="25"/>
      <c r="B945" s="25"/>
      <c r="C945" s="25"/>
      <c r="D945" s="25"/>
      <c r="E945" s="28"/>
      <c r="F945" s="28"/>
      <c r="G945" s="25"/>
      <c r="H945" s="25"/>
    </row>
    <row r="946">
      <c r="A946" s="25"/>
      <c r="B946" s="25"/>
      <c r="C946" s="25"/>
      <c r="D946" s="25"/>
      <c r="E946" s="28"/>
      <c r="F946" s="28"/>
      <c r="G946" s="25"/>
      <c r="H946" s="25"/>
    </row>
    <row r="947">
      <c r="A947" s="25"/>
      <c r="B947" s="25"/>
      <c r="C947" s="25"/>
      <c r="D947" s="25"/>
      <c r="E947" s="28"/>
      <c r="F947" s="28"/>
      <c r="G947" s="25"/>
      <c r="H947" s="25"/>
    </row>
    <row r="948">
      <c r="A948" s="25"/>
      <c r="B948" s="25"/>
      <c r="C948" s="25"/>
      <c r="D948" s="25"/>
      <c r="E948" s="28"/>
      <c r="F948" s="28"/>
      <c r="G948" s="25"/>
      <c r="H948" s="25"/>
    </row>
    <row r="949">
      <c r="A949" s="25"/>
      <c r="B949" s="25"/>
      <c r="C949" s="25"/>
      <c r="D949" s="25"/>
      <c r="E949" s="28"/>
      <c r="F949" s="28"/>
      <c r="G949" s="25"/>
      <c r="H949" s="25"/>
    </row>
    <row r="950">
      <c r="A950" s="25"/>
      <c r="B950" s="25"/>
      <c r="C950" s="25"/>
      <c r="D950" s="25"/>
      <c r="E950" s="28"/>
      <c r="F950" s="28"/>
      <c r="G950" s="25"/>
      <c r="H950" s="25"/>
    </row>
    <row r="951">
      <c r="A951" s="25"/>
      <c r="B951" s="25"/>
      <c r="C951" s="25"/>
      <c r="D951" s="25"/>
      <c r="E951" s="28"/>
      <c r="F951" s="28"/>
      <c r="G951" s="25"/>
      <c r="H951" s="25"/>
    </row>
    <row r="952">
      <c r="A952" s="25"/>
      <c r="B952" s="25"/>
      <c r="C952" s="25"/>
      <c r="D952" s="25"/>
      <c r="E952" s="28"/>
      <c r="F952" s="28"/>
      <c r="G952" s="25"/>
      <c r="H952" s="25"/>
    </row>
    <row r="953">
      <c r="A953" s="25"/>
      <c r="B953" s="25"/>
      <c r="C953" s="25"/>
      <c r="D953" s="25"/>
      <c r="E953" s="28"/>
      <c r="F953" s="28"/>
      <c r="G953" s="25"/>
      <c r="H953" s="25"/>
    </row>
    <row r="954">
      <c r="A954" s="25"/>
      <c r="B954" s="25"/>
      <c r="C954" s="25"/>
      <c r="D954" s="25"/>
      <c r="E954" s="28"/>
      <c r="F954" s="28"/>
      <c r="G954" s="25"/>
      <c r="H954" s="25"/>
    </row>
    <row r="955">
      <c r="A955" s="25"/>
      <c r="B955" s="25"/>
      <c r="C955" s="25"/>
      <c r="D955" s="25"/>
      <c r="E955" s="28"/>
      <c r="F955" s="28"/>
      <c r="G955" s="25"/>
      <c r="H955" s="25"/>
    </row>
    <row r="956">
      <c r="A956" s="25"/>
      <c r="B956" s="25"/>
      <c r="C956" s="25"/>
      <c r="D956" s="25"/>
      <c r="E956" s="28"/>
      <c r="F956" s="28"/>
      <c r="G956" s="25"/>
      <c r="H956" s="25"/>
    </row>
    <row r="957">
      <c r="A957" s="25"/>
      <c r="B957" s="25"/>
      <c r="C957" s="25"/>
      <c r="D957" s="25"/>
      <c r="E957" s="28"/>
      <c r="F957" s="28"/>
      <c r="G957" s="25"/>
      <c r="H957" s="25"/>
    </row>
    <row r="958">
      <c r="A958" s="25"/>
      <c r="B958" s="25"/>
      <c r="C958" s="25"/>
      <c r="D958" s="25"/>
      <c r="E958" s="28"/>
      <c r="F958" s="28"/>
      <c r="G958" s="25"/>
      <c r="H958" s="25"/>
    </row>
    <row r="959">
      <c r="A959" s="25"/>
      <c r="B959" s="25"/>
      <c r="C959" s="25"/>
      <c r="D959" s="25"/>
      <c r="E959" s="28"/>
      <c r="F959" s="28"/>
      <c r="G959" s="25"/>
      <c r="H959" s="25"/>
    </row>
    <row r="960">
      <c r="A960" s="25"/>
      <c r="B960" s="25"/>
      <c r="C960" s="25"/>
      <c r="D960" s="25"/>
      <c r="E960" s="28"/>
      <c r="F960" s="28"/>
      <c r="G960" s="25"/>
      <c r="H960" s="25"/>
    </row>
    <row r="961">
      <c r="A961" s="25"/>
      <c r="B961" s="25"/>
      <c r="C961" s="25"/>
      <c r="D961" s="25"/>
      <c r="E961" s="28"/>
      <c r="F961" s="28"/>
      <c r="G961" s="25"/>
      <c r="H961" s="25"/>
    </row>
    <row r="962">
      <c r="A962" s="25"/>
      <c r="B962" s="25"/>
      <c r="C962" s="25"/>
      <c r="D962" s="25"/>
      <c r="E962" s="28"/>
      <c r="F962" s="28"/>
      <c r="G962" s="25"/>
      <c r="H962" s="25"/>
    </row>
    <row r="963">
      <c r="A963" s="25"/>
      <c r="B963" s="25"/>
      <c r="C963" s="25"/>
      <c r="D963" s="25"/>
      <c r="E963" s="28"/>
      <c r="F963" s="28"/>
      <c r="G963" s="25"/>
      <c r="H963" s="25"/>
    </row>
    <row r="964">
      <c r="A964" s="25"/>
      <c r="B964" s="25"/>
      <c r="C964" s="25"/>
      <c r="D964" s="25"/>
      <c r="E964" s="28"/>
      <c r="F964" s="28"/>
      <c r="G964" s="25"/>
      <c r="H964" s="25"/>
    </row>
    <row r="965">
      <c r="A965" s="25"/>
      <c r="B965" s="25"/>
      <c r="C965" s="25"/>
      <c r="D965" s="25"/>
      <c r="E965" s="28"/>
      <c r="F965" s="28"/>
      <c r="G965" s="25"/>
      <c r="H965" s="25"/>
    </row>
    <row r="966">
      <c r="A966" s="25"/>
      <c r="B966" s="25"/>
      <c r="C966" s="25"/>
      <c r="D966" s="25"/>
      <c r="E966" s="28"/>
      <c r="F966" s="28"/>
      <c r="G966" s="25"/>
      <c r="H966" s="25"/>
    </row>
    <row r="967">
      <c r="A967" s="25"/>
      <c r="B967" s="25"/>
      <c r="C967" s="25"/>
      <c r="D967" s="25"/>
      <c r="E967" s="28"/>
      <c r="F967" s="28"/>
      <c r="G967" s="25"/>
      <c r="H967" s="25"/>
    </row>
    <row r="968">
      <c r="A968" s="25"/>
      <c r="B968" s="25"/>
      <c r="C968" s="25"/>
      <c r="D968" s="25"/>
      <c r="E968" s="28"/>
      <c r="F968" s="28"/>
      <c r="G968" s="25"/>
      <c r="H968" s="25"/>
    </row>
    <row r="969">
      <c r="A969" s="25"/>
      <c r="B969" s="25"/>
      <c r="C969" s="25"/>
      <c r="D969" s="25"/>
      <c r="E969" s="28"/>
      <c r="F969" s="28"/>
      <c r="G969" s="25"/>
      <c r="H969" s="25"/>
    </row>
    <row r="970">
      <c r="A970" s="25"/>
      <c r="B970" s="25"/>
      <c r="C970" s="25"/>
      <c r="D970" s="25"/>
      <c r="E970" s="28"/>
      <c r="F970" s="28"/>
      <c r="G970" s="25"/>
      <c r="H970" s="25"/>
    </row>
    <row r="971">
      <c r="A971" s="25"/>
      <c r="B971" s="25"/>
      <c r="C971" s="25"/>
      <c r="D971" s="25"/>
      <c r="E971" s="28"/>
      <c r="F971" s="28"/>
      <c r="G971" s="25"/>
      <c r="H971" s="25"/>
    </row>
    <row r="972">
      <c r="A972" s="25"/>
      <c r="B972" s="25"/>
      <c r="C972" s="25"/>
      <c r="D972" s="25"/>
      <c r="E972" s="28"/>
      <c r="F972" s="28"/>
      <c r="G972" s="25"/>
      <c r="H972" s="25"/>
    </row>
    <row r="973">
      <c r="A973" s="25"/>
      <c r="B973" s="25"/>
      <c r="C973" s="25"/>
      <c r="D973" s="25"/>
      <c r="E973" s="28"/>
      <c r="F973" s="28"/>
      <c r="G973" s="25"/>
      <c r="H973" s="25"/>
    </row>
    <row r="974">
      <c r="A974" s="25"/>
      <c r="B974" s="25"/>
      <c r="C974" s="25"/>
      <c r="D974" s="25"/>
      <c r="E974" s="28"/>
      <c r="F974" s="28"/>
      <c r="G974" s="25"/>
      <c r="H974" s="25"/>
    </row>
    <row r="975">
      <c r="A975" s="25"/>
      <c r="B975" s="25"/>
      <c r="C975" s="25"/>
      <c r="D975" s="25"/>
      <c r="E975" s="28"/>
      <c r="F975" s="28"/>
      <c r="G975" s="25"/>
      <c r="H975" s="25"/>
    </row>
    <row r="976">
      <c r="A976" s="25"/>
      <c r="B976" s="25"/>
      <c r="C976" s="25"/>
      <c r="D976" s="25"/>
      <c r="E976" s="28"/>
      <c r="F976" s="28"/>
      <c r="G976" s="25"/>
      <c r="H976" s="25"/>
    </row>
    <row r="977">
      <c r="A977" s="25"/>
      <c r="B977" s="25"/>
      <c r="C977" s="25"/>
      <c r="D977" s="25"/>
      <c r="E977" s="28"/>
      <c r="F977" s="28"/>
      <c r="G977" s="25"/>
      <c r="H977" s="25"/>
    </row>
    <row r="978">
      <c r="A978" s="25"/>
      <c r="B978" s="25"/>
      <c r="C978" s="25"/>
      <c r="D978" s="25"/>
      <c r="E978" s="28"/>
      <c r="F978" s="28"/>
      <c r="G978" s="25"/>
      <c r="H978" s="25"/>
    </row>
    <row r="979">
      <c r="A979" s="25"/>
      <c r="B979" s="25"/>
      <c r="C979" s="25"/>
      <c r="D979" s="25"/>
      <c r="E979" s="28"/>
      <c r="F979" s="28"/>
      <c r="G979" s="25"/>
      <c r="H979" s="25"/>
    </row>
    <row r="980">
      <c r="A980" s="25"/>
      <c r="B980" s="25"/>
      <c r="C980" s="25"/>
      <c r="D980" s="25"/>
      <c r="E980" s="28"/>
      <c r="F980" s="28"/>
      <c r="G980" s="25"/>
      <c r="H980" s="25"/>
    </row>
    <row r="981">
      <c r="A981" s="25"/>
      <c r="B981" s="25"/>
      <c r="C981" s="25"/>
      <c r="D981" s="25"/>
      <c r="E981" s="28"/>
      <c r="F981" s="28"/>
      <c r="G981" s="25"/>
      <c r="H981" s="25"/>
    </row>
    <row r="982">
      <c r="A982" s="25"/>
      <c r="B982" s="25"/>
      <c r="C982" s="25"/>
      <c r="D982" s="25"/>
      <c r="E982" s="28"/>
      <c r="F982" s="28"/>
      <c r="G982" s="25"/>
      <c r="H982" s="25"/>
    </row>
    <row r="983">
      <c r="A983" s="25"/>
      <c r="B983" s="25"/>
      <c r="C983" s="25"/>
      <c r="D983" s="25"/>
      <c r="E983" s="28"/>
      <c r="F983" s="28"/>
      <c r="G983" s="25"/>
      <c r="H983" s="25"/>
    </row>
    <row r="984">
      <c r="A984" s="25"/>
      <c r="B984" s="25"/>
      <c r="C984" s="25"/>
      <c r="D984" s="25"/>
      <c r="E984" s="28"/>
      <c r="F984" s="28"/>
      <c r="G984" s="25"/>
      <c r="H984" s="25"/>
    </row>
    <row r="985">
      <c r="A985" s="25"/>
      <c r="B985" s="25"/>
      <c r="C985" s="25"/>
      <c r="D985" s="25"/>
      <c r="E985" s="28"/>
      <c r="F985" s="28"/>
      <c r="G985" s="25"/>
      <c r="H985" s="25"/>
    </row>
    <row r="986">
      <c r="A986" s="25"/>
      <c r="B986" s="25"/>
      <c r="C986" s="25"/>
      <c r="D986" s="25"/>
      <c r="E986" s="28"/>
      <c r="F986" s="28"/>
      <c r="G986" s="25"/>
      <c r="H986" s="25"/>
    </row>
    <row r="987">
      <c r="A987" s="25"/>
      <c r="B987" s="25"/>
      <c r="C987" s="25"/>
      <c r="D987" s="25"/>
      <c r="E987" s="28"/>
      <c r="F987" s="28"/>
      <c r="G987" s="25"/>
      <c r="H987" s="25"/>
    </row>
    <row r="988">
      <c r="A988" s="25"/>
      <c r="B988" s="25"/>
      <c r="C988" s="25"/>
      <c r="D988" s="25"/>
      <c r="E988" s="28"/>
      <c r="F988" s="28"/>
      <c r="G988" s="25"/>
      <c r="H988" s="25"/>
    </row>
    <row r="989">
      <c r="A989" s="25"/>
      <c r="B989" s="25"/>
      <c r="C989" s="25"/>
      <c r="D989" s="25"/>
      <c r="E989" s="28"/>
      <c r="F989" s="28"/>
      <c r="G989" s="25"/>
      <c r="H989" s="25"/>
    </row>
    <row r="990">
      <c r="A990" s="25"/>
      <c r="B990" s="25"/>
      <c r="C990" s="25"/>
      <c r="D990" s="25"/>
      <c r="E990" s="28"/>
      <c r="F990" s="28"/>
      <c r="G990" s="25"/>
      <c r="H990" s="25"/>
    </row>
    <row r="991">
      <c r="A991" s="25"/>
      <c r="B991" s="25"/>
      <c r="C991" s="25"/>
      <c r="D991" s="25"/>
      <c r="E991" s="28"/>
      <c r="F991" s="28"/>
      <c r="G991" s="25"/>
      <c r="H991" s="25"/>
    </row>
    <row r="992">
      <c r="A992" s="25"/>
      <c r="B992" s="25"/>
      <c r="C992" s="25"/>
      <c r="D992" s="25"/>
      <c r="E992" s="28"/>
      <c r="F992" s="28"/>
      <c r="G992" s="25"/>
      <c r="H992" s="25"/>
    </row>
    <row r="993">
      <c r="A993" s="25"/>
      <c r="B993" s="25"/>
      <c r="C993" s="25"/>
      <c r="D993" s="25"/>
      <c r="E993" s="28"/>
      <c r="F993" s="28"/>
      <c r="G993" s="25"/>
      <c r="H993" s="25"/>
    </row>
    <row r="994">
      <c r="A994" s="25"/>
      <c r="B994" s="25"/>
      <c r="C994" s="25"/>
      <c r="D994" s="25"/>
      <c r="E994" s="28"/>
      <c r="F994" s="28"/>
      <c r="G994" s="25"/>
      <c r="H994" s="25"/>
    </row>
    <row r="995">
      <c r="A995" s="25"/>
      <c r="B995" s="25"/>
      <c r="C995" s="25"/>
      <c r="D995" s="25"/>
      <c r="E995" s="28"/>
      <c r="F995" s="28"/>
      <c r="G995" s="25"/>
      <c r="H995" s="25"/>
    </row>
    <row r="996">
      <c r="A996" s="25"/>
      <c r="B996" s="25"/>
      <c r="C996" s="25"/>
      <c r="D996" s="25"/>
      <c r="E996" s="28"/>
      <c r="F996" s="28"/>
      <c r="G996" s="25"/>
      <c r="H996" s="25"/>
    </row>
    <row r="997">
      <c r="A997" s="25"/>
      <c r="B997" s="25"/>
      <c r="C997" s="25"/>
      <c r="D997" s="25"/>
      <c r="E997" s="28"/>
      <c r="F997" s="28"/>
      <c r="G997" s="25"/>
      <c r="H997" s="25"/>
    </row>
    <row r="998">
      <c r="A998" s="25"/>
      <c r="B998" s="25"/>
      <c r="C998" s="25"/>
      <c r="D998" s="25"/>
      <c r="E998" s="28"/>
      <c r="F998" s="28"/>
      <c r="G998" s="25"/>
      <c r="H998" s="25"/>
    </row>
    <row r="999">
      <c r="A999" s="25"/>
      <c r="B999" s="25"/>
      <c r="C999" s="25"/>
      <c r="D999" s="25"/>
      <c r="E999" s="28"/>
      <c r="F999" s="28"/>
      <c r="G999" s="25"/>
      <c r="H999" s="25"/>
    </row>
    <row r="1000">
      <c r="A1000" s="25"/>
      <c r="B1000" s="25"/>
      <c r="C1000" s="25"/>
      <c r="D1000" s="25"/>
      <c r="E1000" s="28"/>
      <c r="F1000" s="28"/>
      <c r="G1000" s="25"/>
      <c r="H1000" s="25"/>
    </row>
    <row r="1001">
      <c r="A1001" s="25"/>
      <c r="B1001" s="25"/>
      <c r="C1001" s="25"/>
      <c r="D1001" s="25"/>
      <c r="E1001" s="28"/>
      <c r="F1001" s="28"/>
      <c r="G1001" s="25"/>
      <c r="H1001" s="25"/>
    </row>
    <row r="1002">
      <c r="A1002" s="25"/>
      <c r="B1002" s="25"/>
      <c r="C1002" s="25"/>
      <c r="D1002" s="25"/>
      <c r="E1002" s="28"/>
      <c r="F1002" s="28"/>
      <c r="G1002" s="25"/>
      <c r="H1002" s="25"/>
    </row>
    <row r="1003">
      <c r="A1003" s="25"/>
      <c r="B1003" s="25"/>
      <c r="C1003" s="25"/>
      <c r="D1003" s="25"/>
      <c r="E1003" s="28"/>
      <c r="F1003" s="28"/>
      <c r="G1003" s="25"/>
      <c r="H1003" s="25"/>
    </row>
    <row r="1004">
      <c r="A1004" s="25"/>
      <c r="B1004" s="25"/>
      <c r="C1004" s="25"/>
      <c r="D1004" s="25"/>
      <c r="E1004" s="28"/>
      <c r="F1004" s="28"/>
      <c r="G1004" s="25"/>
      <c r="H1004" s="25"/>
    </row>
    <row r="1005">
      <c r="A1005" s="25"/>
      <c r="B1005" s="25"/>
      <c r="C1005" s="25"/>
      <c r="D1005" s="25"/>
      <c r="E1005" s="28"/>
      <c r="F1005" s="28"/>
      <c r="G1005" s="25"/>
      <c r="H1005" s="25"/>
    </row>
    <row r="1006">
      <c r="A1006" s="25"/>
      <c r="B1006" s="25"/>
      <c r="C1006" s="25"/>
      <c r="D1006" s="25"/>
      <c r="E1006" s="28"/>
      <c r="F1006" s="28"/>
      <c r="G1006" s="25"/>
      <c r="H1006" s="25"/>
    </row>
    <row r="1007">
      <c r="A1007" s="25"/>
      <c r="B1007" s="25"/>
      <c r="C1007" s="25"/>
      <c r="D1007" s="25"/>
      <c r="E1007" s="28"/>
      <c r="F1007" s="28"/>
      <c r="G1007" s="25"/>
      <c r="H1007" s="25"/>
    </row>
    <row r="1008">
      <c r="A1008" s="25"/>
      <c r="B1008" s="25"/>
      <c r="C1008" s="25"/>
      <c r="D1008" s="25"/>
      <c r="E1008" s="28"/>
      <c r="F1008" s="28"/>
      <c r="G1008" s="25"/>
      <c r="H1008" s="25"/>
    </row>
  </sheetData>
  <mergeCells count="16">
    <mergeCell ref="A3:H3"/>
    <mergeCell ref="A4:H4"/>
    <mergeCell ref="A5:A18"/>
    <mergeCell ref="A19:A27"/>
    <mergeCell ref="A28:A31"/>
    <mergeCell ref="A34:H34"/>
    <mergeCell ref="A35:A37"/>
    <mergeCell ref="A55:A59"/>
    <mergeCell ref="A63:H63"/>
    <mergeCell ref="A38:A40"/>
    <mergeCell ref="A41:H41"/>
    <mergeCell ref="A42:A44"/>
    <mergeCell ref="A45:A46"/>
    <mergeCell ref="A49:H49"/>
    <mergeCell ref="A51:C51"/>
    <mergeCell ref="A54:H54"/>
  </mergeCells>
  <hyperlinks>
    <hyperlink r:id="rId1" location="slide=id.g3f346b4ef47_0_71" ref="A5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 customWidth="1" min="2" max="2" width="49.25"/>
    <col customWidth="1" min="3" max="3" width="48.0"/>
    <col customWidth="1" min="4" max="4" width="53.38"/>
    <col customWidth="1" min="5" max="5" width="29.13"/>
    <col customWidth="1" min="6" max="6" width="28.0"/>
  </cols>
  <sheetData>
    <row r="1">
      <c r="A1" s="35" t="s">
        <v>367</v>
      </c>
      <c r="B1" s="10"/>
      <c r="C1" s="10"/>
      <c r="D1" s="10"/>
      <c r="E1" s="10"/>
      <c r="F1" s="10"/>
    </row>
    <row r="2">
      <c r="A2" s="36" t="s">
        <v>368</v>
      </c>
      <c r="B2" s="10"/>
      <c r="C2" s="10"/>
      <c r="D2" s="10"/>
      <c r="E2" s="10"/>
      <c r="F2" s="10"/>
    </row>
    <row r="3">
      <c r="A3" s="10"/>
      <c r="B3" s="10"/>
      <c r="C3" s="10"/>
      <c r="D3" s="10"/>
      <c r="E3" s="10"/>
      <c r="F3" s="10"/>
    </row>
    <row r="4">
      <c r="A4" s="13" t="s">
        <v>22</v>
      </c>
      <c r="B4" s="13" t="s">
        <v>66</v>
      </c>
      <c r="C4" s="13" t="s">
        <v>104</v>
      </c>
      <c r="D4" s="13" t="s">
        <v>369</v>
      </c>
      <c r="E4" s="13" t="s">
        <v>105</v>
      </c>
      <c r="F4" s="13" t="s">
        <v>370</v>
      </c>
    </row>
    <row r="5">
      <c r="A5" s="37" t="s">
        <v>113</v>
      </c>
    </row>
    <row r="6">
      <c r="A6" s="4" t="s">
        <v>371</v>
      </c>
      <c r="B6" s="4" t="s">
        <v>75</v>
      </c>
      <c r="C6" s="4" t="s">
        <v>372</v>
      </c>
      <c r="D6" s="4" t="s">
        <v>373</v>
      </c>
      <c r="E6" s="4" t="s">
        <v>374</v>
      </c>
      <c r="F6" s="4" t="s">
        <v>375</v>
      </c>
    </row>
    <row r="7">
      <c r="A7" s="4" t="s">
        <v>376</v>
      </c>
      <c r="B7" s="4" t="s">
        <v>75</v>
      </c>
      <c r="C7" s="4" t="s">
        <v>372</v>
      </c>
      <c r="D7" s="4" t="s">
        <v>373</v>
      </c>
      <c r="E7" s="4" t="s">
        <v>121</v>
      </c>
      <c r="F7" s="4" t="s">
        <v>377</v>
      </c>
    </row>
    <row r="8">
      <c r="A8" s="4" t="s">
        <v>378</v>
      </c>
      <c r="B8" s="4" t="s">
        <v>75</v>
      </c>
      <c r="C8" s="4" t="s">
        <v>372</v>
      </c>
      <c r="D8" s="4" t="s">
        <v>373</v>
      </c>
      <c r="E8" s="4" t="s">
        <v>132</v>
      </c>
      <c r="F8" s="4" t="s">
        <v>379</v>
      </c>
    </row>
    <row r="9">
      <c r="A9" s="4" t="s">
        <v>380</v>
      </c>
      <c r="B9" s="4" t="s">
        <v>75</v>
      </c>
      <c r="C9" s="4" t="s">
        <v>381</v>
      </c>
      <c r="D9" s="3" t="s">
        <v>373</v>
      </c>
      <c r="E9" s="4" t="s">
        <v>153</v>
      </c>
      <c r="F9" s="3" t="s">
        <v>382</v>
      </c>
    </row>
    <row r="10">
      <c r="A10" s="4" t="s">
        <v>383</v>
      </c>
      <c r="B10" s="4" t="s">
        <v>75</v>
      </c>
      <c r="C10" s="4" t="s">
        <v>381</v>
      </c>
      <c r="D10" s="3" t="s">
        <v>373</v>
      </c>
      <c r="E10" s="4" t="s">
        <v>153</v>
      </c>
      <c r="F10" s="3" t="s">
        <v>384</v>
      </c>
    </row>
    <row r="11">
      <c r="A11" s="4" t="s">
        <v>385</v>
      </c>
      <c r="B11" s="4" t="s">
        <v>75</v>
      </c>
      <c r="C11" s="4" t="s">
        <v>381</v>
      </c>
      <c r="D11" s="3" t="s">
        <v>373</v>
      </c>
      <c r="E11" s="4" t="s">
        <v>171</v>
      </c>
      <c r="F11" s="4" t="s">
        <v>386</v>
      </c>
    </row>
    <row r="12">
      <c r="A12" s="4" t="s">
        <v>387</v>
      </c>
      <c r="B12" s="4" t="s">
        <v>75</v>
      </c>
      <c r="C12" s="4" t="s">
        <v>388</v>
      </c>
      <c r="D12" s="3" t="s">
        <v>373</v>
      </c>
      <c r="E12" s="4" t="s">
        <v>226</v>
      </c>
      <c r="F12" s="4" t="s">
        <v>389</v>
      </c>
    </row>
    <row r="13">
      <c r="A13" s="4" t="s">
        <v>390</v>
      </c>
      <c r="B13" s="4" t="s">
        <v>75</v>
      </c>
      <c r="C13" s="4" t="s">
        <v>388</v>
      </c>
      <c r="D13" s="3" t="s">
        <v>373</v>
      </c>
      <c r="E13" s="4" t="s">
        <v>226</v>
      </c>
      <c r="F13" s="4" t="s">
        <v>391</v>
      </c>
    </row>
    <row r="14">
      <c r="A14" s="4" t="s">
        <v>392</v>
      </c>
      <c r="B14" s="4" t="s">
        <v>75</v>
      </c>
      <c r="C14" s="4" t="s">
        <v>393</v>
      </c>
      <c r="D14" s="3" t="s">
        <v>373</v>
      </c>
      <c r="E14" s="4" t="s">
        <v>237</v>
      </c>
      <c r="F14" s="4" t="s">
        <v>394</v>
      </c>
    </row>
    <row r="15">
      <c r="A15" s="4" t="s">
        <v>222</v>
      </c>
      <c r="B15" s="4" t="s">
        <v>82</v>
      </c>
      <c r="C15" s="4" t="s">
        <v>372</v>
      </c>
      <c r="D15" s="4" t="s">
        <v>373</v>
      </c>
      <c r="E15" s="4" t="s">
        <v>142</v>
      </c>
      <c r="F15" s="4" t="s">
        <v>395</v>
      </c>
    </row>
    <row r="16">
      <c r="A16" s="4" t="s">
        <v>167</v>
      </c>
      <c r="B16" s="4" t="s">
        <v>82</v>
      </c>
      <c r="C16" s="4" t="s">
        <v>381</v>
      </c>
      <c r="D16" s="4" t="s">
        <v>373</v>
      </c>
      <c r="E16" s="4" t="s">
        <v>166</v>
      </c>
      <c r="F16" s="4" t="s">
        <v>396</v>
      </c>
    </row>
    <row r="17">
      <c r="A17" s="4" t="s">
        <v>397</v>
      </c>
      <c r="B17" s="4" t="s">
        <v>82</v>
      </c>
      <c r="C17" s="4" t="s">
        <v>381</v>
      </c>
      <c r="D17" s="4" t="s">
        <v>373</v>
      </c>
      <c r="E17" s="4" t="s">
        <v>398</v>
      </c>
      <c r="F17" s="3" t="s">
        <v>399</v>
      </c>
    </row>
    <row r="18">
      <c r="A18" s="4" t="s">
        <v>400</v>
      </c>
      <c r="B18" s="4" t="s">
        <v>82</v>
      </c>
      <c r="C18" s="4" t="s">
        <v>381</v>
      </c>
      <c r="D18" s="4" t="s">
        <v>373</v>
      </c>
      <c r="E18" s="4" t="s">
        <v>401</v>
      </c>
      <c r="F18" s="3" t="s">
        <v>402</v>
      </c>
    </row>
    <row r="19">
      <c r="A19" s="4" t="s">
        <v>403</v>
      </c>
      <c r="B19" s="4" t="s">
        <v>82</v>
      </c>
      <c r="C19" s="4" t="s">
        <v>388</v>
      </c>
      <c r="D19" s="3" t="s">
        <v>373</v>
      </c>
      <c r="E19" s="4" t="s">
        <v>203</v>
      </c>
      <c r="F19" s="4" t="s">
        <v>404</v>
      </c>
    </row>
    <row r="20">
      <c r="A20" s="4" t="s">
        <v>405</v>
      </c>
      <c r="B20" s="4" t="s">
        <v>82</v>
      </c>
      <c r="C20" s="4" t="s">
        <v>388</v>
      </c>
      <c r="D20" s="3" t="s">
        <v>373</v>
      </c>
      <c r="E20" s="4" t="s">
        <v>406</v>
      </c>
      <c r="F20" s="4" t="s">
        <v>384</v>
      </c>
    </row>
    <row r="21">
      <c r="A21" s="37" t="s">
        <v>78</v>
      </c>
    </row>
    <row r="22">
      <c r="A22" s="4" t="s">
        <v>407</v>
      </c>
      <c r="B22" s="4" t="s">
        <v>78</v>
      </c>
      <c r="C22" s="4" t="s">
        <v>381</v>
      </c>
      <c r="D22" s="4" t="s">
        <v>408</v>
      </c>
      <c r="E22" s="4" t="s">
        <v>269</v>
      </c>
      <c r="F22" s="3" t="s">
        <v>409</v>
      </c>
    </row>
    <row r="23">
      <c r="A23" s="38" t="s">
        <v>163</v>
      </c>
      <c r="B23" s="4" t="s">
        <v>78</v>
      </c>
      <c r="C23" s="4" t="s">
        <v>381</v>
      </c>
      <c r="D23" s="3" t="s">
        <v>408</v>
      </c>
      <c r="E23" s="4" t="s">
        <v>410</v>
      </c>
      <c r="F23" s="3" t="s">
        <v>411</v>
      </c>
    </row>
    <row r="24">
      <c r="A24" s="4" t="s">
        <v>412</v>
      </c>
      <c r="B24" s="4" t="s">
        <v>78</v>
      </c>
      <c r="C24" s="4" t="s">
        <v>381</v>
      </c>
      <c r="D24" s="3" t="s">
        <v>408</v>
      </c>
      <c r="E24" s="4" t="s">
        <v>284</v>
      </c>
      <c r="F24" s="4" t="s">
        <v>413</v>
      </c>
    </row>
    <row r="25">
      <c r="A25" s="4" t="s">
        <v>414</v>
      </c>
      <c r="B25" s="4" t="s">
        <v>78</v>
      </c>
      <c r="C25" s="4" t="s">
        <v>381</v>
      </c>
      <c r="D25" s="3" t="s">
        <v>408</v>
      </c>
      <c r="E25" s="4" t="s">
        <v>284</v>
      </c>
      <c r="F25" s="4" t="s">
        <v>415</v>
      </c>
    </row>
    <row r="26">
      <c r="A26" s="4" t="s">
        <v>416</v>
      </c>
      <c r="B26" s="4" t="s">
        <v>78</v>
      </c>
      <c r="C26" s="4" t="s">
        <v>381</v>
      </c>
      <c r="D26" s="3" t="s">
        <v>408</v>
      </c>
      <c r="E26" s="4" t="s">
        <v>284</v>
      </c>
      <c r="F26" s="4" t="s">
        <v>417</v>
      </c>
    </row>
    <row r="27">
      <c r="A27" s="37" t="s">
        <v>85</v>
      </c>
    </row>
    <row r="28">
      <c r="A28" s="4" t="s">
        <v>418</v>
      </c>
      <c r="B28" s="4" t="s">
        <v>85</v>
      </c>
      <c r="C28" s="4" t="s">
        <v>381</v>
      </c>
      <c r="D28" s="4" t="s">
        <v>419</v>
      </c>
      <c r="E28" s="4" t="s">
        <v>303</v>
      </c>
      <c r="F28" s="3" t="s">
        <v>420</v>
      </c>
    </row>
    <row r="29">
      <c r="A29" s="4" t="s">
        <v>247</v>
      </c>
      <c r="B29" s="4" t="s">
        <v>85</v>
      </c>
      <c r="C29" s="4" t="s">
        <v>372</v>
      </c>
      <c r="D29" s="3" t="s">
        <v>421</v>
      </c>
      <c r="E29" s="4" t="s">
        <v>308</v>
      </c>
      <c r="F29" s="4" t="s">
        <v>422</v>
      </c>
    </row>
    <row r="30">
      <c r="A30" s="4" t="s">
        <v>423</v>
      </c>
      <c r="B30" s="4" t="s">
        <v>85</v>
      </c>
      <c r="C30" s="4" t="s">
        <v>388</v>
      </c>
      <c r="D30" s="3" t="s">
        <v>421</v>
      </c>
      <c r="E30" s="4" t="s">
        <v>318</v>
      </c>
      <c r="F30" s="4" t="s">
        <v>424</v>
      </c>
    </row>
    <row r="31">
      <c r="A31" s="4" t="s">
        <v>425</v>
      </c>
      <c r="B31" s="4" t="s">
        <v>85</v>
      </c>
      <c r="C31" s="4" t="s">
        <v>388</v>
      </c>
      <c r="D31" s="3" t="s">
        <v>421</v>
      </c>
      <c r="E31" s="4" t="s">
        <v>318</v>
      </c>
      <c r="F31" s="4" t="s">
        <v>426</v>
      </c>
    </row>
    <row r="32">
      <c r="A32" s="10"/>
      <c r="B32" s="10"/>
      <c r="C32" s="10"/>
      <c r="D32" s="10"/>
      <c r="E32" s="10"/>
      <c r="F32" s="10"/>
    </row>
    <row r="33">
      <c r="A33" s="10"/>
      <c r="B33" s="10"/>
      <c r="C33" s="10"/>
      <c r="D33" s="10"/>
      <c r="E33" s="10"/>
      <c r="F33" s="10"/>
    </row>
    <row r="34">
      <c r="A34" s="13" t="s">
        <v>427</v>
      </c>
      <c r="B34" s="13" t="s">
        <v>428</v>
      </c>
      <c r="C34" s="13" t="s">
        <v>429</v>
      </c>
      <c r="D34" s="10"/>
      <c r="E34" s="10"/>
      <c r="F34" s="10"/>
    </row>
    <row r="35">
      <c r="A35" s="39" t="s">
        <v>113</v>
      </c>
      <c r="D35" s="10"/>
      <c r="E35" s="10"/>
      <c r="F35" s="10"/>
    </row>
    <row r="36">
      <c r="A36" s="4" t="s">
        <v>430</v>
      </c>
      <c r="B36" s="4" t="s">
        <v>431</v>
      </c>
      <c r="C36" s="4" t="s">
        <v>432</v>
      </c>
      <c r="D36" s="10"/>
      <c r="E36" s="10"/>
      <c r="F36" s="10"/>
    </row>
    <row r="37">
      <c r="A37" s="4" t="s">
        <v>433</v>
      </c>
      <c r="B37" s="4" t="s">
        <v>434</v>
      </c>
      <c r="C37" s="4" t="s">
        <v>435</v>
      </c>
      <c r="D37" s="10"/>
      <c r="E37" s="10"/>
      <c r="F37" s="10"/>
    </row>
    <row r="38">
      <c r="A38" s="4" t="s">
        <v>436</v>
      </c>
      <c r="B38" s="4" t="s">
        <v>437</v>
      </c>
      <c r="C38" s="4" t="s">
        <v>438</v>
      </c>
      <c r="D38" s="10"/>
      <c r="E38" s="10"/>
      <c r="F38" s="10"/>
    </row>
    <row r="39">
      <c r="A39" s="4" t="s">
        <v>439</v>
      </c>
      <c r="B39" s="4" t="s">
        <v>440</v>
      </c>
      <c r="C39" s="4" t="s">
        <v>441</v>
      </c>
      <c r="D39" s="10"/>
      <c r="E39" s="10"/>
      <c r="F39" s="10"/>
    </row>
    <row r="40">
      <c r="A40" s="4" t="s">
        <v>442</v>
      </c>
      <c r="B40" s="4" t="s">
        <v>443</v>
      </c>
      <c r="C40" s="4" t="s">
        <v>444</v>
      </c>
      <c r="D40" s="10"/>
      <c r="E40" s="10"/>
      <c r="F40" s="10"/>
    </row>
    <row r="41">
      <c r="A41" s="4" t="s">
        <v>445</v>
      </c>
      <c r="B41" s="4" t="s">
        <v>446</v>
      </c>
      <c r="C41" s="4" t="s">
        <v>447</v>
      </c>
      <c r="D41" s="10"/>
      <c r="E41" s="10"/>
      <c r="F41" s="10"/>
    </row>
    <row r="42">
      <c r="A42" s="4" t="s">
        <v>448</v>
      </c>
      <c r="B42" s="4" t="s">
        <v>449</v>
      </c>
      <c r="C42" s="4" t="s">
        <v>450</v>
      </c>
      <c r="D42" s="10"/>
      <c r="E42" s="10"/>
      <c r="F42" s="10"/>
    </row>
    <row r="43">
      <c r="A43" s="39" t="s">
        <v>78</v>
      </c>
      <c r="D43" s="10"/>
      <c r="E43" s="10"/>
      <c r="F43" s="10"/>
    </row>
    <row r="44">
      <c r="A44" s="4" t="s">
        <v>451</v>
      </c>
      <c r="B44" s="4" t="s">
        <v>452</v>
      </c>
      <c r="C44" s="4" t="s">
        <v>453</v>
      </c>
      <c r="D44" s="10"/>
      <c r="E44" s="10"/>
      <c r="F44" s="10"/>
    </row>
    <row r="45">
      <c r="A45" s="4" t="s">
        <v>454</v>
      </c>
      <c r="B45" s="4" t="s">
        <v>455</v>
      </c>
      <c r="C45" s="4" t="s">
        <v>456</v>
      </c>
      <c r="D45" s="10"/>
      <c r="E45" s="10"/>
      <c r="F45" s="10"/>
    </row>
    <row r="46">
      <c r="A46" s="39" t="s">
        <v>85</v>
      </c>
      <c r="D46" s="10"/>
      <c r="E46" s="10"/>
      <c r="F46" s="10"/>
    </row>
    <row r="47">
      <c r="A47" s="4" t="s">
        <v>457</v>
      </c>
      <c r="B47" s="4" t="s">
        <v>458</v>
      </c>
      <c r="C47" s="4" t="s">
        <v>459</v>
      </c>
      <c r="D47" s="10"/>
      <c r="E47" s="10"/>
      <c r="F47" s="10"/>
    </row>
    <row r="48">
      <c r="A48" s="4" t="s">
        <v>460</v>
      </c>
      <c r="B48" s="4" t="s">
        <v>461</v>
      </c>
      <c r="C48" s="4" t="s">
        <v>462</v>
      </c>
      <c r="D48" s="10"/>
      <c r="E48" s="10"/>
      <c r="F48" s="10"/>
    </row>
    <row r="49">
      <c r="A49" s="4" t="s">
        <v>463</v>
      </c>
      <c r="B49" s="4" t="s">
        <v>464</v>
      </c>
      <c r="C49" s="4" t="s">
        <v>465</v>
      </c>
      <c r="D49" s="10"/>
      <c r="E49" s="10"/>
      <c r="F49" s="10"/>
    </row>
    <row r="50">
      <c r="A50" s="10"/>
      <c r="B50" s="10"/>
      <c r="C50" s="10"/>
      <c r="D50" s="10"/>
      <c r="E50" s="10"/>
      <c r="F50" s="10"/>
    </row>
    <row r="51">
      <c r="A51" s="10"/>
      <c r="B51" s="10"/>
      <c r="C51" s="10"/>
      <c r="D51" s="10"/>
      <c r="E51" s="10"/>
      <c r="F51" s="10"/>
    </row>
    <row r="52">
      <c r="A52" s="13" t="s">
        <v>466</v>
      </c>
      <c r="E52" s="10"/>
      <c r="F52" s="10"/>
    </row>
    <row r="53">
      <c r="A53" s="13" t="s">
        <v>427</v>
      </c>
      <c r="B53" s="13" t="s">
        <v>467</v>
      </c>
      <c r="C53" s="13" t="s">
        <v>468</v>
      </c>
      <c r="D53" s="13" t="s">
        <v>469</v>
      </c>
      <c r="E53" s="10"/>
      <c r="F53" s="10"/>
    </row>
    <row r="54">
      <c r="A54" s="39" t="s">
        <v>113</v>
      </c>
      <c r="E54" s="10"/>
      <c r="F54" s="10"/>
    </row>
    <row r="55">
      <c r="A55" s="4" t="s">
        <v>470</v>
      </c>
      <c r="B55" s="4" t="s">
        <v>471</v>
      </c>
      <c r="C55" s="4" t="s">
        <v>472</v>
      </c>
      <c r="D55" s="4" t="s">
        <v>473</v>
      </c>
      <c r="E55" s="10"/>
      <c r="F55" s="10"/>
    </row>
    <row r="56">
      <c r="A56" s="4" t="s">
        <v>474</v>
      </c>
      <c r="B56" s="4" t="s">
        <v>475</v>
      </c>
      <c r="C56" s="4" t="s">
        <v>476</v>
      </c>
      <c r="D56" s="4" t="s">
        <v>477</v>
      </c>
      <c r="E56" s="10"/>
      <c r="F56" s="10"/>
    </row>
    <row r="57">
      <c r="A57" s="4" t="s">
        <v>478</v>
      </c>
      <c r="B57" s="4" t="s">
        <v>158</v>
      </c>
      <c r="C57" s="4" t="s">
        <v>479</v>
      </c>
      <c r="D57" s="4" t="s">
        <v>480</v>
      </c>
      <c r="E57" s="10"/>
      <c r="F57" s="10"/>
    </row>
    <row r="58">
      <c r="A58" s="4" t="s">
        <v>481</v>
      </c>
      <c r="B58" s="4" t="s">
        <v>482</v>
      </c>
      <c r="C58" s="4" t="s">
        <v>483</v>
      </c>
      <c r="D58" s="4" t="s">
        <v>484</v>
      </c>
      <c r="E58" s="10"/>
      <c r="F58" s="10"/>
    </row>
    <row r="59">
      <c r="A59" s="4" t="s">
        <v>485</v>
      </c>
      <c r="B59" s="4" t="s">
        <v>486</v>
      </c>
      <c r="C59" s="4" t="s">
        <v>487</v>
      </c>
      <c r="D59" s="4" t="s">
        <v>488</v>
      </c>
      <c r="E59" s="10"/>
      <c r="F59" s="10"/>
    </row>
    <row r="60">
      <c r="A60" s="39" t="s">
        <v>78</v>
      </c>
      <c r="E60" s="10"/>
      <c r="F60" s="10"/>
    </row>
    <row r="61">
      <c r="A61" s="4" t="s">
        <v>489</v>
      </c>
      <c r="B61" s="4" t="s">
        <v>490</v>
      </c>
      <c r="C61" s="4" t="s">
        <v>491</v>
      </c>
      <c r="D61" s="4" t="s">
        <v>492</v>
      </c>
      <c r="E61" s="10"/>
      <c r="F61" s="10"/>
    </row>
    <row r="62">
      <c r="A62" s="4" t="s">
        <v>451</v>
      </c>
      <c r="B62" s="4" t="s">
        <v>493</v>
      </c>
      <c r="C62" s="4" t="s">
        <v>494</v>
      </c>
      <c r="D62" s="4" t="s">
        <v>495</v>
      </c>
      <c r="E62" s="10"/>
      <c r="F62" s="10"/>
    </row>
    <row r="63">
      <c r="A63" s="39" t="s">
        <v>85</v>
      </c>
      <c r="E63" s="10"/>
      <c r="F63" s="10"/>
    </row>
    <row r="64">
      <c r="A64" s="4" t="s">
        <v>496</v>
      </c>
      <c r="B64" s="4" t="s">
        <v>497</v>
      </c>
      <c r="C64" s="4" t="s">
        <v>498</v>
      </c>
      <c r="D64" s="4" t="s">
        <v>499</v>
      </c>
      <c r="E64" s="10"/>
      <c r="F64" s="10"/>
    </row>
    <row r="65">
      <c r="A65" s="4" t="s">
        <v>500</v>
      </c>
      <c r="B65" s="4" t="s">
        <v>501</v>
      </c>
      <c r="C65" s="4" t="s">
        <v>502</v>
      </c>
      <c r="D65" s="4" t="s">
        <v>503</v>
      </c>
      <c r="E65" s="10"/>
      <c r="F65" s="10"/>
    </row>
    <row r="66">
      <c r="A66" s="10"/>
      <c r="B66" s="10"/>
      <c r="C66" s="10"/>
      <c r="D66" s="10"/>
      <c r="E66" s="10"/>
      <c r="F66" s="10"/>
    </row>
    <row r="67">
      <c r="A67" s="10"/>
      <c r="B67" s="10"/>
      <c r="C67" s="10"/>
      <c r="D67" s="10"/>
      <c r="E67" s="10"/>
      <c r="F67" s="10"/>
    </row>
    <row r="68">
      <c r="A68" s="1" t="s">
        <v>504</v>
      </c>
      <c r="C68" s="10"/>
      <c r="D68" s="10"/>
      <c r="E68" s="10"/>
      <c r="F68" s="10"/>
    </row>
    <row r="69">
      <c r="A69" s="1" t="s">
        <v>505</v>
      </c>
      <c r="B69" s="1" t="s">
        <v>506</v>
      </c>
      <c r="C69" s="10"/>
      <c r="D69" s="10"/>
      <c r="E69" s="10"/>
      <c r="F69" s="10"/>
    </row>
    <row r="70">
      <c r="A70" s="40" t="s">
        <v>507</v>
      </c>
      <c r="B70" s="4" t="s">
        <v>508</v>
      </c>
      <c r="C70" s="10"/>
      <c r="D70" s="10"/>
      <c r="E70" s="10"/>
      <c r="F70" s="10"/>
    </row>
    <row r="71">
      <c r="A71" s="40" t="s">
        <v>509</v>
      </c>
      <c r="B71" s="4" t="s">
        <v>510</v>
      </c>
      <c r="C71" s="10"/>
      <c r="D71" s="10"/>
      <c r="E71" s="10"/>
      <c r="F71" s="10"/>
    </row>
    <row r="72">
      <c r="A72" s="40" t="s">
        <v>511</v>
      </c>
      <c r="B72" s="4" t="s">
        <v>512</v>
      </c>
      <c r="C72" s="10"/>
      <c r="D72" s="10"/>
      <c r="E72" s="10"/>
      <c r="F72" s="10"/>
    </row>
    <row r="73">
      <c r="A73" s="40" t="s">
        <v>513</v>
      </c>
      <c r="B73" s="4" t="s">
        <v>514</v>
      </c>
      <c r="C73" s="10"/>
      <c r="D73" s="10"/>
      <c r="E73" s="10"/>
      <c r="F73" s="10"/>
    </row>
    <row r="74">
      <c r="A74" s="40" t="s">
        <v>515</v>
      </c>
      <c r="B74" s="4" t="s">
        <v>516</v>
      </c>
      <c r="C74" s="10"/>
      <c r="D74" s="10"/>
      <c r="E74" s="10"/>
      <c r="F74" s="10"/>
    </row>
    <row r="75">
      <c r="A75" s="10"/>
      <c r="B75" s="10"/>
      <c r="C75" s="10"/>
      <c r="D75" s="10"/>
      <c r="E75" s="10"/>
      <c r="F75" s="10"/>
    </row>
    <row r="76">
      <c r="A76" s="10"/>
      <c r="B76" s="10"/>
      <c r="C76" s="10"/>
      <c r="D76" s="10"/>
      <c r="E76" s="10"/>
      <c r="F76" s="10"/>
    </row>
    <row r="77">
      <c r="A77" s="10"/>
      <c r="B77" s="10"/>
      <c r="C77" s="10"/>
      <c r="D77" s="10"/>
      <c r="E77" s="10"/>
      <c r="F77" s="10"/>
    </row>
    <row r="78">
      <c r="A78" s="10"/>
      <c r="B78" s="10"/>
      <c r="C78" s="10"/>
      <c r="D78" s="10"/>
      <c r="E78" s="10"/>
      <c r="F78" s="10"/>
    </row>
    <row r="79">
      <c r="A79" s="10"/>
      <c r="B79" s="10"/>
      <c r="C79" s="10"/>
      <c r="D79" s="10"/>
      <c r="E79" s="10"/>
      <c r="F79" s="10"/>
    </row>
    <row r="80">
      <c r="A80" s="10"/>
      <c r="B80" s="10"/>
      <c r="C80" s="10"/>
      <c r="D80" s="10"/>
      <c r="E80" s="10"/>
      <c r="F80" s="10"/>
    </row>
    <row r="81">
      <c r="A81" s="10"/>
      <c r="B81" s="10"/>
      <c r="C81" s="10"/>
      <c r="D81" s="10"/>
      <c r="E81" s="10"/>
      <c r="F81" s="10"/>
    </row>
    <row r="82">
      <c r="A82" s="10"/>
      <c r="B82" s="10"/>
      <c r="C82" s="10"/>
      <c r="D82" s="10"/>
      <c r="E82" s="10"/>
      <c r="F82" s="10"/>
    </row>
    <row r="83">
      <c r="A83" s="10"/>
      <c r="B83" s="10"/>
      <c r="C83" s="10"/>
      <c r="D83" s="10"/>
      <c r="E83" s="10"/>
      <c r="F83" s="10"/>
    </row>
    <row r="84">
      <c r="A84" s="10"/>
      <c r="B84" s="10"/>
      <c r="C84" s="10"/>
      <c r="D84" s="10"/>
      <c r="E84" s="10"/>
      <c r="F84" s="10"/>
    </row>
    <row r="85">
      <c r="A85" s="10"/>
      <c r="B85" s="10"/>
      <c r="C85" s="10"/>
      <c r="D85" s="10"/>
      <c r="E85" s="10"/>
      <c r="F85" s="10"/>
    </row>
    <row r="86">
      <c r="A86" s="10"/>
      <c r="B86" s="10"/>
      <c r="C86" s="10"/>
      <c r="D86" s="10"/>
      <c r="E86" s="10"/>
      <c r="F86" s="10"/>
    </row>
    <row r="87">
      <c r="A87" s="10"/>
      <c r="B87" s="10"/>
      <c r="C87" s="10"/>
      <c r="D87" s="10"/>
      <c r="E87" s="10"/>
      <c r="F87" s="10"/>
    </row>
    <row r="88">
      <c r="A88" s="10"/>
      <c r="B88" s="10"/>
      <c r="C88" s="10"/>
      <c r="D88" s="10"/>
      <c r="E88" s="10"/>
      <c r="F88" s="10"/>
    </row>
    <row r="89">
      <c r="A89" s="10"/>
      <c r="B89" s="10"/>
      <c r="C89" s="10"/>
      <c r="D89" s="10"/>
      <c r="E89" s="10"/>
      <c r="F89" s="10"/>
    </row>
    <row r="90">
      <c r="A90" s="10"/>
      <c r="B90" s="10"/>
      <c r="C90" s="10"/>
      <c r="D90" s="10"/>
      <c r="E90" s="10"/>
      <c r="F90" s="10"/>
    </row>
    <row r="91">
      <c r="A91" s="10"/>
      <c r="B91" s="10"/>
      <c r="C91" s="10"/>
      <c r="D91" s="10"/>
      <c r="E91" s="10"/>
      <c r="F91" s="10"/>
    </row>
    <row r="92">
      <c r="A92" s="10"/>
      <c r="B92" s="10"/>
      <c r="C92" s="10"/>
      <c r="D92" s="10"/>
      <c r="E92" s="10"/>
      <c r="F92" s="10"/>
    </row>
    <row r="93">
      <c r="A93" s="10"/>
      <c r="B93" s="10"/>
      <c r="C93" s="10"/>
      <c r="D93" s="10"/>
      <c r="E93" s="10"/>
      <c r="F93" s="10"/>
    </row>
    <row r="94">
      <c r="A94" s="10"/>
      <c r="B94" s="10"/>
      <c r="C94" s="10"/>
      <c r="D94" s="10"/>
      <c r="E94" s="10"/>
      <c r="F94" s="10"/>
    </row>
    <row r="95">
      <c r="A95" s="10"/>
      <c r="B95" s="10"/>
      <c r="C95" s="10"/>
      <c r="D95" s="10"/>
      <c r="E95" s="10"/>
      <c r="F95" s="10"/>
    </row>
    <row r="96">
      <c r="A96" s="10"/>
      <c r="B96" s="10"/>
      <c r="C96" s="10"/>
      <c r="D96" s="10"/>
      <c r="E96" s="10"/>
      <c r="F96" s="10"/>
    </row>
    <row r="97">
      <c r="A97" s="10"/>
      <c r="B97" s="10"/>
      <c r="C97" s="10"/>
      <c r="D97" s="10"/>
      <c r="E97" s="10"/>
      <c r="F97" s="10"/>
    </row>
    <row r="98">
      <c r="A98" s="10"/>
      <c r="B98" s="10"/>
      <c r="C98" s="10"/>
      <c r="D98" s="10"/>
      <c r="E98" s="10"/>
      <c r="F98" s="10"/>
    </row>
    <row r="99">
      <c r="A99" s="10"/>
      <c r="B99" s="10"/>
      <c r="C99" s="10"/>
      <c r="D99" s="10"/>
      <c r="E99" s="10"/>
      <c r="F99" s="10"/>
    </row>
    <row r="100">
      <c r="A100" s="10"/>
      <c r="B100" s="10"/>
      <c r="C100" s="10"/>
      <c r="D100" s="10"/>
      <c r="E100" s="10"/>
      <c r="F100" s="10"/>
    </row>
    <row r="101">
      <c r="A101" s="10"/>
      <c r="B101" s="10"/>
      <c r="C101" s="10"/>
      <c r="D101" s="10"/>
      <c r="E101" s="10"/>
      <c r="F101" s="10"/>
    </row>
    <row r="102">
      <c r="A102" s="10"/>
      <c r="B102" s="10"/>
      <c r="C102" s="10"/>
      <c r="D102" s="10"/>
      <c r="E102" s="10"/>
      <c r="F102" s="10"/>
    </row>
    <row r="103">
      <c r="A103" s="10"/>
      <c r="B103" s="10"/>
      <c r="C103" s="10"/>
      <c r="D103" s="10"/>
      <c r="E103" s="10"/>
      <c r="F103" s="10"/>
    </row>
    <row r="104">
      <c r="A104" s="10"/>
      <c r="B104" s="10"/>
      <c r="C104" s="10"/>
      <c r="D104" s="10"/>
      <c r="E104" s="10"/>
      <c r="F104" s="10"/>
    </row>
    <row r="105">
      <c r="A105" s="10"/>
      <c r="B105" s="10"/>
      <c r="C105" s="10"/>
      <c r="D105" s="10"/>
      <c r="E105" s="10"/>
      <c r="F105" s="10"/>
    </row>
    <row r="106">
      <c r="A106" s="10"/>
      <c r="B106" s="10"/>
      <c r="C106" s="10"/>
      <c r="D106" s="10"/>
      <c r="E106" s="10"/>
      <c r="F106" s="10"/>
    </row>
    <row r="107">
      <c r="A107" s="10"/>
      <c r="B107" s="10"/>
      <c r="C107" s="10"/>
      <c r="D107" s="10"/>
      <c r="E107" s="10"/>
      <c r="F107" s="10"/>
    </row>
    <row r="108">
      <c r="A108" s="10"/>
      <c r="B108" s="10"/>
      <c r="C108" s="10"/>
      <c r="D108" s="10"/>
      <c r="E108" s="10"/>
      <c r="F108" s="10"/>
    </row>
    <row r="109">
      <c r="A109" s="10"/>
      <c r="B109" s="10"/>
      <c r="C109" s="10"/>
      <c r="D109" s="10"/>
      <c r="E109" s="10"/>
      <c r="F109" s="10"/>
    </row>
    <row r="110">
      <c r="A110" s="10"/>
      <c r="B110" s="10"/>
      <c r="C110" s="10"/>
      <c r="D110" s="10"/>
      <c r="E110" s="10"/>
      <c r="F110" s="10"/>
    </row>
    <row r="111">
      <c r="A111" s="10"/>
      <c r="B111" s="10"/>
      <c r="C111" s="10"/>
      <c r="D111" s="10"/>
      <c r="E111" s="10"/>
      <c r="F111" s="10"/>
    </row>
    <row r="112">
      <c r="A112" s="10"/>
      <c r="B112" s="10"/>
      <c r="C112" s="10"/>
      <c r="D112" s="10"/>
      <c r="E112" s="10"/>
      <c r="F112" s="10"/>
    </row>
    <row r="113">
      <c r="A113" s="10"/>
      <c r="B113" s="10"/>
      <c r="C113" s="10"/>
      <c r="D113" s="10"/>
      <c r="E113" s="10"/>
      <c r="F113" s="10"/>
    </row>
    <row r="114">
      <c r="A114" s="10"/>
      <c r="B114" s="10"/>
      <c r="C114" s="10"/>
      <c r="D114" s="10"/>
      <c r="E114" s="10"/>
      <c r="F114" s="10"/>
    </row>
    <row r="115">
      <c r="A115" s="10"/>
      <c r="B115" s="10"/>
      <c r="C115" s="10"/>
      <c r="D115" s="10"/>
      <c r="E115" s="10"/>
      <c r="F115" s="10"/>
    </row>
    <row r="116">
      <c r="A116" s="10"/>
      <c r="B116" s="10"/>
      <c r="C116" s="10"/>
      <c r="D116" s="10"/>
      <c r="E116" s="10"/>
      <c r="F116" s="10"/>
    </row>
    <row r="117">
      <c r="A117" s="10"/>
      <c r="B117" s="10"/>
      <c r="C117" s="10"/>
      <c r="D117" s="10"/>
      <c r="E117" s="10"/>
      <c r="F117" s="10"/>
    </row>
    <row r="118">
      <c r="A118" s="10"/>
      <c r="B118" s="10"/>
      <c r="C118" s="10"/>
      <c r="D118" s="10"/>
      <c r="E118" s="10"/>
      <c r="F118" s="10"/>
    </row>
    <row r="119">
      <c r="A119" s="10"/>
      <c r="B119" s="10"/>
      <c r="C119" s="10"/>
      <c r="D119" s="10"/>
      <c r="E119" s="10"/>
      <c r="F119" s="10"/>
    </row>
    <row r="120">
      <c r="A120" s="10"/>
      <c r="B120" s="10"/>
      <c r="C120" s="10"/>
      <c r="D120" s="10"/>
      <c r="E120" s="10"/>
      <c r="F120" s="10"/>
    </row>
    <row r="121">
      <c r="A121" s="10"/>
      <c r="B121" s="10"/>
      <c r="C121" s="10"/>
      <c r="D121" s="10"/>
      <c r="E121" s="10"/>
      <c r="F121" s="10"/>
    </row>
    <row r="122">
      <c r="A122" s="10"/>
      <c r="B122" s="10"/>
      <c r="C122" s="10"/>
      <c r="D122" s="10"/>
      <c r="E122" s="10"/>
      <c r="F122" s="10"/>
    </row>
    <row r="123">
      <c r="A123" s="10"/>
      <c r="B123" s="10"/>
      <c r="C123" s="10"/>
      <c r="D123" s="10"/>
      <c r="E123" s="10"/>
      <c r="F123" s="10"/>
    </row>
    <row r="124">
      <c r="A124" s="10"/>
      <c r="B124" s="10"/>
      <c r="C124" s="10"/>
      <c r="D124" s="10"/>
      <c r="E124" s="10"/>
      <c r="F124" s="10"/>
    </row>
    <row r="125">
      <c r="A125" s="10"/>
      <c r="B125" s="10"/>
      <c r="C125" s="10"/>
      <c r="D125" s="10"/>
      <c r="E125" s="10"/>
      <c r="F125" s="10"/>
    </row>
    <row r="126">
      <c r="A126" s="10"/>
      <c r="B126" s="10"/>
      <c r="C126" s="10"/>
      <c r="D126" s="10"/>
      <c r="E126" s="10"/>
      <c r="F126" s="10"/>
    </row>
    <row r="127">
      <c r="A127" s="10"/>
      <c r="B127" s="10"/>
      <c r="C127" s="10"/>
      <c r="D127" s="10"/>
      <c r="E127" s="10"/>
      <c r="F127" s="10"/>
    </row>
    <row r="128">
      <c r="A128" s="10"/>
      <c r="B128" s="10"/>
      <c r="C128" s="10"/>
      <c r="D128" s="10"/>
      <c r="E128" s="10"/>
      <c r="F128" s="10"/>
    </row>
    <row r="129">
      <c r="A129" s="10"/>
      <c r="B129" s="10"/>
      <c r="C129" s="10"/>
      <c r="D129" s="10"/>
      <c r="E129" s="10"/>
      <c r="F129" s="10"/>
    </row>
    <row r="130">
      <c r="A130" s="10"/>
      <c r="B130" s="10"/>
      <c r="C130" s="10"/>
      <c r="D130" s="10"/>
      <c r="E130" s="10"/>
      <c r="F130" s="10"/>
    </row>
    <row r="131">
      <c r="A131" s="10"/>
      <c r="B131" s="10"/>
      <c r="C131" s="10"/>
      <c r="D131" s="10"/>
      <c r="E131" s="10"/>
      <c r="F131" s="10"/>
    </row>
    <row r="132">
      <c r="A132" s="10"/>
      <c r="B132" s="10"/>
      <c r="C132" s="10"/>
      <c r="D132" s="10"/>
      <c r="E132" s="10"/>
      <c r="F132" s="10"/>
    </row>
    <row r="133">
      <c r="A133" s="10"/>
      <c r="B133" s="10"/>
      <c r="C133" s="10"/>
      <c r="D133" s="10"/>
      <c r="E133" s="10"/>
      <c r="F133" s="10"/>
    </row>
    <row r="134">
      <c r="A134" s="10"/>
      <c r="B134" s="10"/>
      <c r="C134" s="10"/>
      <c r="D134" s="10"/>
      <c r="E134" s="10"/>
      <c r="F134" s="10"/>
    </row>
    <row r="135">
      <c r="A135" s="10"/>
      <c r="B135" s="10"/>
      <c r="C135" s="10"/>
      <c r="D135" s="10"/>
      <c r="E135" s="10"/>
      <c r="F135" s="10"/>
    </row>
    <row r="136">
      <c r="A136" s="10"/>
      <c r="B136" s="10"/>
      <c r="C136" s="10"/>
      <c r="D136" s="10"/>
      <c r="E136" s="10"/>
      <c r="F136" s="10"/>
    </row>
    <row r="137">
      <c r="A137" s="10"/>
      <c r="B137" s="10"/>
      <c r="C137" s="10"/>
      <c r="D137" s="10"/>
      <c r="E137" s="10"/>
      <c r="F137" s="10"/>
    </row>
    <row r="138">
      <c r="A138" s="10"/>
      <c r="B138" s="10"/>
      <c r="C138" s="10"/>
      <c r="D138" s="10"/>
      <c r="E138" s="10"/>
      <c r="F138" s="10"/>
    </row>
    <row r="139">
      <c r="A139" s="10"/>
      <c r="B139" s="10"/>
      <c r="C139" s="10"/>
      <c r="D139" s="10"/>
      <c r="E139" s="10"/>
      <c r="F139" s="10"/>
    </row>
    <row r="140">
      <c r="A140" s="10"/>
      <c r="B140" s="10"/>
      <c r="C140" s="10"/>
      <c r="D140" s="10"/>
      <c r="E140" s="10"/>
      <c r="F140" s="10"/>
    </row>
    <row r="141">
      <c r="A141" s="10"/>
      <c r="B141" s="10"/>
      <c r="C141" s="10"/>
      <c r="D141" s="10"/>
      <c r="E141" s="10"/>
      <c r="F141" s="10"/>
    </row>
    <row r="142">
      <c r="A142" s="10"/>
      <c r="B142" s="10"/>
      <c r="C142" s="10"/>
      <c r="D142" s="10"/>
      <c r="E142" s="10"/>
      <c r="F142" s="10"/>
    </row>
    <row r="143">
      <c r="A143" s="10"/>
      <c r="B143" s="10"/>
      <c r="C143" s="10"/>
      <c r="D143" s="10"/>
      <c r="E143" s="10"/>
      <c r="F143" s="10"/>
    </row>
    <row r="144">
      <c r="A144" s="10"/>
      <c r="B144" s="10"/>
      <c r="C144" s="10"/>
      <c r="D144" s="10"/>
      <c r="E144" s="10"/>
      <c r="F144" s="10"/>
    </row>
    <row r="145">
      <c r="A145" s="10"/>
      <c r="B145" s="10"/>
      <c r="C145" s="10"/>
      <c r="D145" s="10"/>
      <c r="E145" s="10"/>
      <c r="F145" s="10"/>
    </row>
    <row r="146">
      <c r="A146" s="10"/>
      <c r="B146" s="10"/>
      <c r="C146" s="10"/>
      <c r="D146" s="10"/>
      <c r="E146" s="10"/>
      <c r="F146" s="10"/>
    </row>
    <row r="147">
      <c r="A147" s="10"/>
      <c r="B147" s="10"/>
      <c r="C147" s="10"/>
      <c r="D147" s="10"/>
      <c r="E147" s="10"/>
      <c r="F147" s="10"/>
    </row>
    <row r="148">
      <c r="A148" s="10"/>
      <c r="B148" s="10"/>
      <c r="C148" s="10"/>
      <c r="D148" s="10"/>
      <c r="E148" s="10"/>
      <c r="F148" s="10"/>
    </row>
    <row r="149">
      <c r="A149" s="10"/>
      <c r="B149" s="10"/>
      <c r="C149" s="10"/>
      <c r="D149" s="10"/>
      <c r="E149" s="10"/>
      <c r="F149" s="10"/>
    </row>
    <row r="150">
      <c r="A150" s="10"/>
      <c r="B150" s="10"/>
      <c r="C150" s="10"/>
      <c r="D150" s="10"/>
      <c r="E150" s="10"/>
      <c r="F150" s="10"/>
    </row>
    <row r="151">
      <c r="A151" s="10"/>
      <c r="B151" s="10"/>
      <c r="C151" s="10"/>
      <c r="D151" s="10"/>
      <c r="E151" s="10"/>
      <c r="F151" s="10"/>
    </row>
    <row r="152">
      <c r="A152" s="10"/>
      <c r="B152" s="10"/>
      <c r="C152" s="10"/>
      <c r="D152" s="10"/>
      <c r="E152" s="10"/>
      <c r="F152" s="10"/>
    </row>
    <row r="153">
      <c r="A153" s="10"/>
      <c r="B153" s="10"/>
      <c r="C153" s="10"/>
      <c r="D153" s="10"/>
      <c r="E153" s="10"/>
      <c r="F153" s="10"/>
    </row>
    <row r="154">
      <c r="A154" s="10"/>
      <c r="B154" s="10"/>
      <c r="C154" s="10"/>
      <c r="D154" s="10"/>
      <c r="E154" s="10"/>
      <c r="F154" s="10"/>
    </row>
    <row r="155">
      <c r="A155" s="10"/>
      <c r="B155" s="10"/>
      <c r="C155" s="10"/>
      <c r="D155" s="10"/>
      <c r="E155" s="10"/>
      <c r="F155" s="10"/>
    </row>
    <row r="156">
      <c r="A156" s="10"/>
      <c r="B156" s="10"/>
      <c r="C156" s="10"/>
      <c r="D156" s="10"/>
      <c r="E156" s="10"/>
      <c r="F156" s="10"/>
    </row>
    <row r="157">
      <c r="A157" s="10"/>
      <c r="B157" s="10"/>
      <c r="C157" s="10"/>
      <c r="D157" s="10"/>
      <c r="E157" s="10"/>
      <c r="F157" s="10"/>
    </row>
    <row r="158">
      <c r="A158" s="10"/>
      <c r="B158" s="10"/>
      <c r="C158" s="10"/>
      <c r="D158" s="10"/>
      <c r="E158" s="10"/>
      <c r="F158" s="10"/>
    </row>
    <row r="159">
      <c r="A159" s="10"/>
      <c r="B159" s="10"/>
      <c r="C159" s="10"/>
      <c r="D159" s="10"/>
      <c r="E159" s="10"/>
      <c r="F159" s="10"/>
    </row>
    <row r="160">
      <c r="A160" s="10"/>
      <c r="B160" s="10"/>
      <c r="C160" s="10"/>
      <c r="D160" s="10"/>
      <c r="E160" s="10"/>
      <c r="F160" s="10"/>
    </row>
    <row r="161">
      <c r="A161" s="10"/>
      <c r="B161" s="10"/>
      <c r="C161" s="10"/>
      <c r="D161" s="10"/>
      <c r="E161" s="10"/>
      <c r="F161" s="10"/>
    </row>
    <row r="162">
      <c r="A162" s="10"/>
      <c r="B162" s="10"/>
      <c r="C162" s="10"/>
      <c r="D162" s="10"/>
      <c r="E162" s="10"/>
      <c r="F162" s="10"/>
    </row>
    <row r="163">
      <c r="A163" s="10"/>
      <c r="B163" s="10"/>
      <c r="C163" s="10"/>
      <c r="D163" s="10"/>
      <c r="E163" s="10"/>
      <c r="F163" s="10"/>
    </row>
    <row r="164">
      <c r="A164" s="10"/>
      <c r="B164" s="10"/>
      <c r="C164" s="10"/>
      <c r="D164" s="10"/>
      <c r="E164" s="10"/>
      <c r="F164" s="10"/>
    </row>
    <row r="165">
      <c r="A165" s="10"/>
      <c r="B165" s="10"/>
      <c r="C165" s="10"/>
      <c r="D165" s="10"/>
      <c r="E165" s="10"/>
      <c r="F165" s="10"/>
    </row>
    <row r="166">
      <c r="A166" s="10"/>
      <c r="B166" s="10"/>
      <c r="C166" s="10"/>
      <c r="D166" s="10"/>
      <c r="E166" s="10"/>
      <c r="F166" s="10"/>
    </row>
    <row r="167">
      <c r="A167" s="10"/>
      <c r="B167" s="10"/>
      <c r="C167" s="10"/>
      <c r="D167" s="10"/>
      <c r="E167" s="10"/>
      <c r="F167" s="10"/>
    </row>
    <row r="168">
      <c r="A168" s="10"/>
      <c r="B168" s="10"/>
      <c r="C168" s="10"/>
      <c r="D168" s="10"/>
      <c r="E168" s="10"/>
      <c r="F168" s="10"/>
    </row>
    <row r="169">
      <c r="A169" s="10"/>
      <c r="B169" s="10"/>
      <c r="C169" s="10"/>
      <c r="D169" s="10"/>
      <c r="E169" s="10"/>
      <c r="F169" s="10"/>
    </row>
    <row r="170">
      <c r="A170" s="10"/>
      <c r="B170" s="10"/>
      <c r="C170" s="10"/>
      <c r="D170" s="10"/>
      <c r="E170" s="10"/>
      <c r="F170" s="10"/>
    </row>
    <row r="171">
      <c r="A171" s="10"/>
      <c r="B171" s="10"/>
      <c r="C171" s="10"/>
      <c r="D171" s="10"/>
      <c r="E171" s="10"/>
      <c r="F171" s="10"/>
    </row>
    <row r="172">
      <c r="A172" s="10"/>
      <c r="B172" s="10"/>
      <c r="C172" s="10"/>
      <c r="D172" s="10"/>
      <c r="E172" s="10"/>
      <c r="F172" s="10"/>
    </row>
    <row r="173">
      <c r="A173" s="10"/>
      <c r="B173" s="10"/>
      <c r="C173" s="10"/>
      <c r="D173" s="10"/>
      <c r="E173" s="10"/>
      <c r="F173" s="10"/>
    </row>
    <row r="174">
      <c r="A174" s="10"/>
      <c r="B174" s="10"/>
      <c r="C174" s="10"/>
      <c r="D174" s="10"/>
      <c r="E174" s="10"/>
      <c r="F174" s="10"/>
    </row>
    <row r="175">
      <c r="A175" s="10"/>
      <c r="B175" s="10"/>
      <c r="C175" s="10"/>
      <c r="D175" s="10"/>
      <c r="E175" s="10"/>
      <c r="F175" s="10"/>
    </row>
    <row r="176">
      <c r="A176" s="10"/>
      <c r="B176" s="10"/>
      <c r="C176" s="10"/>
      <c r="D176" s="10"/>
      <c r="E176" s="10"/>
      <c r="F176" s="10"/>
    </row>
    <row r="177">
      <c r="A177" s="10"/>
      <c r="B177" s="10"/>
      <c r="C177" s="10"/>
      <c r="D177" s="10"/>
      <c r="E177" s="10"/>
      <c r="F177" s="10"/>
    </row>
    <row r="178">
      <c r="A178" s="10"/>
      <c r="B178" s="10"/>
      <c r="C178" s="10"/>
      <c r="D178" s="10"/>
      <c r="E178" s="10"/>
      <c r="F178" s="10"/>
    </row>
    <row r="179">
      <c r="A179" s="10"/>
      <c r="B179" s="10"/>
      <c r="C179" s="10"/>
      <c r="D179" s="10"/>
      <c r="E179" s="10"/>
      <c r="F179" s="10"/>
    </row>
    <row r="180">
      <c r="A180" s="10"/>
      <c r="B180" s="10"/>
      <c r="C180" s="10"/>
      <c r="D180" s="10"/>
      <c r="E180" s="10"/>
      <c r="F180" s="10"/>
    </row>
    <row r="181">
      <c r="A181" s="10"/>
      <c r="B181" s="10"/>
      <c r="C181" s="10"/>
      <c r="D181" s="10"/>
      <c r="E181" s="10"/>
      <c r="F181" s="10"/>
    </row>
    <row r="182">
      <c r="A182" s="10"/>
      <c r="B182" s="10"/>
      <c r="C182" s="10"/>
      <c r="D182" s="10"/>
      <c r="E182" s="10"/>
      <c r="F182" s="10"/>
    </row>
    <row r="183">
      <c r="A183" s="10"/>
      <c r="B183" s="10"/>
      <c r="C183" s="10"/>
      <c r="D183" s="10"/>
      <c r="E183" s="10"/>
      <c r="F183" s="10"/>
    </row>
    <row r="184">
      <c r="A184" s="10"/>
      <c r="B184" s="10"/>
      <c r="C184" s="10"/>
      <c r="D184" s="10"/>
      <c r="E184" s="10"/>
      <c r="F184" s="10"/>
    </row>
    <row r="185">
      <c r="A185" s="10"/>
      <c r="B185" s="10"/>
      <c r="C185" s="10"/>
      <c r="D185" s="10"/>
      <c r="E185" s="10"/>
      <c r="F185" s="10"/>
    </row>
    <row r="186">
      <c r="A186" s="10"/>
      <c r="B186" s="10"/>
      <c r="C186" s="10"/>
      <c r="D186" s="10"/>
      <c r="E186" s="10"/>
      <c r="F186" s="10"/>
    </row>
    <row r="187">
      <c r="A187" s="10"/>
      <c r="B187" s="10"/>
      <c r="C187" s="10"/>
      <c r="D187" s="10"/>
      <c r="E187" s="10"/>
      <c r="F187" s="10"/>
    </row>
    <row r="188">
      <c r="A188" s="10"/>
      <c r="B188" s="10"/>
      <c r="C188" s="10"/>
      <c r="D188" s="10"/>
      <c r="E188" s="10"/>
      <c r="F188" s="10"/>
    </row>
    <row r="189">
      <c r="A189" s="10"/>
      <c r="B189" s="10"/>
      <c r="C189" s="10"/>
      <c r="D189" s="10"/>
      <c r="E189" s="10"/>
      <c r="F189" s="10"/>
    </row>
    <row r="190">
      <c r="A190" s="10"/>
      <c r="B190" s="10"/>
      <c r="C190" s="10"/>
      <c r="D190" s="10"/>
      <c r="E190" s="10"/>
      <c r="F190" s="10"/>
    </row>
    <row r="191">
      <c r="A191" s="10"/>
      <c r="B191" s="10"/>
      <c r="C191" s="10"/>
      <c r="D191" s="10"/>
      <c r="E191" s="10"/>
      <c r="F191" s="10"/>
    </row>
    <row r="192">
      <c r="A192" s="10"/>
      <c r="B192" s="10"/>
      <c r="C192" s="10"/>
      <c r="D192" s="10"/>
      <c r="E192" s="10"/>
      <c r="F192" s="10"/>
    </row>
    <row r="193">
      <c r="A193" s="10"/>
      <c r="B193" s="10"/>
      <c r="C193" s="10"/>
      <c r="D193" s="10"/>
      <c r="E193" s="10"/>
      <c r="F193" s="10"/>
    </row>
    <row r="194">
      <c r="A194" s="10"/>
      <c r="B194" s="10"/>
      <c r="C194" s="10"/>
      <c r="D194" s="10"/>
      <c r="E194" s="10"/>
      <c r="F194" s="10"/>
    </row>
    <row r="195">
      <c r="A195" s="10"/>
      <c r="B195" s="10"/>
      <c r="C195" s="10"/>
      <c r="D195" s="10"/>
      <c r="E195" s="10"/>
      <c r="F195" s="10"/>
    </row>
    <row r="196">
      <c r="A196" s="10"/>
      <c r="B196" s="10"/>
      <c r="C196" s="10"/>
      <c r="D196" s="10"/>
      <c r="E196" s="10"/>
      <c r="F196" s="10"/>
    </row>
    <row r="197">
      <c r="A197" s="10"/>
      <c r="B197" s="10"/>
      <c r="C197" s="10"/>
      <c r="D197" s="10"/>
      <c r="E197" s="10"/>
      <c r="F197" s="10"/>
    </row>
    <row r="198">
      <c r="A198" s="10"/>
      <c r="B198" s="10"/>
      <c r="C198" s="10"/>
      <c r="D198" s="10"/>
      <c r="E198" s="10"/>
      <c r="F198" s="10"/>
    </row>
    <row r="199">
      <c r="A199" s="10"/>
      <c r="B199" s="10"/>
      <c r="C199" s="10"/>
      <c r="D199" s="10"/>
      <c r="E199" s="10"/>
      <c r="F199" s="10"/>
    </row>
    <row r="200">
      <c r="A200" s="10"/>
      <c r="B200" s="10"/>
      <c r="C200" s="10"/>
      <c r="D200" s="10"/>
      <c r="E200" s="10"/>
      <c r="F200" s="10"/>
    </row>
    <row r="201">
      <c r="A201" s="10"/>
      <c r="B201" s="10"/>
      <c r="C201" s="10"/>
      <c r="D201" s="10"/>
      <c r="E201" s="10"/>
      <c r="F201" s="10"/>
    </row>
    <row r="202">
      <c r="A202" s="10"/>
      <c r="B202" s="10"/>
      <c r="C202" s="10"/>
      <c r="D202" s="10"/>
      <c r="E202" s="10"/>
      <c r="F202" s="10"/>
    </row>
    <row r="203">
      <c r="A203" s="10"/>
      <c r="B203" s="10"/>
      <c r="C203" s="10"/>
      <c r="D203" s="10"/>
      <c r="E203" s="10"/>
      <c r="F203" s="10"/>
    </row>
    <row r="204">
      <c r="A204" s="10"/>
      <c r="B204" s="10"/>
      <c r="C204" s="10"/>
      <c r="D204" s="10"/>
      <c r="E204" s="10"/>
      <c r="F204" s="10"/>
    </row>
    <row r="205">
      <c r="A205" s="10"/>
      <c r="B205" s="10"/>
      <c r="C205" s="10"/>
      <c r="D205" s="10"/>
      <c r="E205" s="10"/>
      <c r="F205" s="10"/>
    </row>
    <row r="206">
      <c r="A206" s="10"/>
      <c r="B206" s="10"/>
      <c r="C206" s="10"/>
      <c r="D206" s="10"/>
      <c r="E206" s="10"/>
      <c r="F206" s="10"/>
    </row>
    <row r="207">
      <c r="A207" s="10"/>
      <c r="B207" s="10"/>
      <c r="C207" s="10"/>
      <c r="D207" s="10"/>
      <c r="E207" s="10"/>
      <c r="F207" s="10"/>
    </row>
    <row r="208">
      <c r="A208" s="10"/>
      <c r="B208" s="10"/>
      <c r="C208" s="10"/>
      <c r="D208" s="10"/>
      <c r="E208" s="10"/>
      <c r="F208" s="10"/>
    </row>
    <row r="209">
      <c r="A209" s="10"/>
      <c r="B209" s="10"/>
      <c r="C209" s="10"/>
      <c r="D209" s="10"/>
      <c r="E209" s="10"/>
      <c r="F209" s="10"/>
    </row>
    <row r="210">
      <c r="A210" s="10"/>
      <c r="B210" s="10"/>
      <c r="C210" s="10"/>
      <c r="D210" s="10"/>
      <c r="E210" s="10"/>
      <c r="F210" s="10"/>
    </row>
    <row r="211">
      <c r="A211" s="10"/>
      <c r="B211" s="10"/>
      <c r="C211" s="10"/>
      <c r="D211" s="10"/>
      <c r="E211" s="10"/>
      <c r="F211" s="10"/>
    </row>
    <row r="212">
      <c r="A212" s="10"/>
      <c r="B212" s="10"/>
      <c r="C212" s="10"/>
      <c r="D212" s="10"/>
      <c r="E212" s="10"/>
      <c r="F212" s="10"/>
    </row>
    <row r="213">
      <c r="A213" s="10"/>
      <c r="B213" s="10"/>
      <c r="C213" s="10"/>
      <c r="D213" s="10"/>
      <c r="E213" s="10"/>
      <c r="F213" s="10"/>
    </row>
    <row r="214">
      <c r="A214" s="10"/>
      <c r="B214" s="10"/>
      <c r="C214" s="10"/>
      <c r="D214" s="10"/>
      <c r="E214" s="10"/>
      <c r="F214" s="10"/>
    </row>
    <row r="215">
      <c r="A215" s="10"/>
      <c r="B215" s="10"/>
      <c r="C215" s="10"/>
      <c r="D215" s="10"/>
      <c r="E215" s="10"/>
      <c r="F215" s="10"/>
    </row>
    <row r="216">
      <c r="A216" s="10"/>
      <c r="B216" s="10"/>
      <c r="C216" s="10"/>
      <c r="D216" s="10"/>
      <c r="E216" s="10"/>
      <c r="F216" s="10"/>
    </row>
    <row r="217">
      <c r="A217" s="10"/>
      <c r="B217" s="10"/>
      <c r="C217" s="10"/>
      <c r="D217" s="10"/>
      <c r="E217" s="10"/>
      <c r="F217" s="10"/>
    </row>
    <row r="218">
      <c r="A218" s="10"/>
      <c r="B218" s="10"/>
      <c r="C218" s="10"/>
      <c r="D218" s="10"/>
      <c r="E218" s="10"/>
      <c r="F218" s="10"/>
    </row>
    <row r="219">
      <c r="A219" s="10"/>
      <c r="B219" s="10"/>
      <c r="C219" s="10"/>
      <c r="D219" s="10"/>
      <c r="E219" s="10"/>
      <c r="F219" s="10"/>
    </row>
    <row r="220">
      <c r="A220" s="10"/>
      <c r="B220" s="10"/>
      <c r="C220" s="10"/>
      <c r="D220" s="10"/>
      <c r="E220" s="10"/>
      <c r="F220" s="10"/>
    </row>
    <row r="221">
      <c r="A221" s="10"/>
      <c r="B221" s="10"/>
      <c r="C221" s="10"/>
      <c r="D221" s="10"/>
      <c r="E221" s="10"/>
      <c r="F221" s="10"/>
    </row>
    <row r="222">
      <c r="A222" s="10"/>
      <c r="B222" s="10"/>
      <c r="C222" s="10"/>
      <c r="D222" s="10"/>
      <c r="E222" s="10"/>
      <c r="F222" s="10"/>
    </row>
    <row r="223">
      <c r="A223" s="10"/>
      <c r="B223" s="10"/>
      <c r="C223" s="10"/>
      <c r="D223" s="10"/>
      <c r="E223" s="10"/>
      <c r="F223" s="10"/>
    </row>
    <row r="224">
      <c r="A224" s="10"/>
      <c r="B224" s="10"/>
      <c r="C224" s="10"/>
      <c r="D224" s="10"/>
      <c r="E224" s="10"/>
      <c r="F224" s="10"/>
    </row>
    <row r="225">
      <c r="A225" s="10"/>
      <c r="B225" s="10"/>
      <c r="C225" s="10"/>
      <c r="D225" s="10"/>
      <c r="E225" s="10"/>
      <c r="F225" s="10"/>
    </row>
    <row r="226">
      <c r="A226" s="10"/>
      <c r="B226" s="10"/>
      <c r="C226" s="10"/>
      <c r="D226" s="10"/>
      <c r="E226" s="10"/>
      <c r="F226" s="10"/>
    </row>
    <row r="227">
      <c r="A227" s="10"/>
      <c r="B227" s="10"/>
      <c r="C227" s="10"/>
      <c r="D227" s="10"/>
      <c r="E227" s="10"/>
      <c r="F227" s="10"/>
    </row>
    <row r="228">
      <c r="A228" s="10"/>
      <c r="B228" s="10"/>
      <c r="C228" s="10"/>
      <c r="D228" s="10"/>
      <c r="E228" s="10"/>
      <c r="F228" s="10"/>
    </row>
    <row r="229">
      <c r="A229" s="10"/>
      <c r="B229" s="10"/>
      <c r="C229" s="10"/>
      <c r="D229" s="10"/>
      <c r="E229" s="10"/>
      <c r="F229" s="10"/>
    </row>
    <row r="230">
      <c r="A230" s="10"/>
      <c r="B230" s="10"/>
      <c r="C230" s="10"/>
      <c r="D230" s="10"/>
      <c r="E230" s="10"/>
      <c r="F230" s="10"/>
    </row>
    <row r="231">
      <c r="A231" s="10"/>
      <c r="B231" s="10"/>
      <c r="C231" s="10"/>
      <c r="D231" s="10"/>
      <c r="E231" s="10"/>
      <c r="F231" s="10"/>
    </row>
    <row r="232">
      <c r="A232" s="10"/>
      <c r="B232" s="10"/>
      <c r="C232" s="10"/>
      <c r="D232" s="10"/>
      <c r="E232" s="10"/>
      <c r="F232" s="10"/>
    </row>
    <row r="233">
      <c r="A233" s="10"/>
      <c r="B233" s="10"/>
      <c r="C233" s="10"/>
      <c r="D233" s="10"/>
      <c r="E233" s="10"/>
      <c r="F233" s="10"/>
    </row>
    <row r="234">
      <c r="A234" s="10"/>
      <c r="B234" s="10"/>
      <c r="C234" s="10"/>
      <c r="D234" s="10"/>
      <c r="E234" s="10"/>
      <c r="F234" s="10"/>
    </row>
    <row r="235">
      <c r="A235" s="10"/>
      <c r="B235" s="10"/>
      <c r="C235" s="10"/>
      <c r="D235" s="10"/>
      <c r="E235" s="10"/>
      <c r="F235" s="10"/>
    </row>
    <row r="236">
      <c r="A236" s="10"/>
      <c r="B236" s="10"/>
      <c r="C236" s="10"/>
      <c r="D236" s="10"/>
      <c r="E236" s="10"/>
      <c r="F236" s="10"/>
    </row>
    <row r="237">
      <c r="A237" s="10"/>
      <c r="B237" s="10"/>
      <c r="C237" s="10"/>
      <c r="D237" s="10"/>
      <c r="E237" s="10"/>
      <c r="F237" s="10"/>
    </row>
    <row r="238">
      <c r="A238" s="10"/>
      <c r="B238" s="10"/>
      <c r="C238" s="10"/>
      <c r="D238" s="10"/>
      <c r="E238" s="10"/>
      <c r="F238" s="10"/>
    </row>
    <row r="239">
      <c r="A239" s="10"/>
      <c r="B239" s="10"/>
      <c r="C239" s="10"/>
      <c r="D239" s="10"/>
      <c r="E239" s="10"/>
      <c r="F239" s="10"/>
    </row>
    <row r="240">
      <c r="A240" s="10"/>
      <c r="B240" s="10"/>
      <c r="C240" s="10"/>
      <c r="D240" s="10"/>
      <c r="E240" s="10"/>
      <c r="F240" s="10"/>
    </row>
    <row r="241">
      <c r="A241" s="10"/>
      <c r="B241" s="10"/>
      <c r="C241" s="10"/>
      <c r="D241" s="10"/>
      <c r="E241" s="10"/>
      <c r="F241" s="10"/>
    </row>
    <row r="242">
      <c r="A242" s="10"/>
      <c r="B242" s="10"/>
      <c r="C242" s="10"/>
      <c r="D242" s="10"/>
      <c r="E242" s="10"/>
      <c r="F242" s="10"/>
    </row>
    <row r="243">
      <c r="A243" s="10"/>
      <c r="B243" s="10"/>
      <c r="C243" s="10"/>
      <c r="D243" s="10"/>
      <c r="E243" s="10"/>
      <c r="F243" s="10"/>
    </row>
    <row r="244">
      <c r="A244" s="10"/>
      <c r="B244" s="10"/>
      <c r="C244" s="10"/>
      <c r="D244" s="10"/>
      <c r="E244" s="10"/>
      <c r="F244" s="10"/>
    </row>
    <row r="245">
      <c r="A245" s="10"/>
      <c r="B245" s="10"/>
      <c r="C245" s="10"/>
      <c r="D245" s="10"/>
      <c r="E245" s="10"/>
      <c r="F245" s="10"/>
    </row>
    <row r="246">
      <c r="A246" s="10"/>
      <c r="B246" s="10"/>
      <c r="C246" s="10"/>
      <c r="D246" s="10"/>
      <c r="E246" s="10"/>
      <c r="F246" s="10"/>
    </row>
    <row r="247">
      <c r="A247" s="10"/>
      <c r="B247" s="10"/>
      <c r="C247" s="10"/>
      <c r="D247" s="10"/>
      <c r="E247" s="10"/>
      <c r="F247" s="10"/>
    </row>
    <row r="248">
      <c r="A248" s="10"/>
      <c r="B248" s="10"/>
      <c r="C248" s="10"/>
      <c r="D248" s="10"/>
      <c r="E248" s="10"/>
      <c r="F248" s="10"/>
    </row>
    <row r="249">
      <c r="A249" s="10"/>
      <c r="B249" s="10"/>
      <c r="C249" s="10"/>
      <c r="D249" s="10"/>
      <c r="E249" s="10"/>
      <c r="F249" s="10"/>
    </row>
    <row r="250">
      <c r="A250" s="10"/>
      <c r="B250" s="10"/>
      <c r="C250" s="10"/>
      <c r="D250" s="10"/>
      <c r="E250" s="10"/>
      <c r="F250" s="10"/>
    </row>
    <row r="251">
      <c r="A251" s="10"/>
      <c r="B251" s="10"/>
      <c r="C251" s="10"/>
      <c r="D251" s="10"/>
      <c r="E251" s="10"/>
      <c r="F251" s="10"/>
    </row>
    <row r="252">
      <c r="A252" s="10"/>
      <c r="B252" s="10"/>
      <c r="C252" s="10"/>
      <c r="D252" s="10"/>
      <c r="E252" s="10"/>
      <c r="F252" s="10"/>
    </row>
    <row r="253">
      <c r="A253" s="10"/>
      <c r="B253" s="10"/>
      <c r="C253" s="10"/>
      <c r="D253" s="10"/>
      <c r="E253" s="10"/>
      <c r="F253" s="10"/>
    </row>
    <row r="254">
      <c r="A254" s="10"/>
      <c r="B254" s="10"/>
      <c r="C254" s="10"/>
      <c r="D254" s="10"/>
      <c r="E254" s="10"/>
      <c r="F254" s="10"/>
    </row>
    <row r="255">
      <c r="A255" s="10"/>
      <c r="B255" s="10"/>
      <c r="C255" s="10"/>
      <c r="D255" s="10"/>
      <c r="E255" s="10"/>
      <c r="F255" s="10"/>
    </row>
    <row r="256">
      <c r="A256" s="10"/>
      <c r="B256" s="10"/>
      <c r="C256" s="10"/>
      <c r="D256" s="10"/>
      <c r="E256" s="10"/>
      <c r="F256" s="10"/>
    </row>
    <row r="257">
      <c r="A257" s="10"/>
      <c r="B257" s="10"/>
      <c r="C257" s="10"/>
      <c r="D257" s="10"/>
      <c r="E257" s="10"/>
      <c r="F257" s="10"/>
    </row>
    <row r="258">
      <c r="A258" s="10"/>
      <c r="B258" s="10"/>
      <c r="C258" s="10"/>
      <c r="D258" s="10"/>
      <c r="E258" s="10"/>
      <c r="F258" s="10"/>
    </row>
    <row r="259">
      <c r="A259" s="10"/>
      <c r="B259" s="10"/>
      <c r="C259" s="10"/>
      <c r="D259" s="10"/>
      <c r="E259" s="10"/>
      <c r="F259" s="10"/>
    </row>
    <row r="260">
      <c r="A260" s="10"/>
      <c r="B260" s="10"/>
      <c r="C260" s="10"/>
      <c r="D260" s="10"/>
      <c r="E260" s="10"/>
      <c r="F260" s="10"/>
    </row>
    <row r="261">
      <c r="A261" s="10"/>
      <c r="B261" s="10"/>
      <c r="C261" s="10"/>
      <c r="D261" s="10"/>
      <c r="E261" s="10"/>
      <c r="F261" s="10"/>
    </row>
    <row r="262">
      <c r="A262" s="10"/>
      <c r="B262" s="10"/>
      <c r="C262" s="10"/>
      <c r="D262" s="10"/>
      <c r="E262" s="10"/>
      <c r="F262" s="10"/>
    </row>
    <row r="263">
      <c r="A263" s="10"/>
      <c r="B263" s="10"/>
      <c r="C263" s="10"/>
      <c r="D263" s="10"/>
      <c r="E263" s="10"/>
      <c r="F263" s="10"/>
    </row>
    <row r="264">
      <c r="A264" s="10"/>
      <c r="B264" s="10"/>
      <c r="C264" s="10"/>
      <c r="D264" s="10"/>
      <c r="E264" s="10"/>
      <c r="F264" s="10"/>
    </row>
    <row r="265">
      <c r="A265" s="10"/>
      <c r="B265" s="10"/>
      <c r="C265" s="10"/>
      <c r="D265" s="10"/>
      <c r="E265" s="10"/>
      <c r="F265" s="10"/>
    </row>
    <row r="266">
      <c r="A266" s="10"/>
      <c r="B266" s="10"/>
      <c r="C266" s="10"/>
      <c r="D266" s="10"/>
      <c r="E266" s="10"/>
      <c r="F266" s="10"/>
    </row>
    <row r="267">
      <c r="A267" s="10"/>
      <c r="B267" s="10"/>
      <c r="C267" s="10"/>
      <c r="D267" s="10"/>
      <c r="E267" s="10"/>
      <c r="F267" s="10"/>
    </row>
    <row r="268">
      <c r="A268" s="10"/>
      <c r="B268" s="10"/>
      <c r="C268" s="10"/>
      <c r="D268" s="10"/>
      <c r="E268" s="10"/>
      <c r="F268" s="10"/>
    </row>
    <row r="269">
      <c r="A269" s="10"/>
      <c r="B269" s="10"/>
      <c r="C269" s="10"/>
      <c r="D269" s="10"/>
      <c r="E269" s="10"/>
      <c r="F269" s="10"/>
    </row>
    <row r="270">
      <c r="A270" s="10"/>
      <c r="B270" s="10"/>
      <c r="C270" s="10"/>
      <c r="D270" s="10"/>
      <c r="E270" s="10"/>
      <c r="F270" s="10"/>
    </row>
    <row r="271">
      <c r="A271" s="10"/>
      <c r="B271" s="10"/>
      <c r="C271" s="10"/>
      <c r="D271" s="10"/>
      <c r="E271" s="10"/>
      <c r="F271" s="10"/>
    </row>
    <row r="272">
      <c r="A272" s="10"/>
      <c r="B272" s="10"/>
      <c r="C272" s="10"/>
      <c r="D272" s="10"/>
      <c r="E272" s="10"/>
      <c r="F272" s="10"/>
    </row>
    <row r="273">
      <c r="A273" s="10"/>
      <c r="B273" s="10"/>
      <c r="C273" s="10"/>
      <c r="D273" s="10"/>
      <c r="E273" s="10"/>
      <c r="F273" s="10"/>
    </row>
    <row r="274">
      <c r="A274" s="10"/>
      <c r="B274" s="10"/>
      <c r="C274" s="10"/>
      <c r="D274" s="10"/>
      <c r="E274" s="10"/>
      <c r="F274" s="10"/>
    </row>
    <row r="275">
      <c r="A275" s="10"/>
      <c r="B275" s="10"/>
      <c r="C275" s="10"/>
      <c r="D275" s="10"/>
      <c r="E275" s="10"/>
      <c r="F275" s="10"/>
    </row>
    <row r="276">
      <c r="A276" s="10"/>
      <c r="B276" s="10"/>
      <c r="C276" s="10"/>
      <c r="D276" s="10"/>
      <c r="E276" s="10"/>
      <c r="F276" s="10"/>
    </row>
    <row r="277">
      <c r="A277" s="10"/>
      <c r="B277" s="10"/>
      <c r="C277" s="10"/>
      <c r="D277" s="10"/>
      <c r="E277" s="10"/>
      <c r="F277" s="10"/>
    </row>
    <row r="278">
      <c r="A278" s="10"/>
      <c r="B278" s="10"/>
      <c r="C278" s="10"/>
      <c r="D278" s="10"/>
      <c r="E278" s="10"/>
      <c r="F278" s="10"/>
    </row>
    <row r="279">
      <c r="A279" s="10"/>
      <c r="B279" s="10"/>
      <c r="C279" s="10"/>
      <c r="D279" s="10"/>
      <c r="E279" s="10"/>
      <c r="F279" s="10"/>
    </row>
    <row r="280">
      <c r="A280" s="10"/>
      <c r="B280" s="10"/>
      <c r="C280" s="10"/>
      <c r="D280" s="10"/>
      <c r="E280" s="10"/>
      <c r="F280" s="10"/>
    </row>
    <row r="281">
      <c r="A281" s="10"/>
      <c r="B281" s="10"/>
      <c r="C281" s="10"/>
      <c r="D281" s="10"/>
      <c r="E281" s="10"/>
      <c r="F281" s="10"/>
    </row>
    <row r="282">
      <c r="A282" s="10"/>
      <c r="B282" s="10"/>
      <c r="C282" s="10"/>
      <c r="D282" s="10"/>
      <c r="E282" s="10"/>
      <c r="F282" s="10"/>
    </row>
    <row r="283">
      <c r="A283" s="10"/>
      <c r="B283" s="10"/>
      <c r="C283" s="10"/>
      <c r="D283" s="10"/>
      <c r="E283" s="10"/>
      <c r="F283" s="10"/>
    </row>
    <row r="284">
      <c r="A284" s="10"/>
      <c r="B284" s="10"/>
      <c r="C284" s="10"/>
      <c r="D284" s="10"/>
      <c r="E284" s="10"/>
      <c r="F284" s="10"/>
    </row>
    <row r="285">
      <c r="A285" s="10"/>
      <c r="B285" s="10"/>
      <c r="C285" s="10"/>
      <c r="D285" s="10"/>
      <c r="E285" s="10"/>
      <c r="F285" s="10"/>
    </row>
    <row r="286">
      <c r="A286" s="10"/>
      <c r="B286" s="10"/>
      <c r="C286" s="10"/>
      <c r="D286" s="10"/>
      <c r="E286" s="10"/>
      <c r="F286" s="10"/>
    </row>
    <row r="287">
      <c r="A287" s="10"/>
      <c r="B287" s="10"/>
      <c r="C287" s="10"/>
      <c r="D287" s="10"/>
      <c r="E287" s="10"/>
      <c r="F287" s="10"/>
    </row>
    <row r="288">
      <c r="A288" s="10"/>
      <c r="B288" s="10"/>
      <c r="C288" s="10"/>
      <c r="D288" s="10"/>
      <c r="E288" s="10"/>
      <c r="F288" s="10"/>
    </row>
    <row r="289">
      <c r="A289" s="10"/>
      <c r="B289" s="10"/>
      <c r="C289" s="10"/>
      <c r="D289" s="10"/>
      <c r="E289" s="10"/>
      <c r="F289" s="10"/>
    </row>
    <row r="290">
      <c r="A290" s="10"/>
      <c r="B290" s="10"/>
      <c r="C290" s="10"/>
      <c r="D290" s="10"/>
      <c r="E290" s="10"/>
      <c r="F290" s="10"/>
    </row>
    <row r="291">
      <c r="A291" s="10"/>
      <c r="B291" s="10"/>
      <c r="C291" s="10"/>
      <c r="D291" s="10"/>
      <c r="E291" s="10"/>
      <c r="F291" s="10"/>
    </row>
    <row r="292">
      <c r="A292" s="10"/>
      <c r="B292" s="10"/>
      <c r="C292" s="10"/>
      <c r="D292" s="10"/>
      <c r="E292" s="10"/>
      <c r="F292" s="10"/>
    </row>
    <row r="293">
      <c r="A293" s="10"/>
      <c r="B293" s="10"/>
      <c r="C293" s="10"/>
      <c r="D293" s="10"/>
      <c r="E293" s="10"/>
      <c r="F293" s="10"/>
    </row>
    <row r="294">
      <c r="A294" s="10"/>
      <c r="B294" s="10"/>
      <c r="C294" s="10"/>
      <c r="D294" s="10"/>
      <c r="E294" s="10"/>
      <c r="F294" s="10"/>
    </row>
    <row r="295">
      <c r="A295" s="10"/>
      <c r="B295" s="10"/>
      <c r="C295" s="10"/>
      <c r="D295" s="10"/>
      <c r="E295" s="10"/>
      <c r="F295" s="10"/>
    </row>
    <row r="296">
      <c r="A296" s="10"/>
      <c r="B296" s="10"/>
      <c r="C296" s="10"/>
      <c r="D296" s="10"/>
      <c r="E296" s="10"/>
      <c r="F296" s="10"/>
    </row>
    <row r="297">
      <c r="A297" s="10"/>
      <c r="B297" s="10"/>
      <c r="C297" s="10"/>
      <c r="D297" s="10"/>
      <c r="E297" s="10"/>
      <c r="F297" s="10"/>
    </row>
    <row r="298">
      <c r="A298" s="10"/>
      <c r="B298" s="10"/>
      <c r="C298" s="10"/>
      <c r="D298" s="10"/>
      <c r="E298" s="10"/>
      <c r="F298" s="10"/>
    </row>
    <row r="299">
      <c r="A299" s="10"/>
      <c r="B299" s="10"/>
      <c r="C299" s="10"/>
      <c r="D299" s="10"/>
      <c r="E299" s="10"/>
      <c r="F299" s="10"/>
    </row>
    <row r="300">
      <c r="A300" s="10"/>
      <c r="B300" s="10"/>
      <c r="C300" s="10"/>
      <c r="D300" s="10"/>
      <c r="E300" s="10"/>
      <c r="F300" s="10"/>
    </row>
    <row r="301">
      <c r="A301" s="10"/>
      <c r="B301" s="10"/>
      <c r="C301" s="10"/>
      <c r="D301" s="10"/>
      <c r="E301" s="10"/>
      <c r="F301" s="10"/>
    </row>
    <row r="302">
      <c r="A302" s="10"/>
      <c r="B302" s="10"/>
      <c r="C302" s="10"/>
      <c r="D302" s="10"/>
      <c r="E302" s="10"/>
      <c r="F302" s="10"/>
    </row>
    <row r="303">
      <c r="A303" s="10"/>
      <c r="B303" s="10"/>
      <c r="C303" s="10"/>
      <c r="D303" s="10"/>
      <c r="E303" s="10"/>
      <c r="F303" s="10"/>
    </row>
    <row r="304">
      <c r="A304" s="10"/>
      <c r="B304" s="10"/>
      <c r="C304" s="10"/>
      <c r="D304" s="10"/>
      <c r="E304" s="10"/>
      <c r="F304" s="10"/>
    </row>
    <row r="305">
      <c r="A305" s="10"/>
      <c r="B305" s="10"/>
      <c r="C305" s="10"/>
      <c r="D305" s="10"/>
      <c r="E305" s="10"/>
      <c r="F305" s="10"/>
    </row>
    <row r="306">
      <c r="A306" s="10"/>
      <c r="B306" s="10"/>
      <c r="C306" s="10"/>
      <c r="D306" s="10"/>
      <c r="E306" s="10"/>
      <c r="F306" s="10"/>
    </row>
    <row r="307">
      <c r="A307" s="10"/>
      <c r="B307" s="10"/>
      <c r="C307" s="10"/>
      <c r="D307" s="10"/>
      <c r="E307" s="10"/>
      <c r="F307" s="10"/>
    </row>
    <row r="308">
      <c r="A308" s="10"/>
      <c r="B308" s="10"/>
      <c r="C308" s="10"/>
      <c r="D308" s="10"/>
      <c r="E308" s="10"/>
      <c r="F308" s="10"/>
    </row>
    <row r="309">
      <c r="A309" s="10"/>
      <c r="B309" s="10"/>
      <c r="C309" s="10"/>
      <c r="D309" s="10"/>
      <c r="E309" s="10"/>
      <c r="F309" s="10"/>
    </row>
    <row r="310">
      <c r="A310" s="10"/>
      <c r="B310" s="10"/>
      <c r="C310" s="10"/>
      <c r="D310" s="10"/>
      <c r="E310" s="10"/>
      <c r="F310" s="10"/>
    </row>
    <row r="311">
      <c r="A311" s="10"/>
      <c r="B311" s="10"/>
      <c r="C311" s="10"/>
      <c r="D311" s="10"/>
      <c r="E311" s="10"/>
      <c r="F311" s="10"/>
    </row>
    <row r="312">
      <c r="A312" s="10"/>
      <c r="B312" s="10"/>
      <c r="C312" s="10"/>
      <c r="D312" s="10"/>
      <c r="E312" s="10"/>
      <c r="F312" s="10"/>
    </row>
    <row r="313">
      <c r="A313" s="10"/>
      <c r="B313" s="10"/>
      <c r="C313" s="10"/>
      <c r="D313" s="10"/>
      <c r="E313" s="10"/>
      <c r="F313" s="10"/>
    </row>
    <row r="314">
      <c r="A314" s="10"/>
      <c r="B314" s="10"/>
      <c r="C314" s="10"/>
      <c r="D314" s="10"/>
      <c r="E314" s="10"/>
      <c r="F314" s="10"/>
    </row>
    <row r="315">
      <c r="A315" s="10"/>
      <c r="B315" s="10"/>
      <c r="C315" s="10"/>
      <c r="D315" s="10"/>
      <c r="E315" s="10"/>
      <c r="F315" s="10"/>
    </row>
    <row r="316">
      <c r="A316" s="10"/>
      <c r="B316" s="10"/>
      <c r="C316" s="10"/>
      <c r="D316" s="10"/>
      <c r="E316" s="10"/>
      <c r="F316" s="10"/>
    </row>
    <row r="317">
      <c r="A317" s="10"/>
      <c r="B317" s="10"/>
      <c r="C317" s="10"/>
      <c r="D317" s="10"/>
      <c r="E317" s="10"/>
      <c r="F317" s="10"/>
    </row>
    <row r="318">
      <c r="A318" s="10"/>
      <c r="B318" s="10"/>
      <c r="C318" s="10"/>
      <c r="D318" s="10"/>
      <c r="E318" s="10"/>
      <c r="F318" s="10"/>
    </row>
    <row r="319">
      <c r="A319" s="10"/>
      <c r="B319" s="10"/>
      <c r="C319" s="10"/>
      <c r="D319" s="10"/>
      <c r="E319" s="10"/>
      <c r="F319" s="10"/>
    </row>
    <row r="320">
      <c r="A320" s="10"/>
      <c r="B320" s="10"/>
      <c r="C320" s="10"/>
      <c r="D320" s="10"/>
      <c r="E320" s="10"/>
      <c r="F320" s="10"/>
    </row>
    <row r="321">
      <c r="A321" s="10"/>
      <c r="B321" s="10"/>
      <c r="C321" s="10"/>
      <c r="D321" s="10"/>
      <c r="E321" s="10"/>
      <c r="F321" s="10"/>
    </row>
    <row r="322">
      <c r="A322" s="10"/>
      <c r="B322" s="10"/>
      <c r="C322" s="10"/>
      <c r="D322" s="10"/>
      <c r="E322" s="10"/>
      <c r="F322" s="10"/>
    </row>
    <row r="323">
      <c r="A323" s="10"/>
      <c r="B323" s="10"/>
      <c r="C323" s="10"/>
      <c r="D323" s="10"/>
      <c r="E323" s="10"/>
      <c r="F323" s="10"/>
    </row>
    <row r="324">
      <c r="A324" s="10"/>
      <c r="B324" s="10"/>
      <c r="C324" s="10"/>
      <c r="D324" s="10"/>
      <c r="E324" s="10"/>
      <c r="F324" s="10"/>
    </row>
    <row r="325">
      <c r="A325" s="10"/>
      <c r="B325" s="10"/>
      <c r="C325" s="10"/>
      <c r="D325" s="10"/>
      <c r="E325" s="10"/>
      <c r="F325" s="10"/>
    </row>
    <row r="326">
      <c r="A326" s="10"/>
      <c r="B326" s="10"/>
      <c r="C326" s="10"/>
      <c r="D326" s="10"/>
      <c r="E326" s="10"/>
      <c r="F326" s="10"/>
    </row>
    <row r="327">
      <c r="A327" s="10"/>
      <c r="B327" s="10"/>
      <c r="C327" s="10"/>
      <c r="D327" s="10"/>
      <c r="E327" s="10"/>
      <c r="F327" s="10"/>
    </row>
    <row r="328">
      <c r="A328" s="10"/>
      <c r="B328" s="10"/>
      <c r="C328" s="10"/>
      <c r="D328" s="10"/>
      <c r="E328" s="10"/>
      <c r="F328" s="10"/>
    </row>
    <row r="329">
      <c r="A329" s="10"/>
      <c r="B329" s="10"/>
      <c r="C329" s="10"/>
      <c r="D329" s="10"/>
      <c r="E329" s="10"/>
      <c r="F329" s="10"/>
    </row>
    <row r="330">
      <c r="A330" s="10"/>
      <c r="B330" s="10"/>
      <c r="C330" s="10"/>
      <c r="D330" s="10"/>
      <c r="E330" s="10"/>
      <c r="F330" s="10"/>
    </row>
    <row r="331">
      <c r="A331" s="10"/>
      <c r="B331" s="10"/>
      <c r="C331" s="10"/>
      <c r="D331" s="10"/>
      <c r="E331" s="10"/>
      <c r="F331" s="10"/>
    </row>
    <row r="332">
      <c r="A332" s="10"/>
      <c r="B332" s="10"/>
      <c r="C332" s="10"/>
      <c r="D332" s="10"/>
      <c r="E332" s="10"/>
      <c r="F332" s="10"/>
    </row>
    <row r="333">
      <c r="A333" s="10"/>
      <c r="B333" s="10"/>
      <c r="C333" s="10"/>
      <c r="D333" s="10"/>
      <c r="E333" s="10"/>
      <c r="F333" s="10"/>
    </row>
    <row r="334">
      <c r="A334" s="10"/>
      <c r="B334" s="10"/>
      <c r="C334" s="10"/>
      <c r="D334" s="10"/>
      <c r="E334" s="10"/>
      <c r="F334" s="10"/>
    </row>
    <row r="335">
      <c r="A335" s="10"/>
      <c r="B335" s="10"/>
      <c r="C335" s="10"/>
      <c r="D335" s="10"/>
      <c r="E335" s="10"/>
      <c r="F335" s="10"/>
    </row>
    <row r="336">
      <c r="A336" s="10"/>
      <c r="B336" s="10"/>
      <c r="C336" s="10"/>
      <c r="D336" s="10"/>
      <c r="E336" s="10"/>
      <c r="F336" s="10"/>
    </row>
    <row r="337">
      <c r="A337" s="10"/>
      <c r="B337" s="10"/>
      <c r="C337" s="10"/>
      <c r="D337" s="10"/>
      <c r="E337" s="10"/>
      <c r="F337" s="10"/>
    </row>
    <row r="338">
      <c r="A338" s="10"/>
      <c r="B338" s="10"/>
      <c r="C338" s="10"/>
      <c r="D338" s="10"/>
      <c r="E338" s="10"/>
      <c r="F338" s="10"/>
    </row>
    <row r="339">
      <c r="A339" s="10"/>
      <c r="B339" s="10"/>
      <c r="C339" s="10"/>
      <c r="D339" s="10"/>
      <c r="E339" s="10"/>
      <c r="F339" s="10"/>
    </row>
    <row r="340">
      <c r="A340" s="10"/>
      <c r="B340" s="10"/>
      <c r="C340" s="10"/>
      <c r="D340" s="10"/>
      <c r="E340" s="10"/>
      <c r="F340" s="10"/>
    </row>
    <row r="341">
      <c r="A341" s="10"/>
      <c r="B341" s="10"/>
      <c r="C341" s="10"/>
      <c r="D341" s="10"/>
      <c r="E341" s="10"/>
      <c r="F341" s="10"/>
    </row>
    <row r="342">
      <c r="A342" s="10"/>
      <c r="B342" s="10"/>
      <c r="C342" s="10"/>
      <c r="D342" s="10"/>
      <c r="E342" s="10"/>
      <c r="F342" s="10"/>
    </row>
    <row r="343">
      <c r="A343" s="10"/>
      <c r="B343" s="10"/>
      <c r="C343" s="10"/>
      <c r="D343" s="10"/>
      <c r="E343" s="10"/>
      <c r="F343" s="10"/>
    </row>
    <row r="344">
      <c r="A344" s="10"/>
      <c r="B344" s="10"/>
      <c r="C344" s="10"/>
      <c r="D344" s="10"/>
      <c r="E344" s="10"/>
      <c r="F344" s="10"/>
    </row>
    <row r="345">
      <c r="A345" s="10"/>
      <c r="B345" s="10"/>
      <c r="C345" s="10"/>
      <c r="D345" s="10"/>
      <c r="E345" s="10"/>
      <c r="F345" s="10"/>
    </row>
    <row r="346">
      <c r="A346" s="10"/>
      <c r="B346" s="10"/>
      <c r="C346" s="10"/>
      <c r="D346" s="10"/>
      <c r="E346" s="10"/>
      <c r="F346" s="10"/>
    </row>
    <row r="347">
      <c r="A347" s="10"/>
      <c r="B347" s="10"/>
      <c r="C347" s="10"/>
      <c r="D347" s="10"/>
      <c r="E347" s="10"/>
      <c r="F347" s="10"/>
    </row>
    <row r="348">
      <c r="A348" s="10"/>
      <c r="B348" s="10"/>
      <c r="C348" s="10"/>
      <c r="D348" s="10"/>
      <c r="E348" s="10"/>
      <c r="F348" s="10"/>
    </row>
    <row r="349">
      <c r="A349" s="10"/>
      <c r="B349" s="10"/>
      <c r="C349" s="10"/>
      <c r="D349" s="10"/>
      <c r="E349" s="10"/>
      <c r="F349" s="10"/>
    </row>
    <row r="350">
      <c r="A350" s="10"/>
      <c r="B350" s="10"/>
      <c r="C350" s="10"/>
      <c r="D350" s="10"/>
      <c r="E350" s="10"/>
      <c r="F350" s="10"/>
    </row>
    <row r="351">
      <c r="A351" s="10"/>
      <c r="B351" s="10"/>
      <c r="C351" s="10"/>
      <c r="D351" s="10"/>
      <c r="E351" s="10"/>
      <c r="F351" s="10"/>
    </row>
    <row r="352">
      <c r="A352" s="10"/>
      <c r="B352" s="10"/>
      <c r="C352" s="10"/>
      <c r="D352" s="10"/>
      <c r="E352" s="10"/>
      <c r="F352" s="10"/>
    </row>
    <row r="353">
      <c r="A353" s="10"/>
      <c r="B353" s="10"/>
      <c r="C353" s="10"/>
      <c r="D353" s="10"/>
      <c r="E353" s="10"/>
      <c r="F353" s="10"/>
    </row>
    <row r="354">
      <c r="A354" s="10"/>
      <c r="B354" s="10"/>
      <c r="C354" s="10"/>
      <c r="D354" s="10"/>
      <c r="E354" s="10"/>
      <c r="F354" s="10"/>
    </row>
    <row r="355">
      <c r="A355" s="10"/>
      <c r="B355" s="10"/>
      <c r="C355" s="10"/>
      <c r="D355" s="10"/>
      <c r="E355" s="10"/>
      <c r="F355" s="10"/>
    </row>
    <row r="356">
      <c r="A356" s="10"/>
      <c r="B356" s="10"/>
      <c r="C356" s="10"/>
      <c r="D356" s="10"/>
      <c r="E356" s="10"/>
      <c r="F356" s="10"/>
    </row>
    <row r="357">
      <c r="A357" s="10"/>
      <c r="B357" s="10"/>
      <c r="C357" s="10"/>
      <c r="D357" s="10"/>
      <c r="E357" s="10"/>
      <c r="F357" s="10"/>
    </row>
    <row r="358">
      <c r="A358" s="10"/>
      <c r="B358" s="10"/>
      <c r="C358" s="10"/>
      <c r="D358" s="10"/>
      <c r="E358" s="10"/>
      <c r="F358" s="10"/>
    </row>
    <row r="359">
      <c r="A359" s="10"/>
      <c r="B359" s="10"/>
      <c r="C359" s="10"/>
      <c r="D359" s="10"/>
      <c r="E359" s="10"/>
      <c r="F359" s="10"/>
    </row>
    <row r="360">
      <c r="A360" s="10"/>
      <c r="B360" s="10"/>
      <c r="C360" s="10"/>
      <c r="D360" s="10"/>
      <c r="E360" s="10"/>
      <c r="F360" s="10"/>
    </row>
    <row r="361">
      <c r="A361" s="10"/>
      <c r="B361" s="10"/>
      <c r="C361" s="10"/>
      <c r="D361" s="10"/>
      <c r="E361" s="10"/>
      <c r="F361" s="10"/>
    </row>
    <row r="362">
      <c r="A362" s="10"/>
      <c r="B362" s="10"/>
      <c r="C362" s="10"/>
      <c r="D362" s="10"/>
      <c r="E362" s="10"/>
      <c r="F362" s="10"/>
    </row>
    <row r="363">
      <c r="A363" s="10"/>
      <c r="B363" s="10"/>
      <c r="C363" s="10"/>
      <c r="D363" s="10"/>
      <c r="E363" s="10"/>
      <c r="F363" s="10"/>
    </row>
    <row r="364">
      <c r="A364" s="10"/>
      <c r="B364" s="10"/>
      <c r="C364" s="10"/>
      <c r="D364" s="10"/>
      <c r="E364" s="10"/>
      <c r="F364" s="10"/>
    </row>
    <row r="365">
      <c r="A365" s="10"/>
      <c r="B365" s="10"/>
      <c r="C365" s="10"/>
      <c r="D365" s="10"/>
      <c r="E365" s="10"/>
      <c r="F365" s="10"/>
    </row>
    <row r="366">
      <c r="A366" s="10"/>
      <c r="B366" s="10"/>
      <c r="C366" s="10"/>
      <c r="D366" s="10"/>
      <c r="E366" s="10"/>
      <c r="F366" s="10"/>
    </row>
    <row r="367">
      <c r="A367" s="10"/>
      <c r="B367" s="10"/>
      <c r="C367" s="10"/>
      <c r="D367" s="10"/>
      <c r="E367" s="10"/>
      <c r="F367" s="10"/>
    </row>
    <row r="368">
      <c r="A368" s="10"/>
      <c r="B368" s="10"/>
      <c r="C368" s="10"/>
      <c r="D368" s="10"/>
      <c r="E368" s="10"/>
      <c r="F368" s="10"/>
    </row>
    <row r="369">
      <c r="A369" s="10"/>
      <c r="B369" s="10"/>
      <c r="C369" s="10"/>
      <c r="D369" s="10"/>
      <c r="E369" s="10"/>
      <c r="F369" s="10"/>
    </row>
    <row r="370">
      <c r="A370" s="10"/>
      <c r="B370" s="10"/>
      <c r="C370" s="10"/>
      <c r="D370" s="10"/>
      <c r="E370" s="10"/>
      <c r="F370" s="10"/>
    </row>
    <row r="371">
      <c r="A371" s="10"/>
      <c r="B371" s="10"/>
      <c r="C371" s="10"/>
      <c r="D371" s="10"/>
      <c r="E371" s="10"/>
      <c r="F371" s="10"/>
    </row>
    <row r="372">
      <c r="A372" s="10"/>
      <c r="B372" s="10"/>
      <c r="C372" s="10"/>
      <c r="D372" s="10"/>
      <c r="E372" s="10"/>
      <c r="F372" s="10"/>
    </row>
    <row r="373">
      <c r="A373" s="10"/>
      <c r="B373" s="10"/>
      <c r="C373" s="10"/>
      <c r="D373" s="10"/>
      <c r="E373" s="10"/>
      <c r="F373" s="10"/>
    </row>
    <row r="374">
      <c r="A374" s="10"/>
      <c r="B374" s="10"/>
      <c r="C374" s="10"/>
      <c r="D374" s="10"/>
      <c r="E374" s="10"/>
      <c r="F374" s="10"/>
    </row>
    <row r="375">
      <c r="A375" s="10"/>
      <c r="B375" s="10"/>
      <c r="C375" s="10"/>
      <c r="D375" s="10"/>
      <c r="E375" s="10"/>
      <c r="F375" s="10"/>
    </row>
    <row r="376">
      <c r="A376" s="10"/>
      <c r="B376" s="10"/>
      <c r="C376" s="10"/>
      <c r="D376" s="10"/>
      <c r="E376" s="10"/>
      <c r="F376" s="10"/>
    </row>
    <row r="377">
      <c r="A377" s="10"/>
      <c r="B377" s="10"/>
      <c r="C377" s="10"/>
      <c r="D377" s="10"/>
      <c r="E377" s="10"/>
      <c r="F377" s="10"/>
    </row>
    <row r="378">
      <c r="A378" s="10"/>
      <c r="B378" s="10"/>
      <c r="C378" s="10"/>
      <c r="D378" s="10"/>
      <c r="E378" s="10"/>
      <c r="F378" s="10"/>
    </row>
    <row r="379">
      <c r="A379" s="10"/>
      <c r="B379" s="10"/>
      <c r="C379" s="10"/>
      <c r="D379" s="10"/>
      <c r="E379" s="10"/>
      <c r="F379" s="10"/>
    </row>
    <row r="380">
      <c r="A380" s="10"/>
      <c r="B380" s="10"/>
      <c r="C380" s="10"/>
      <c r="D380" s="10"/>
      <c r="E380" s="10"/>
      <c r="F380" s="10"/>
    </row>
    <row r="381">
      <c r="A381" s="10"/>
      <c r="B381" s="10"/>
      <c r="C381" s="10"/>
      <c r="D381" s="10"/>
      <c r="E381" s="10"/>
      <c r="F381" s="10"/>
    </row>
    <row r="382">
      <c r="A382" s="10"/>
      <c r="B382" s="10"/>
      <c r="C382" s="10"/>
      <c r="D382" s="10"/>
      <c r="E382" s="10"/>
      <c r="F382" s="10"/>
    </row>
    <row r="383">
      <c r="A383" s="10"/>
      <c r="B383" s="10"/>
      <c r="C383" s="10"/>
      <c r="D383" s="10"/>
      <c r="E383" s="10"/>
      <c r="F383" s="10"/>
    </row>
    <row r="384">
      <c r="A384" s="10"/>
      <c r="B384" s="10"/>
      <c r="C384" s="10"/>
      <c r="D384" s="10"/>
      <c r="E384" s="10"/>
      <c r="F384" s="10"/>
    </row>
    <row r="385">
      <c r="A385" s="10"/>
      <c r="B385" s="10"/>
      <c r="C385" s="10"/>
      <c r="D385" s="10"/>
      <c r="E385" s="10"/>
      <c r="F385" s="10"/>
    </row>
    <row r="386">
      <c r="A386" s="10"/>
      <c r="B386" s="10"/>
      <c r="C386" s="10"/>
      <c r="D386" s="10"/>
      <c r="E386" s="10"/>
      <c r="F386" s="10"/>
    </row>
    <row r="387">
      <c r="A387" s="10"/>
      <c r="B387" s="10"/>
      <c r="C387" s="10"/>
      <c r="D387" s="10"/>
      <c r="E387" s="10"/>
      <c r="F387" s="10"/>
    </row>
    <row r="388">
      <c r="A388" s="10"/>
      <c r="B388" s="10"/>
      <c r="C388" s="10"/>
      <c r="D388" s="10"/>
      <c r="E388" s="10"/>
      <c r="F388" s="10"/>
    </row>
    <row r="389">
      <c r="A389" s="10"/>
      <c r="B389" s="10"/>
      <c r="C389" s="10"/>
      <c r="D389" s="10"/>
      <c r="E389" s="10"/>
      <c r="F389" s="10"/>
    </row>
    <row r="390">
      <c r="A390" s="10"/>
      <c r="B390" s="10"/>
      <c r="C390" s="10"/>
      <c r="D390" s="10"/>
      <c r="E390" s="10"/>
      <c r="F390" s="10"/>
    </row>
    <row r="391">
      <c r="A391" s="10"/>
      <c r="B391" s="10"/>
      <c r="C391" s="10"/>
      <c r="D391" s="10"/>
      <c r="E391" s="10"/>
      <c r="F391" s="10"/>
    </row>
    <row r="392">
      <c r="A392" s="10"/>
      <c r="B392" s="10"/>
      <c r="C392" s="10"/>
      <c r="D392" s="10"/>
      <c r="E392" s="10"/>
      <c r="F392" s="10"/>
    </row>
    <row r="393">
      <c r="A393" s="10"/>
      <c r="B393" s="10"/>
      <c r="C393" s="10"/>
      <c r="D393" s="10"/>
      <c r="E393" s="10"/>
      <c r="F393" s="10"/>
    </row>
    <row r="394">
      <c r="A394" s="10"/>
      <c r="B394" s="10"/>
      <c r="C394" s="10"/>
      <c r="D394" s="10"/>
      <c r="E394" s="10"/>
      <c r="F394" s="10"/>
    </row>
    <row r="395">
      <c r="A395" s="10"/>
      <c r="B395" s="10"/>
      <c r="C395" s="10"/>
      <c r="D395" s="10"/>
      <c r="E395" s="10"/>
      <c r="F395" s="10"/>
    </row>
    <row r="396">
      <c r="A396" s="10"/>
      <c r="B396" s="10"/>
      <c r="C396" s="10"/>
      <c r="D396" s="10"/>
      <c r="E396" s="10"/>
      <c r="F396" s="10"/>
    </row>
    <row r="397">
      <c r="A397" s="10"/>
      <c r="B397" s="10"/>
      <c r="C397" s="10"/>
      <c r="D397" s="10"/>
      <c r="E397" s="10"/>
      <c r="F397" s="10"/>
    </row>
    <row r="398">
      <c r="A398" s="10"/>
      <c r="B398" s="10"/>
      <c r="C398" s="10"/>
      <c r="D398" s="10"/>
      <c r="E398" s="10"/>
      <c r="F398" s="10"/>
    </row>
    <row r="399">
      <c r="A399" s="10"/>
      <c r="B399" s="10"/>
      <c r="C399" s="10"/>
      <c r="D399" s="10"/>
      <c r="E399" s="10"/>
      <c r="F399" s="10"/>
    </row>
    <row r="400">
      <c r="A400" s="10"/>
      <c r="B400" s="10"/>
      <c r="C400" s="10"/>
      <c r="D400" s="10"/>
      <c r="E400" s="10"/>
      <c r="F400" s="10"/>
    </row>
    <row r="401">
      <c r="A401" s="10"/>
      <c r="B401" s="10"/>
      <c r="C401" s="10"/>
      <c r="D401" s="10"/>
      <c r="E401" s="10"/>
      <c r="F401" s="10"/>
    </row>
    <row r="402">
      <c r="A402" s="10"/>
      <c r="B402" s="10"/>
      <c r="C402" s="10"/>
      <c r="D402" s="10"/>
      <c r="E402" s="10"/>
      <c r="F402" s="10"/>
    </row>
    <row r="403">
      <c r="A403" s="10"/>
      <c r="B403" s="10"/>
      <c r="C403" s="10"/>
      <c r="D403" s="10"/>
      <c r="E403" s="10"/>
      <c r="F403" s="10"/>
    </row>
    <row r="404">
      <c r="A404" s="10"/>
      <c r="B404" s="10"/>
      <c r="C404" s="10"/>
      <c r="D404" s="10"/>
      <c r="E404" s="10"/>
      <c r="F404" s="10"/>
    </row>
    <row r="405">
      <c r="A405" s="10"/>
      <c r="B405" s="10"/>
      <c r="C405" s="10"/>
      <c r="D405" s="10"/>
      <c r="E405" s="10"/>
      <c r="F405" s="10"/>
    </row>
    <row r="406">
      <c r="A406" s="10"/>
      <c r="B406" s="10"/>
      <c r="C406" s="10"/>
      <c r="D406" s="10"/>
      <c r="E406" s="10"/>
      <c r="F406" s="10"/>
    </row>
    <row r="407">
      <c r="A407" s="10"/>
      <c r="B407" s="10"/>
      <c r="C407" s="10"/>
      <c r="D407" s="10"/>
      <c r="E407" s="10"/>
      <c r="F407" s="10"/>
    </row>
    <row r="408">
      <c r="A408" s="10"/>
      <c r="B408" s="10"/>
      <c r="C408" s="10"/>
      <c r="D408" s="10"/>
      <c r="E408" s="10"/>
      <c r="F408" s="10"/>
    </row>
    <row r="409">
      <c r="A409" s="10"/>
      <c r="B409" s="10"/>
      <c r="C409" s="10"/>
      <c r="D409" s="10"/>
      <c r="E409" s="10"/>
      <c r="F409" s="10"/>
    </row>
    <row r="410">
      <c r="A410" s="10"/>
      <c r="B410" s="10"/>
      <c r="C410" s="10"/>
      <c r="D410" s="10"/>
      <c r="E410" s="10"/>
      <c r="F410" s="10"/>
    </row>
    <row r="411">
      <c r="A411" s="10"/>
      <c r="B411" s="10"/>
      <c r="C411" s="10"/>
      <c r="D411" s="10"/>
      <c r="E411" s="10"/>
      <c r="F411" s="10"/>
    </row>
    <row r="412">
      <c r="A412" s="10"/>
      <c r="B412" s="10"/>
      <c r="C412" s="10"/>
      <c r="D412" s="10"/>
      <c r="E412" s="10"/>
      <c r="F412" s="10"/>
    </row>
    <row r="413">
      <c r="A413" s="10"/>
      <c r="B413" s="10"/>
      <c r="C413" s="10"/>
      <c r="D413" s="10"/>
      <c r="E413" s="10"/>
      <c r="F413" s="10"/>
    </row>
    <row r="414">
      <c r="A414" s="10"/>
      <c r="B414" s="10"/>
      <c r="C414" s="10"/>
      <c r="D414" s="10"/>
      <c r="E414" s="10"/>
      <c r="F414" s="10"/>
    </row>
    <row r="415">
      <c r="A415" s="10"/>
      <c r="B415" s="10"/>
      <c r="C415" s="10"/>
      <c r="D415" s="10"/>
      <c r="E415" s="10"/>
      <c r="F415" s="10"/>
    </row>
    <row r="416">
      <c r="A416" s="10"/>
      <c r="B416" s="10"/>
      <c r="C416" s="10"/>
      <c r="D416" s="10"/>
      <c r="E416" s="10"/>
      <c r="F416" s="10"/>
    </row>
    <row r="417">
      <c r="A417" s="10"/>
      <c r="B417" s="10"/>
      <c r="C417" s="10"/>
      <c r="D417" s="10"/>
      <c r="E417" s="10"/>
      <c r="F417" s="10"/>
    </row>
    <row r="418">
      <c r="A418" s="10"/>
      <c r="B418" s="10"/>
      <c r="C418" s="10"/>
      <c r="D418" s="10"/>
      <c r="E418" s="10"/>
      <c r="F418" s="10"/>
    </row>
    <row r="419">
      <c r="A419" s="10"/>
      <c r="B419" s="10"/>
      <c r="C419" s="10"/>
      <c r="D419" s="10"/>
      <c r="E419" s="10"/>
      <c r="F419" s="10"/>
    </row>
    <row r="420">
      <c r="A420" s="10"/>
      <c r="B420" s="10"/>
      <c r="C420" s="10"/>
      <c r="D420" s="10"/>
      <c r="E420" s="10"/>
      <c r="F420" s="10"/>
    </row>
    <row r="421">
      <c r="A421" s="10"/>
      <c r="B421" s="10"/>
      <c r="C421" s="10"/>
      <c r="D421" s="10"/>
      <c r="E421" s="10"/>
      <c r="F421" s="10"/>
    </row>
    <row r="422">
      <c r="A422" s="10"/>
      <c r="B422" s="10"/>
      <c r="C422" s="10"/>
      <c r="D422" s="10"/>
      <c r="E422" s="10"/>
      <c r="F422" s="10"/>
    </row>
    <row r="423">
      <c r="A423" s="10"/>
      <c r="B423" s="10"/>
      <c r="C423" s="10"/>
      <c r="D423" s="10"/>
      <c r="E423" s="10"/>
      <c r="F423" s="10"/>
    </row>
    <row r="424">
      <c r="A424" s="10"/>
      <c r="B424" s="10"/>
      <c r="C424" s="10"/>
      <c r="D424" s="10"/>
      <c r="E424" s="10"/>
      <c r="F424" s="10"/>
    </row>
    <row r="425">
      <c r="A425" s="10"/>
      <c r="B425" s="10"/>
      <c r="C425" s="10"/>
      <c r="D425" s="10"/>
      <c r="E425" s="10"/>
      <c r="F425" s="10"/>
    </row>
    <row r="426">
      <c r="A426" s="10"/>
      <c r="B426" s="10"/>
      <c r="C426" s="10"/>
      <c r="D426" s="10"/>
      <c r="E426" s="10"/>
      <c r="F426" s="10"/>
    </row>
    <row r="427">
      <c r="A427" s="10"/>
      <c r="B427" s="10"/>
      <c r="C427" s="10"/>
      <c r="D427" s="10"/>
      <c r="E427" s="10"/>
      <c r="F427" s="10"/>
    </row>
    <row r="428">
      <c r="A428" s="10"/>
      <c r="B428" s="10"/>
      <c r="C428" s="10"/>
      <c r="D428" s="10"/>
      <c r="E428" s="10"/>
      <c r="F428" s="10"/>
    </row>
    <row r="429">
      <c r="A429" s="10"/>
      <c r="B429" s="10"/>
      <c r="C429" s="10"/>
      <c r="D429" s="10"/>
      <c r="E429" s="10"/>
      <c r="F429" s="10"/>
    </row>
    <row r="430">
      <c r="A430" s="10"/>
      <c r="B430" s="10"/>
      <c r="C430" s="10"/>
      <c r="D430" s="10"/>
      <c r="E430" s="10"/>
      <c r="F430" s="10"/>
    </row>
    <row r="431">
      <c r="A431" s="10"/>
      <c r="B431" s="10"/>
      <c r="C431" s="10"/>
      <c r="D431" s="10"/>
      <c r="E431" s="10"/>
      <c r="F431" s="10"/>
    </row>
    <row r="432">
      <c r="A432" s="10"/>
      <c r="B432" s="10"/>
      <c r="C432" s="10"/>
      <c r="D432" s="10"/>
      <c r="E432" s="10"/>
      <c r="F432" s="10"/>
    </row>
    <row r="433">
      <c r="A433" s="10"/>
      <c r="B433" s="10"/>
      <c r="C433" s="10"/>
      <c r="D433" s="10"/>
      <c r="E433" s="10"/>
      <c r="F433" s="10"/>
    </row>
    <row r="434">
      <c r="A434" s="10"/>
      <c r="B434" s="10"/>
      <c r="C434" s="10"/>
      <c r="D434" s="10"/>
      <c r="E434" s="10"/>
      <c r="F434" s="10"/>
    </row>
    <row r="435">
      <c r="A435" s="10"/>
      <c r="B435" s="10"/>
      <c r="C435" s="10"/>
      <c r="D435" s="10"/>
      <c r="E435" s="10"/>
      <c r="F435" s="10"/>
    </row>
    <row r="436">
      <c r="A436" s="10"/>
      <c r="B436" s="10"/>
      <c r="C436" s="10"/>
      <c r="D436" s="10"/>
      <c r="E436" s="10"/>
      <c r="F436" s="10"/>
    </row>
    <row r="437">
      <c r="A437" s="10"/>
      <c r="B437" s="10"/>
      <c r="C437" s="10"/>
      <c r="D437" s="10"/>
      <c r="E437" s="10"/>
      <c r="F437" s="10"/>
    </row>
    <row r="438">
      <c r="A438" s="10"/>
      <c r="B438" s="10"/>
      <c r="C438" s="10"/>
      <c r="D438" s="10"/>
      <c r="E438" s="10"/>
      <c r="F438" s="10"/>
    </row>
    <row r="439">
      <c r="A439" s="10"/>
      <c r="B439" s="10"/>
      <c r="C439" s="10"/>
      <c r="D439" s="10"/>
      <c r="E439" s="10"/>
      <c r="F439" s="10"/>
    </row>
    <row r="440">
      <c r="A440" s="10"/>
      <c r="B440" s="10"/>
      <c r="C440" s="10"/>
      <c r="D440" s="10"/>
      <c r="E440" s="10"/>
      <c r="F440" s="10"/>
    </row>
    <row r="441">
      <c r="A441" s="10"/>
      <c r="B441" s="10"/>
      <c r="C441" s="10"/>
      <c r="D441" s="10"/>
      <c r="E441" s="10"/>
      <c r="F441" s="10"/>
    </row>
    <row r="442">
      <c r="A442" s="10"/>
      <c r="B442" s="10"/>
      <c r="C442" s="10"/>
      <c r="D442" s="10"/>
      <c r="E442" s="10"/>
      <c r="F442" s="10"/>
    </row>
    <row r="443">
      <c r="A443" s="10"/>
      <c r="B443" s="10"/>
      <c r="C443" s="10"/>
      <c r="D443" s="10"/>
      <c r="E443" s="10"/>
      <c r="F443" s="10"/>
    </row>
    <row r="444">
      <c r="A444" s="10"/>
      <c r="B444" s="10"/>
      <c r="C444" s="10"/>
      <c r="D444" s="10"/>
      <c r="E444" s="10"/>
      <c r="F444" s="10"/>
    </row>
    <row r="445">
      <c r="A445" s="10"/>
      <c r="B445" s="10"/>
      <c r="C445" s="10"/>
      <c r="D445" s="10"/>
      <c r="E445" s="10"/>
      <c r="F445" s="10"/>
    </row>
    <row r="446">
      <c r="A446" s="10"/>
      <c r="B446" s="10"/>
      <c r="C446" s="10"/>
      <c r="D446" s="10"/>
      <c r="E446" s="10"/>
      <c r="F446" s="10"/>
    </row>
    <row r="447">
      <c r="A447" s="10"/>
      <c r="B447" s="10"/>
      <c r="C447" s="10"/>
      <c r="D447" s="10"/>
      <c r="E447" s="10"/>
      <c r="F447" s="10"/>
    </row>
    <row r="448">
      <c r="A448" s="10"/>
      <c r="B448" s="10"/>
      <c r="C448" s="10"/>
      <c r="D448" s="10"/>
      <c r="E448" s="10"/>
      <c r="F448" s="10"/>
    </row>
    <row r="449">
      <c r="A449" s="10"/>
      <c r="B449" s="10"/>
      <c r="C449" s="10"/>
      <c r="D449" s="10"/>
      <c r="E449" s="10"/>
      <c r="F449" s="10"/>
    </row>
    <row r="450">
      <c r="A450" s="10"/>
      <c r="B450" s="10"/>
      <c r="C450" s="10"/>
      <c r="D450" s="10"/>
      <c r="E450" s="10"/>
      <c r="F450" s="10"/>
    </row>
    <row r="451">
      <c r="A451" s="10"/>
      <c r="B451" s="10"/>
      <c r="C451" s="10"/>
      <c r="D451" s="10"/>
      <c r="E451" s="10"/>
      <c r="F451" s="10"/>
    </row>
    <row r="452">
      <c r="A452" s="10"/>
      <c r="B452" s="10"/>
      <c r="C452" s="10"/>
      <c r="D452" s="10"/>
      <c r="E452" s="10"/>
      <c r="F452" s="10"/>
    </row>
    <row r="453">
      <c r="A453" s="10"/>
      <c r="B453" s="10"/>
      <c r="C453" s="10"/>
      <c r="D453" s="10"/>
      <c r="E453" s="10"/>
      <c r="F453" s="10"/>
    </row>
    <row r="454">
      <c r="A454" s="10"/>
      <c r="B454" s="10"/>
      <c r="C454" s="10"/>
      <c r="D454" s="10"/>
      <c r="E454" s="10"/>
      <c r="F454" s="10"/>
    </row>
    <row r="455">
      <c r="A455" s="10"/>
      <c r="B455" s="10"/>
      <c r="C455" s="10"/>
      <c r="D455" s="10"/>
      <c r="E455" s="10"/>
      <c r="F455" s="10"/>
    </row>
    <row r="456">
      <c r="A456" s="10"/>
      <c r="B456" s="10"/>
      <c r="C456" s="10"/>
      <c r="D456" s="10"/>
      <c r="E456" s="10"/>
      <c r="F456" s="10"/>
    </row>
    <row r="457">
      <c r="A457" s="10"/>
      <c r="B457" s="10"/>
      <c r="C457" s="10"/>
      <c r="D457" s="10"/>
      <c r="E457" s="10"/>
      <c r="F457" s="10"/>
    </row>
    <row r="458">
      <c r="A458" s="10"/>
      <c r="B458" s="10"/>
      <c r="C458" s="10"/>
      <c r="D458" s="10"/>
      <c r="E458" s="10"/>
      <c r="F458" s="10"/>
    </row>
    <row r="459">
      <c r="A459" s="10"/>
      <c r="B459" s="10"/>
      <c r="C459" s="10"/>
      <c r="D459" s="10"/>
      <c r="E459" s="10"/>
      <c r="F459" s="10"/>
    </row>
    <row r="460">
      <c r="A460" s="10"/>
      <c r="B460" s="10"/>
      <c r="C460" s="10"/>
      <c r="D460" s="10"/>
      <c r="E460" s="10"/>
      <c r="F460" s="10"/>
    </row>
    <row r="461">
      <c r="A461" s="10"/>
      <c r="B461" s="10"/>
      <c r="C461" s="10"/>
      <c r="D461" s="10"/>
      <c r="E461" s="10"/>
      <c r="F461" s="10"/>
    </row>
    <row r="462">
      <c r="A462" s="10"/>
      <c r="B462" s="10"/>
      <c r="C462" s="10"/>
      <c r="D462" s="10"/>
      <c r="E462" s="10"/>
      <c r="F462" s="10"/>
    </row>
    <row r="463">
      <c r="A463" s="10"/>
      <c r="B463" s="10"/>
      <c r="C463" s="10"/>
      <c r="D463" s="10"/>
      <c r="E463" s="10"/>
      <c r="F463" s="10"/>
    </row>
    <row r="464">
      <c r="A464" s="10"/>
      <c r="B464" s="10"/>
      <c r="C464" s="10"/>
      <c r="D464" s="10"/>
      <c r="E464" s="10"/>
      <c r="F464" s="10"/>
    </row>
    <row r="465">
      <c r="A465" s="10"/>
      <c r="B465" s="10"/>
      <c r="C465" s="10"/>
      <c r="D465" s="10"/>
      <c r="E465" s="10"/>
      <c r="F465" s="10"/>
    </row>
    <row r="466">
      <c r="A466" s="10"/>
      <c r="B466" s="10"/>
      <c r="C466" s="10"/>
      <c r="D466" s="10"/>
      <c r="E466" s="10"/>
      <c r="F466" s="10"/>
    </row>
    <row r="467">
      <c r="A467" s="10"/>
      <c r="B467" s="10"/>
      <c r="C467" s="10"/>
      <c r="D467" s="10"/>
      <c r="E467" s="10"/>
      <c r="F467" s="10"/>
    </row>
    <row r="468">
      <c r="A468" s="10"/>
      <c r="B468" s="10"/>
      <c r="C468" s="10"/>
      <c r="D468" s="10"/>
      <c r="E468" s="10"/>
      <c r="F468" s="10"/>
    </row>
    <row r="469">
      <c r="A469" s="10"/>
      <c r="B469" s="10"/>
      <c r="C469" s="10"/>
      <c r="D469" s="10"/>
      <c r="E469" s="10"/>
      <c r="F469" s="10"/>
    </row>
    <row r="470">
      <c r="A470" s="10"/>
      <c r="B470" s="10"/>
      <c r="C470" s="10"/>
      <c r="D470" s="10"/>
      <c r="E470" s="10"/>
      <c r="F470" s="10"/>
    </row>
    <row r="471">
      <c r="A471" s="10"/>
      <c r="B471" s="10"/>
      <c r="C471" s="10"/>
      <c r="D471" s="10"/>
      <c r="E471" s="10"/>
      <c r="F471" s="10"/>
    </row>
    <row r="472">
      <c r="A472" s="10"/>
      <c r="B472" s="10"/>
      <c r="C472" s="10"/>
      <c r="D472" s="10"/>
      <c r="E472" s="10"/>
      <c r="F472" s="10"/>
    </row>
    <row r="473">
      <c r="A473" s="10"/>
      <c r="B473" s="10"/>
      <c r="C473" s="10"/>
      <c r="D473" s="10"/>
      <c r="E473" s="10"/>
      <c r="F473" s="10"/>
    </row>
    <row r="474">
      <c r="A474" s="10"/>
      <c r="B474" s="10"/>
      <c r="C474" s="10"/>
      <c r="D474" s="10"/>
      <c r="E474" s="10"/>
      <c r="F474" s="10"/>
    </row>
    <row r="475">
      <c r="A475" s="10"/>
      <c r="B475" s="10"/>
      <c r="C475" s="10"/>
      <c r="D475" s="10"/>
      <c r="E475" s="10"/>
      <c r="F475" s="10"/>
    </row>
    <row r="476">
      <c r="A476" s="10"/>
      <c r="B476" s="10"/>
      <c r="C476" s="10"/>
      <c r="D476" s="10"/>
      <c r="E476" s="10"/>
      <c r="F476" s="10"/>
    </row>
    <row r="477">
      <c r="A477" s="10"/>
      <c r="B477" s="10"/>
      <c r="C477" s="10"/>
      <c r="D477" s="10"/>
      <c r="E477" s="10"/>
      <c r="F477" s="10"/>
    </row>
    <row r="478">
      <c r="A478" s="10"/>
      <c r="B478" s="10"/>
      <c r="C478" s="10"/>
      <c r="D478" s="10"/>
      <c r="E478" s="10"/>
      <c r="F478" s="10"/>
    </row>
    <row r="479">
      <c r="A479" s="10"/>
      <c r="B479" s="10"/>
      <c r="C479" s="10"/>
      <c r="D479" s="10"/>
      <c r="E479" s="10"/>
      <c r="F479" s="10"/>
    </row>
    <row r="480">
      <c r="A480" s="10"/>
      <c r="B480" s="10"/>
      <c r="C480" s="10"/>
      <c r="D480" s="10"/>
      <c r="E480" s="10"/>
      <c r="F480" s="10"/>
    </row>
    <row r="481">
      <c r="A481" s="10"/>
      <c r="B481" s="10"/>
      <c r="C481" s="10"/>
      <c r="D481" s="10"/>
      <c r="E481" s="10"/>
      <c r="F481" s="10"/>
    </row>
    <row r="482">
      <c r="A482" s="10"/>
      <c r="B482" s="10"/>
      <c r="C482" s="10"/>
      <c r="D482" s="10"/>
      <c r="E482" s="10"/>
      <c r="F482" s="10"/>
    </row>
    <row r="483">
      <c r="A483" s="10"/>
      <c r="B483" s="10"/>
      <c r="C483" s="10"/>
      <c r="D483" s="10"/>
      <c r="E483" s="10"/>
      <c r="F483" s="10"/>
    </row>
    <row r="484">
      <c r="A484" s="10"/>
      <c r="B484" s="10"/>
      <c r="C484" s="10"/>
      <c r="D484" s="10"/>
      <c r="E484" s="10"/>
      <c r="F484" s="10"/>
    </row>
    <row r="485">
      <c r="A485" s="10"/>
      <c r="B485" s="10"/>
      <c r="C485" s="10"/>
      <c r="D485" s="10"/>
      <c r="E485" s="10"/>
      <c r="F485" s="10"/>
    </row>
    <row r="486">
      <c r="A486" s="10"/>
      <c r="B486" s="10"/>
      <c r="C486" s="10"/>
      <c r="D486" s="10"/>
      <c r="E486" s="10"/>
      <c r="F486" s="10"/>
    </row>
    <row r="487">
      <c r="A487" s="10"/>
      <c r="B487" s="10"/>
      <c r="C487" s="10"/>
      <c r="D487" s="10"/>
      <c r="E487" s="10"/>
      <c r="F487" s="10"/>
    </row>
    <row r="488">
      <c r="A488" s="10"/>
      <c r="B488" s="10"/>
      <c r="C488" s="10"/>
      <c r="D488" s="10"/>
      <c r="E488" s="10"/>
      <c r="F488" s="10"/>
    </row>
    <row r="489">
      <c r="A489" s="10"/>
      <c r="B489" s="10"/>
      <c r="C489" s="10"/>
      <c r="D489" s="10"/>
      <c r="E489" s="10"/>
      <c r="F489" s="10"/>
    </row>
    <row r="490">
      <c r="A490" s="10"/>
      <c r="B490" s="10"/>
      <c r="C490" s="10"/>
      <c r="D490" s="10"/>
      <c r="E490" s="10"/>
      <c r="F490" s="10"/>
    </row>
    <row r="491">
      <c r="A491" s="10"/>
      <c r="B491" s="10"/>
      <c r="C491" s="10"/>
      <c r="D491" s="10"/>
      <c r="E491" s="10"/>
      <c r="F491" s="10"/>
    </row>
    <row r="492">
      <c r="A492" s="10"/>
      <c r="B492" s="10"/>
      <c r="C492" s="10"/>
      <c r="D492" s="10"/>
      <c r="E492" s="10"/>
      <c r="F492" s="10"/>
    </row>
    <row r="493">
      <c r="A493" s="10"/>
      <c r="B493" s="10"/>
      <c r="C493" s="10"/>
      <c r="D493" s="10"/>
      <c r="E493" s="10"/>
      <c r="F493" s="10"/>
    </row>
    <row r="494">
      <c r="A494" s="10"/>
      <c r="B494" s="10"/>
      <c r="C494" s="10"/>
      <c r="D494" s="10"/>
      <c r="E494" s="10"/>
      <c r="F494" s="10"/>
    </row>
    <row r="495">
      <c r="A495" s="10"/>
      <c r="B495" s="10"/>
      <c r="C495" s="10"/>
      <c r="D495" s="10"/>
      <c r="E495" s="10"/>
      <c r="F495" s="10"/>
    </row>
    <row r="496">
      <c r="A496" s="10"/>
      <c r="B496" s="10"/>
      <c r="C496" s="10"/>
      <c r="D496" s="10"/>
      <c r="E496" s="10"/>
      <c r="F496" s="10"/>
    </row>
    <row r="497">
      <c r="A497" s="10"/>
      <c r="B497" s="10"/>
      <c r="C497" s="10"/>
      <c r="D497" s="10"/>
      <c r="E497" s="10"/>
      <c r="F497" s="10"/>
    </row>
    <row r="498">
      <c r="A498" s="10"/>
      <c r="B498" s="10"/>
      <c r="C498" s="10"/>
      <c r="D498" s="10"/>
      <c r="E498" s="10"/>
      <c r="F498" s="10"/>
    </row>
    <row r="499">
      <c r="A499" s="10"/>
      <c r="B499" s="10"/>
      <c r="C499" s="10"/>
      <c r="D499" s="10"/>
      <c r="E499" s="10"/>
      <c r="F499" s="10"/>
    </row>
    <row r="500">
      <c r="A500" s="10"/>
      <c r="B500" s="10"/>
      <c r="C500" s="10"/>
      <c r="D500" s="10"/>
      <c r="E500" s="10"/>
      <c r="F500" s="10"/>
    </row>
    <row r="501">
      <c r="A501" s="10"/>
      <c r="B501" s="10"/>
      <c r="C501" s="10"/>
      <c r="D501" s="10"/>
      <c r="E501" s="10"/>
      <c r="F501" s="10"/>
    </row>
    <row r="502">
      <c r="A502" s="10"/>
      <c r="B502" s="10"/>
      <c r="C502" s="10"/>
      <c r="D502" s="10"/>
      <c r="E502" s="10"/>
      <c r="F502" s="10"/>
    </row>
    <row r="503">
      <c r="A503" s="10"/>
      <c r="B503" s="10"/>
      <c r="C503" s="10"/>
      <c r="D503" s="10"/>
      <c r="E503" s="10"/>
      <c r="F503" s="10"/>
    </row>
    <row r="504">
      <c r="A504" s="10"/>
      <c r="B504" s="10"/>
      <c r="C504" s="10"/>
      <c r="D504" s="10"/>
      <c r="E504" s="10"/>
      <c r="F504" s="10"/>
    </row>
    <row r="505">
      <c r="A505" s="10"/>
      <c r="B505" s="10"/>
      <c r="C505" s="10"/>
      <c r="D505" s="10"/>
      <c r="E505" s="10"/>
      <c r="F505" s="10"/>
    </row>
    <row r="506">
      <c r="A506" s="10"/>
      <c r="B506" s="10"/>
      <c r="C506" s="10"/>
      <c r="D506" s="10"/>
      <c r="E506" s="10"/>
      <c r="F506" s="10"/>
    </row>
    <row r="507">
      <c r="A507" s="10"/>
      <c r="B507" s="10"/>
      <c r="C507" s="10"/>
      <c r="D507" s="10"/>
      <c r="E507" s="10"/>
      <c r="F507" s="10"/>
    </row>
    <row r="508">
      <c r="A508" s="10"/>
      <c r="B508" s="10"/>
      <c r="C508" s="10"/>
      <c r="D508" s="10"/>
      <c r="E508" s="10"/>
      <c r="F508" s="10"/>
    </row>
    <row r="509">
      <c r="A509" s="10"/>
      <c r="B509" s="10"/>
      <c r="C509" s="10"/>
      <c r="D509" s="10"/>
      <c r="E509" s="10"/>
      <c r="F509" s="10"/>
    </row>
    <row r="510">
      <c r="A510" s="10"/>
      <c r="B510" s="10"/>
      <c r="C510" s="10"/>
      <c r="D510" s="10"/>
      <c r="E510" s="10"/>
      <c r="F510" s="10"/>
    </row>
    <row r="511">
      <c r="A511" s="10"/>
      <c r="B511" s="10"/>
      <c r="C511" s="10"/>
      <c r="D511" s="10"/>
      <c r="E511" s="10"/>
      <c r="F511" s="10"/>
    </row>
    <row r="512">
      <c r="A512" s="10"/>
      <c r="B512" s="10"/>
      <c r="C512" s="10"/>
      <c r="D512" s="10"/>
      <c r="E512" s="10"/>
      <c r="F512" s="10"/>
    </row>
    <row r="513">
      <c r="A513" s="10"/>
      <c r="B513" s="10"/>
      <c r="C513" s="10"/>
      <c r="D513" s="10"/>
      <c r="E513" s="10"/>
      <c r="F513" s="10"/>
    </row>
    <row r="514">
      <c r="A514" s="10"/>
      <c r="B514" s="10"/>
      <c r="C514" s="10"/>
      <c r="D514" s="10"/>
      <c r="E514" s="10"/>
      <c r="F514" s="10"/>
    </row>
    <row r="515">
      <c r="A515" s="10"/>
      <c r="B515" s="10"/>
      <c r="C515" s="10"/>
      <c r="D515" s="10"/>
      <c r="E515" s="10"/>
      <c r="F515" s="10"/>
    </row>
    <row r="516">
      <c r="A516" s="10"/>
      <c r="B516" s="10"/>
      <c r="C516" s="10"/>
      <c r="D516" s="10"/>
      <c r="E516" s="10"/>
      <c r="F516" s="10"/>
    </row>
    <row r="517">
      <c r="A517" s="10"/>
      <c r="B517" s="10"/>
      <c r="C517" s="10"/>
      <c r="D517" s="10"/>
      <c r="E517" s="10"/>
      <c r="F517" s="10"/>
    </row>
    <row r="518">
      <c r="A518" s="10"/>
      <c r="B518" s="10"/>
      <c r="C518" s="10"/>
      <c r="D518" s="10"/>
      <c r="E518" s="10"/>
      <c r="F518" s="10"/>
    </row>
    <row r="519">
      <c r="A519" s="10"/>
      <c r="B519" s="10"/>
      <c r="C519" s="10"/>
      <c r="D519" s="10"/>
      <c r="E519" s="10"/>
      <c r="F519" s="10"/>
    </row>
    <row r="520">
      <c r="A520" s="10"/>
      <c r="B520" s="10"/>
      <c r="C520" s="10"/>
      <c r="D520" s="10"/>
      <c r="E520" s="10"/>
      <c r="F520" s="10"/>
    </row>
    <row r="521">
      <c r="A521" s="10"/>
      <c r="B521" s="10"/>
      <c r="C521" s="10"/>
      <c r="D521" s="10"/>
      <c r="E521" s="10"/>
      <c r="F521" s="10"/>
    </row>
    <row r="522">
      <c r="A522" s="10"/>
      <c r="B522" s="10"/>
      <c r="C522" s="10"/>
      <c r="D522" s="10"/>
      <c r="E522" s="10"/>
      <c r="F522" s="10"/>
    </row>
    <row r="523">
      <c r="A523" s="10"/>
      <c r="B523" s="10"/>
      <c r="C523" s="10"/>
      <c r="D523" s="10"/>
      <c r="E523" s="10"/>
      <c r="F523" s="10"/>
    </row>
    <row r="524">
      <c r="A524" s="10"/>
      <c r="B524" s="10"/>
      <c r="C524" s="10"/>
      <c r="D524" s="10"/>
      <c r="E524" s="10"/>
      <c r="F524" s="10"/>
    </row>
    <row r="525">
      <c r="A525" s="10"/>
      <c r="B525" s="10"/>
      <c r="C525" s="10"/>
      <c r="D525" s="10"/>
      <c r="E525" s="10"/>
      <c r="F525" s="10"/>
    </row>
    <row r="526">
      <c r="A526" s="10"/>
      <c r="B526" s="10"/>
      <c r="C526" s="10"/>
      <c r="D526" s="10"/>
      <c r="E526" s="10"/>
      <c r="F526" s="10"/>
    </row>
    <row r="527">
      <c r="A527" s="10"/>
      <c r="B527" s="10"/>
      <c r="C527" s="10"/>
      <c r="D527" s="10"/>
      <c r="E527" s="10"/>
      <c r="F527" s="10"/>
    </row>
    <row r="528">
      <c r="A528" s="10"/>
      <c r="B528" s="10"/>
      <c r="C528" s="10"/>
      <c r="D528" s="10"/>
      <c r="E528" s="10"/>
      <c r="F528" s="10"/>
    </row>
    <row r="529">
      <c r="A529" s="10"/>
      <c r="B529" s="10"/>
      <c r="C529" s="10"/>
      <c r="D529" s="10"/>
      <c r="E529" s="10"/>
      <c r="F529" s="10"/>
    </row>
    <row r="530">
      <c r="A530" s="10"/>
      <c r="B530" s="10"/>
      <c r="C530" s="10"/>
      <c r="D530" s="10"/>
      <c r="E530" s="10"/>
      <c r="F530" s="10"/>
    </row>
    <row r="531">
      <c r="A531" s="10"/>
      <c r="B531" s="10"/>
      <c r="C531" s="10"/>
      <c r="D531" s="10"/>
      <c r="E531" s="10"/>
      <c r="F531" s="10"/>
    </row>
    <row r="532">
      <c r="A532" s="10"/>
      <c r="B532" s="10"/>
      <c r="C532" s="10"/>
      <c r="D532" s="10"/>
      <c r="E532" s="10"/>
      <c r="F532" s="10"/>
    </row>
    <row r="533">
      <c r="A533" s="10"/>
      <c r="B533" s="10"/>
      <c r="C533" s="10"/>
      <c r="D533" s="10"/>
      <c r="E533" s="10"/>
      <c r="F533" s="10"/>
    </row>
    <row r="534">
      <c r="A534" s="10"/>
      <c r="B534" s="10"/>
      <c r="C534" s="10"/>
      <c r="D534" s="10"/>
      <c r="E534" s="10"/>
      <c r="F534" s="10"/>
    </row>
    <row r="535">
      <c r="A535" s="10"/>
      <c r="B535" s="10"/>
      <c r="C535" s="10"/>
      <c r="D535" s="10"/>
      <c r="E535" s="10"/>
      <c r="F535" s="10"/>
    </row>
    <row r="536">
      <c r="A536" s="10"/>
      <c r="B536" s="10"/>
      <c r="C536" s="10"/>
      <c r="D536" s="10"/>
      <c r="E536" s="10"/>
      <c r="F536" s="10"/>
    </row>
    <row r="537">
      <c r="A537" s="10"/>
      <c r="B537" s="10"/>
      <c r="C537" s="10"/>
      <c r="D537" s="10"/>
      <c r="E537" s="10"/>
      <c r="F537" s="10"/>
    </row>
    <row r="538">
      <c r="A538" s="10"/>
      <c r="B538" s="10"/>
      <c r="C538" s="10"/>
      <c r="D538" s="10"/>
      <c r="E538" s="10"/>
      <c r="F538" s="10"/>
    </row>
    <row r="539">
      <c r="A539" s="10"/>
      <c r="B539" s="10"/>
      <c r="C539" s="10"/>
      <c r="D539" s="10"/>
      <c r="E539" s="10"/>
      <c r="F539" s="10"/>
    </row>
    <row r="540">
      <c r="A540" s="10"/>
      <c r="B540" s="10"/>
      <c r="C540" s="10"/>
      <c r="D540" s="10"/>
      <c r="E540" s="10"/>
      <c r="F540" s="10"/>
    </row>
    <row r="541">
      <c r="A541" s="10"/>
      <c r="B541" s="10"/>
      <c r="C541" s="10"/>
      <c r="D541" s="10"/>
      <c r="E541" s="10"/>
      <c r="F541" s="10"/>
    </row>
    <row r="542">
      <c r="A542" s="10"/>
      <c r="B542" s="10"/>
      <c r="C542" s="10"/>
      <c r="D542" s="10"/>
      <c r="E542" s="10"/>
      <c r="F542" s="10"/>
    </row>
    <row r="543">
      <c r="A543" s="10"/>
      <c r="B543" s="10"/>
      <c r="C543" s="10"/>
      <c r="D543" s="10"/>
      <c r="E543" s="10"/>
      <c r="F543" s="10"/>
    </row>
    <row r="544">
      <c r="A544" s="10"/>
      <c r="B544" s="10"/>
      <c r="C544" s="10"/>
      <c r="D544" s="10"/>
      <c r="E544" s="10"/>
      <c r="F544" s="10"/>
    </row>
    <row r="545">
      <c r="A545" s="10"/>
      <c r="B545" s="10"/>
      <c r="C545" s="10"/>
      <c r="D545" s="10"/>
      <c r="E545" s="10"/>
      <c r="F545" s="10"/>
    </row>
    <row r="546">
      <c r="A546" s="10"/>
      <c r="B546" s="10"/>
      <c r="C546" s="10"/>
      <c r="D546" s="10"/>
      <c r="E546" s="10"/>
      <c r="F546" s="10"/>
    </row>
    <row r="547">
      <c r="A547" s="10"/>
      <c r="B547" s="10"/>
      <c r="C547" s="10"/>
      <c r="D547" s="10"/>
      <c r="E547" s="10"/>
      <c r="F547" s="10"/>
    </row>
    <row r="548">
      <c r="A548" s="10"/>
      <c r="B548" s="10"/>
      <c r="C548" s="10"/>
      <c r="D548" s="10"/>
      <c r="E548" s="10"/>
      <c r="F548" s="10"/>
    </row>
    <row r="549">
      <c r="A549" s="10"/>
      <c r="B549" s="10"/>
      <c r="C549" s="10"/>
      <c r="D549" s="10"/>
      <c r="E549" s="10"/>
      <c r="F549" s="10"/>
    </row>
    <row r="550">
      <c r="A550" s="10"/>
      <c r="B550" s="10"/>
      <c r="C550" s="10"/>
      <c r="D550" s="10"/>
      <c r="E550" s="10"/>
      <c r="F550" s="10"/>
    </row>
    <row r="551">
      <c r="A551" s="10"/>
      <c r="B551" s="10"/>
      <c r="C551" s="10"/>
      <c r="D551" s="10"/>
      <c r="E551" s="10"/>
      <c r="F551" s="10"/>
    </row>
    <row r="552">
      <c r="A552" s="10"/>
      <c r="B552" s="10"/>
      <c r="C552" s="10"/>
      <c r="D552" s="10"/>
      <c r="E552" s="10"/>
      <c r="F552" s="10"/>
    </row>
    <row r="553">
      <c r="A553" s="10"/>
      <c r="B553" s="10"/>
      <c r="C553" s="10"/>
      <c r="D553" s="10"/>
      <c r="E553" s="10"/>
      <c r="F553" s="10"/>
    </row>
    <row r="554">
      <c r="A554" s="10"/>
      <c r="B554" s="10"/>
      <c r="C554" s="10"/>
      <c r="D554" s="10"/>
      <c r="E554" s="10"/>
      <c r="F554" s="10"/>
    </row>
    <row r="555">
      <c r="A555" s="10"/>
      <c r="B555" s="10"/>
      <c r="C555" s="10"/>
      <c r="D555" s="10"/>
      <c r="E555" s="10"/>
      <c r="F555" s="10"/>
    </row>
    <row r="556">
      <c r="A556" s="10"/>
      <c r="B556" s="10"/>
      <c r="C556" s="10"/>
      <c r="D556" s="10"/>
      <c r="E556" s="10"/>
      <c r="F556" s="10"/>
    </row>
    <row r="557">
      <c r="A557" s="10"/>
      <c r="B557" s="10"/>
      <c r="C557" s="10"/>
      <c r="D557" s="10"/>
      <c r="E557" s="10"/>
      <c r="F557" s="10"/>
    </row>
    <row r="558">
      <c r="A558" s="10"/>
      <c r="B558" s="10"/>
      <c r="C558" s="10"/>
      <c r="D558" s="10"/>
      <c r="E558" s="10"/>
      <c r="F558" s="10"/>
    </row>
    <row r="559">
      <c r="A559" s="10"/>
      <c r="B559" s="10"/>
      <c r="C559" s="10"/>
      <c r="D559" s="10"/>
      <c r="E559" s="10"/>
      <c r="F559" s="10"/>
    </row>
    <row r="560">
      <c r="A560" s="10"/>
      <c r="B560" s="10"/>
      <c r="C560" s="10"/>
      <c r="D560" s="10"/>
      <c r="E560" s="10"/>
      <c r="F560" s="10"/>
    </row>
    <row r="561">
      <c r="A561" s="10"/>
      <c r="B561" s="10"/>
      <c r="C561" s="10"/>
      <c r="D561" s="10"/>
      <c r="E561" s="10"/>
      <c r="F561" s="10"/>
    </row>
    <row r="562">
      <c r="A562" s="10"/>
      <c r="B562" s="10"/>
      <c r="C562" s="10"/>
      <c r="D562" s="10"/>
      <c r="E562" s="10"/>
      <c r="F562" s="10"/>
    </row>
    <row r="563">
      <c r="A563" s="10"/>
      <c r="B563" s="10"/>
      <c r="C563" s="10"/>
      <c r="D563" s="10"/>
      <c r="E563" s="10"/>
      <c r="F563" s="10"/>
    </row>
    <row r="564">
      <c r="A564" s="10"/>
      <c r="B564" s="10"/>
      <c r="C564" s="10"/>
      <c r="D564" s="10"/>
      <c r="E564" s="10"/>
      <c r="F564" s="10"/>
    </row>
    <row r="565">
      <c r="A565" s="10"/>
      <c r="B565" s="10"/>
      <c r="C565" s="10"/>
      <c r="D565" s="10"/>
      <c r="E565" s="10"/>
      <c r="F565" s="10"/>
    </row>
    <row r="566">
      <c r="A566" s="10"/>
      <c r="B566" s="10"/>
      <c r="C566" s="10"/>
      <c r="D566" s="10"/>
      <c r="E566" s="10"/>
      <c r="F566" s="10"/>
    </row>
    <row r="567">
      <c r="A567" s="10"/>
      <c r="B567" s="10"/>
      <c r="C567" s="10"/>
      <c r="D567" s="10"/>
      <c r="E567" s="10"/>
      <c r="F567" s="10"/>
    </row>
    <row r="568">
      <c r="A568" s="10"/>
      <c r="B568" s="10"/>
      <c r="C568" s="10"/>
      <c r="D568" s="10"/>
      <c r="E568" s="10"/>
      <c r="F568" s="10"/>
    </row>
    <row r="569">
      <c r="A569" s="10"/>
      <c r="B569" s="10"/>
      <c r="C569" s="10"/>
      <c r="D569" s="10"/>
      <c r="E569" s="10"/>
      <c r="F569" s="10"/>
    </row>
    <row r="570">
      <c r="A570" s="10"/>
      <c r="B570" s="10"/>
      <c r="C570" s="10"/>
      <c r="D570" s="10"/>
      <c r="E570" s="10"/>
      <c r="F570" s="10"/>
    </row>
    <row r="571">
      <c r="A571" s="10"/>
      <c r="B571" s="10"/>
      <c r="C571" s="10"/>
      <c r="D571" s="10"/>
      <c r="E571" s="10"/>
      <c r="F571" s="10"/>
    </row>
    <row r="572">
      <c r="A572" s="10"/>
      <c r="B572" s="10"/>
      <c r="C572" s="10"/>
      <c r="D572" s="10"/>
      <c r="E572" s="10"/>
      <c r="F572" s="10"/>
    </row>
    <row r="573">
      <c r="A573" s="10"/>
      <c r="B573" s="10"/>
      <c r="C573" s="10"/>
      <c r="D573" s="10"/>
      <c r="E573" s="10"/>
      <c r="F573" s="10"/>
    </row>
    <row r="574">
      <c r="A574" s="10"/>
      <c r="B574" s="10"/>
      <c r="C574" s="10"/>
      <c r="D574" s="10"/>
      <c r="E574" s="10"/>
      <c r="F574" s="10"/>
    </row>
    <row r="575">
      <c r="A575" s="10"/>
      <c r="B575" s="10"/>
      <c r="C575" s="10"/>
      <c r="D575" s="10"/>
      <c r="E575" s="10"/>
      <c r="F575" s="10"/>
    </row>
    <row r="576">
      <c r="A576" s="10"/>
      <c r="B576" s="10"/>
      <c r="C576" s="10"/>
      <c r="D576" s="10"/>
      <c r="E576" s="10"/>
      <c r="F576" s="10"/>
    </row>
    <row r="577">
      <c r="A577" s="10"/>
      <c r="B577" s="10"/>
      <c r="C577" s="10"/>
      <c r="D577" s="10"/>
      <c r="E577" s="10"/>
      <c r="F577" s="10"/>
    </row>
    <row r="578">
      <c r="A578" s="10"/>
      <c r="B578" s="10"/>
      <c r="C578" s="10"/>
      <c r="D578" s="10"/>
      <c r="E578" s="10"/>
      <c r="F578" s="10"/>
    </row>
    <row r="579">
      <c r="A579" s="10"/>
      <c r="B579" s="10"/>
      <c r="C579" s="10"/>
      <c r="D579" s="10"/>
      <c r="E579" s="10"/>
      <c r="F579" s="10"/>
    </row>
    <row r="580">
      <c r="A580" s="10"/>
      <c r="B580" s="10"/>
      <c r="C580" s="10"/>
      <c r="D580" s="10"/>
      <c r="E580" s="10"/>
      <c r="F580" s="10"/>
    </row>
    <row r="581">
      <c r="A581" s="10"/>
      <c r="B581" s="10"/>
      <c r="C581" s="10"/>
      <c r="D581" s="10"/>
      <c r="E581" s="10"/>
      <c r="F581" s="10"/>
    </row>
    <row r="582">
      <c r="A582" s="10"/>
      <c r="B582" s="10"/>
      <c r="C582" s="10"/>
      <c r="D582" s="10"/>
      <c r="E582" s="10"/>
      <c r="F582" s="10"/>
    </row>
    <row r="583">
      <c r="A583" s="10"/>
      <c r="B583" s="10"/>
      <c r="C583" s="10"/>
      <c r="D583" s="10"/>
      <c r="E583" s="10"/>
      <c r="F583" s="10"/>
    </row>
    <row r="584">
      <c r="A584" s="10"/>
      <c r="B584" s="10"/>
      <c r="C584" s="10"/>
      <c r="D584" s="10"/>
      <c r="E584" s="10"/>
      <c r="F584" s="10"/>
    </row>
    <row r="585">
      <c r="A585" s="10"/>
      <c r="B585" s="10"/>
      <c r="C585" s="10"/>
      <c r="D585" s="10"/>
      <c r="E585" s="10"/>
      <c r="F585" s="10"/>
    </row>
    <row r="586">
      <c r="A586" s="10"/>
      <c r="B586" s="10"/>
      <c r="C586" s="10"/>
      <c r="D586" s="10"/>
      <c r="E586" s="10"/>
      <c r="F586" s="10"/>
    </row>
    <row r="587">
      <c r="A587" s="10"/>
      <c r="B587" s="10"/>
      <c r="C587" s="10"/>
      <c r="D587" s="10"/>
      <c r="E587" s="10"/>
      <c r="F587" s="10"/>
    </row>
    <row r="588">
      <c r="A588" s="10"/>
      <c r="B588" s="10"/>
      <c r="C588" s="10"/>
      <c r="D588" s="10"/>
      <c r="E588" s="10"/>
      <c r="F588" s="10"/>
    </row>
    <row r="589">
      <c r="A589" s="10"/>
      <c r="B589" s="10"/>
      <c r="C589" s="10"/>
      <c r="D589" s="10"/>
      <c r="E589" s="10"/>
      <c r="F589" s="10"/>
    </row>
    <row r="590">
      <c r="A590" s="10"/>
      <c r="B590" s="10"/>
      <c r="C590" s="10"/>
      <c r="D590" s="10"/>
      <c r="E590" s="10"/>
      <c r="F590" s="10"/>
    </row>
    <row r="591">
      <c r="A591" s="10"/>
      <c r="B591" s="10"/>
      <c r="C591" s="10"/>
      <c r="D591" s="10"/>
      <c r="E591" s="10"/>
      <c r="F591" s="10"/>
    </row>
    <row r="592">
      <c r="A592" s="10"/>
      <c r="B592" s="10"/>
      <c r="C592" s="10"/>
      <c r="D592" s="10"/>
      <c r="E592" s="10"/>
      <c r="F592" s="10"/>
    </row>
    <row r="593">
      <c r="A593" s="10"/>
      <c r="B593" s="10"/>
      <c r="C593" s="10"/>
      <c r="D593" s="10"/>
      <c r="E593" s="10"/>
      <c r="F593" s="10"/>
    </row>
    <row r="594">
      <c r="A594" s="10"/>
      <c r="B594" s="10"/>
      <c r="C594" s="10"/>
      <c r="D594" s="10"/>
      <c r="E594" s="10"/>
      <c r="F594" s="10"/>
    </row>
    <row r="595">
      <c r="A595" s="10"/>
      <c r="B595" s="10"/>
      <c r="C595" s="10"/>
      <c r="D595" s="10"/>
      <c r="E595" s="10"/>
      <c r="F595" s="10"/>
    </row>
    <row r="596">
      <c r="A596" s="10"/>
      <c r="B596" s="10"/>
      <c r="C596" s="10"/>
      <c r="D596" s="10"/>
      <c r="E596" s="10"/>
      <c r="F596" s="10"/>
    </row>
    <row r="597">
      <c r="A597" s="10"/>
      <c r="B597" s="10"/>
      <c r="C597" s="10"/>
      <c r="D597" s="10"/>
      <c r="E597" s="10"/>
      <c r="F597" s="10"/>
    </row>
    <row r="598">
      <c r="A598" s="10"/>
      <c r="B598" s="10"/>
      <c r="C598" s="10"/>
      <c r="D598" s="10"/>
      <c r="E598" s="10"/>
      <c r="F598" s="10"/>
    </row>
    <row r="599">
      <c r="A599" s="10"/>
      <c r="B599" s="10"/>
      <c r="C599" s="10"/>
      <c r="D599" s="10"/>
      <c r="E599" s="10"/>
      <c r="F599" s="10"/>
    </row>
    <row r="600">
      <c r="A600" s="10"/>
      <c r="B600" s="10"/>
      <c r="C600" s="10"/>
      <c r="D600" s="10"/>
      <c r="E600" s="10"/>
      <c r="F600" s="10"/>
    </row>
    <row r="601">
      <c r="A601" s="10"/>
      <c r="B601" s="10"/>
      <c r="C601" s="10"/>
      <c r="D601" s="10"/>
      <c r="E601" s="10"/>
      <c r="F601" s="10"/>
    </row>
    <row r="602">
      <c r="A602" s="10"/>
      <c r="B602" s="10"/>
      <c r="C602" s="10"/>
      <c r="D602" s="10"/>
      <c r="E602" s="10"/>
      <c r="F602" s="10"/>
    </row>
    <row r="603">
      <c r="A603" s="10"/>
      <c r="B603" s="10"/>
      <c r="C603" s="10"/>
      <c r="D603" s="10"/>
      <c r="E603" s="10"/>
      <c r="F603" s="10"/>
    </row>
    <row r="604">
      <c r="A604" s="10"/>
      <c r="B604" s="10"/>
      <c r="C604" s="10"/>
      <c r="D604" s="10"/>
      <c r="E604" s="10"/>
      <c r="F604" s="10"/>
    </row>
    <row r="605">
      <c r="A605" s="10"/>
      <c r="B605" s="10"/>
      <c r="C605" s="10"/>
      <c r="D605" s="10"/>
      <c r="E605" s="10"/>
      <c r="F605" s="10"/>
    </row>
    <row r="606">
      <c r="A606" s="10"/>
      <c r="B606" s="10"/>
      <c r="C606" s="10"/>
      <c r="D606" s="10"/>
      <c r="E606" s="10"/>
      <c r="F606" s="10"/>
    </row>
    <row r="607">
      <c r="A607" s="10"/>
      <c r="B607" s="10"/>
      <c r="C607" s="10"/>
      <c r="D607" s="10"/>
      <c r="E607" s="10"/>
      <c r="F607" s="10"/>
    </row>
    <row r="608">
      <c r="A608" s="10"/>
      <c r="B608" s="10"/>
      <c r="C608" s="10"/>
      <c r="D608" s="10"/>
      <c r="E608" s="10"/>
      <c r="F608" s="10"/>
    </row>
    <row r="609">
      <c r="A609" s="10"/>
      <c r="B609" s="10"/>
      <c r="C609" s="10"/>
      <c r="D609" s="10"/>
      <c r="E609" s="10"/>
      <c r="F609" s="10"/>
    </row>
    <row r="610">
      <c r="A610" s="10"/>
      <c r="B610" s="10"/>
      <c r="C610" s="10"/>
      <c r="D610" s="10"/>
      <c r="E610" s="10"/>
      <c r="F610" s="10"/>
    </row>
    <row r="611">
      <c r="A611" s="10"/>
      <c r="B611" s="10"/>
      <c r="C611" s="10"/>
      <c r="D611" s="10"/>
      <c r="E611" s="10"/>
      <c r="F611" s="10"/>
    </row>
    <row r="612">
      <c r="A612" s="10"/>
      <c r="B612" s="10"/>
      <c r="C612" s="10"/>
      <c r="D612" s="10"/>
      <c r="E612" s="10"/>
      <c r="F612" s="10"/>
    </row>
    <row r="613">
      <c r="A613" s="10"/>
      <c r="B613" s="10"/>
      <c r="C613" s="10"/>
      <c r="D613" s="10"/>
      <c r="E613" s="10"/>
      <c r="F613" s="10"/>
    </row>
    <row r="614">
      <c r="A614" s="10"/>
      <c r="B614" s="10"/>
      <c r="C614" s="10"/>
      <c r="D614" s="10"/>
      <c r="E614" s="10"/>
      <c r="F614" s="10"/>
    </row>
    <row r="615">
      <c r="A615" s="10"/>
      <c r="B615" s="10"/>
      <c r="C615" s="10"/>
      <c r="D615" s="10"/>
      <c r="E615" s="10"/>
      <c r="F615" s="10"/>
    </row>
    <row r="616">
      <c r="A616" s="10"/>
      <c r="B616" s="10"/>
      <c r="C616" s="10"/>
      <c r="D616" s="10"/>
      <c r="E616" s="10"/>
      <c r="F616" s="10"/>
    </row>
    <row r="617">
      <c r="A617" s="10"/>
      <c r="B617" s="10"/>
      <c r="C617" s="10"/>
      <c r="D617" s="10"/>
      <c r="E617" s="10"/>
      <c r="F617" s="10"/>
    </row>
    <row r="618">
      <c r="A618" s="10"/>
      <c r="B618" s="10"/>
      <c r="C618" s="10"/>
      <c r="D618" s="10"/>
      <c r="E618" s="10"/>
      <c r="F618" s="10"/>
    </row>
    <row r="619">
      <c r="A619" s="10"/>
      <c r="B619" s="10"/>
      <c r="C619" s="10"/>
      <c r="D619" s="10"/>
      <c r="E619" s="10"/>
      <c r="F619" s="10"/>
    </row>
    <row r="620">
      <c r="A620" s="10"/>
      <c r="B620" s="10"/>
      <c r="C620" s="10"/>
      <c r="D620" s="10"/>
      <c r="E620" s="10"/>
      <c r="F620" s="10"/>
    </row>
    <row r="621">
      <c r="A621" s="10"/>
      <c r="B621" s="10"/>
      <c r="C621" s="10"/>
      <c r="D621" s="10"/>
      <c r="E621" s="10"/>
      <c r="F621" s="10"/>
    </row>
    <row r="622">
      <c r="A622" s="10"/>
      <c r="B622" s="10"/>
      <c r="C622" s="10"/>
      <c r="D622" s="10"/>
      <c r="E622" s="10"/>
      <c r="F622" s="10"/>
    </row>
    <row r="623">
      <c r="A623" s="10"/>
      <c r="B623" s="10"/>
      <c r="C623" s="10"/>
      <c r="D623" s="10"/>
      <c r="E623" s="10"/>
      <c r="F623" s="10"/>
    </row>
    <row r="624">
      <c r="A624" s="10"/>
      <c r="B624" s="10"/>
      <c r="C624" s="10"/>
      <c r="D624" s="10"/>
      <c r="E624" s="10"/>
      <c r="F624" s="10"/>
    </row>
    <row r="625">
      <c r="A625" s="10"/>
      <c r="B625" s="10"/>
      <c r="C625" s="10"/>
      <c r="D625" s="10"/>
      <c r="E625" s="10"/>
      <c r="F625" s="10"/>
    </row>
    <row r="626">
      <c r="A626" s="10"/>
      <c r="B626" s="10"/>
      <c r="C626" s="10"/>
      <c r="D626" s="10"/>
      <c r="E626" s="10"/>
      <c r="F626" s="10"/>
    </row>
    <row r="627">
      <c r="A627" s="10"/>
      <c r="B627" s="10"/>
      <c r="C627" s="10"/>
      <c r="D627" s="10"/>
      <c r="E627" s="10"/>
      <c r="F627" s="10"/>
    </row>
    <row r="628">
      <c r="A628" s="10"/>
      <c r="B628" s="10"/>
      <c r="C628" s="10"/>
      <c r="D628" s="10"/>
      <c r="E628" s="10"/>
      <c r="F628" s="10"/>
    </row>
    <row r="629">
      <c r="A629" s="10"/>
      <c r="B629" s="10"/>
      <c r="C629" s="10"/>
      <c r="D629" s="10"/>
      <c r="E629" s="10"/>
      <c r="F629" s="10"/>
    </row>
    <row r="630">
      <c r="A630" s="10"/>
      <c r="B630" s="10"/>
      <c r="C630" s="10"/>
      <c r="D630" s="10"/>
      <c r="E630" s="10"/>
      <c r="F630" s="10"/>
    </row>
    <row r="631">
      <c r="A631" s="10"/>
      <c r="B631" s="10"/>
      <c r="C631" s="10"/>
      <c r="D631" s="10"/>
      <c r="E631" s="10"/>
      <c r="F631" s="10"/>
    </row>
    <row r="632">
      <c r="A632" s="10"/>
      <c r="B632" s="10"/>
      <c r="C632" s="10"/>
      <c r="D632" s="10"/>
      <c r="E632" s="10"/>
      <c r="F632" s="10"/>
    </row>
    <row r="633">
      <c r="A633" s="10"/>
      <c r="B633" s="10"/>
      <c r="C633" s="10"/>
      <c r="D633" s="10"/>
      <c r="E633" s="10"/>
      <c r="F633" s="10"/>
    </row>
    <row r="634">
      <c r="A634" s="10"/>
      <c r="B634" s="10"/>
      <c r="C634" s="10"/>
      <c r="D634" s="10"/>
      <c r="E634" s="10"/>
      <c r="F634" s="10"/>
    </row>
    <row r="635">
      <c r="A635" s="10"/>
      <c r="B635" s="10"/>
      <c r="C635" s="10"/>
      <c r="D635" s="10"/>
      <c r="E635" s="10"/>
      <c r="F635" s="10"/>
    </row>
    <row r="636">
      <c r="A636" s="10"/>
      <c r="B636" s="10"/>
      <c r="C636" s="10"/>
      <c r="D636" s="10"/>
      <c r="E636" s="10"/>
      <c r="F636" s="10"/>
    </row>
    <row r="637">
      <c r="A637" s="10"/>
      <c r="B637" s="10"/>
      <c r="C637" s="10"/>
      <c r="D637" s="10"/>
      <c r="E637" s="10"/>
      <c r="F637" s="10"/>
    </row>
    <row r="638">
      <c r="A638" s="10"/>
      <c r="B638" s="10"/>
      <c r="C638" s="10"/>
      <c r="D638" s="10"/>
      <c r="E638" s="10"/>
      <c r="F638" s="10"/>
    </row>
    <row r="639">
      <c r="A639" s="10"/>
      <c r="B639" s="10"/>
      <c r="C639" s="10"/>
      <c r="D639" s="10"/>
      <c r="E639" s="10"/>
      <c r="F639" s="10"/>
    </row>
    <row r="640">
      <c r="A640" s="10"/>
      <c r="B640" s="10"/>
      <c r="C640" s="10"/>
      <c r="D640" s="10"/>
      <c r="E640" s="10"/>
      <c r="F640" s="10"/>
    </row>
    <row r="641">
      <c r="A641" s="10"/>
      <c r="B641" s="10"/>
      <c r="C641" s="10"/>
      <c r="D641" s="10"/>
      <c r="E641" s="10"/>
      <c r="F641" s="10"/>
    </row>
    <row r="642">
      <c r="A642" s="10"/>
      <c r="B642" s="10"/>
      <c r="C642" s="10"/>
      <c r="D642" s="10"/>
      <c r="E642" s="10"/>
      <c r="F642" s="10"/>
    </row>
    <row r="643">
      <c r="A643" s="10"/>
      <c r="B643" s="10"/>
      <c r="C643" s="10"/>
      <c r="D643" s="10"/>
      <c r="E643" s="10"/>
      <c r="F643" s="10"/>
    </row>
    <row r="644">
      <c r="A644" s="10"/>
      <c r="B644" s="10"/>
      <c r="C644" s="10"/>
      <c r="D644" s="10"/>
      <c r="E644" s="10"/>
      <c r="F644" s="10"/>
    </row>
    <row r="645">
      <c r="A645" s="10"/>
      <c r="B645" s="10"/>
      <c r="C645" s="10"/>
      <c r="D645" s="10"/>
      <c r="E645" s="10"/>
      <c r="F645" s="10"/>
    </row>
    <row r="646">
      <c r="A646" s="10"/>
      <c r="B646" s="10"/>
      <c r="C646" s="10"/>
      <c r="D646" s="10"/>
      <c r="E646" s="10"/>
      <c r="F646" s="10"/>
    </row>
    <row r="647">
      <c r="A647" s="10"/>
      <c r="B647" s="10"/>
      <c r="C647" s="10"/>
      <c r="D647" s="10"/>
      <c r="E647" s="10"/>
      <c r="F647" s="10"/>
    </row>
    <row r="648">
      <c r="A648" s="10"/>
      <c r="B648" s="10"/>
      <c r="C648" s="10"/>
      <c r="D648" s="10"/>
      <c r="E648" s="10"/>
      <c r="F648" s="10"/>
    </row>
    <row r="649">
      <c r="A649" s="10"/>
      <c r="B649" s="10"/>
      <c r="C649" s="10"/>
      <c r="D649" s="10"/>
      <c r="E649" s="10"/>
      <c r="F649" s="10"/>
    </row>
    <row r="650">
      <c r="A650" s="10"/>
      <c r="B650" s="10"/>
      <c r="C650" s="10"/>
      <c r="D650" s="10"/>
      <c r="E650" s="10"/>
      <c r="F650" s="10"/>
    </row>
    <row r="651">
      <c r="A651" s="10"/>
      <c r="B651" s="10"/>
      <c r="C651" s="10"/>
      <c r="D651" s="10"/>
      <c r="E651" s="10"/>
      <c r="F651" s="10"/>
    </row>
    <row r="652">
      <c r="A652" s="10"/>
      <c r="B652" s="10"/>
      <c r="C652" s="10"/>
      <c r="D652" s="10"/>
      <c r="E652" s="10"/>
      <c r="F652" s="10"/>
    </row>
    <row r="653">
      <c r="A653" s="10"/>
      <c r="B653" s="10"/>
      <c r="C653" s="10"/>
      <c r="D653" s="10"/>
      <c r="E653" s="10"/>
      <c r="F653" s="10"/>
    </row>
    <row r="654">
      <c r="A654" s="10"/>
      <c r="B654" s="10"/>
      <c r="C654" s="10"/>
      <c r="D654" s="10"/>
      <c r="E654" s="10"/>
      <c r="F654" s="10"/>
    </row>
    <row r="655">
      <c r="A655" s="10"/>
      <c r="B655" s="10"/>
      <c r="C655" s="10"/>
      <c r="D655" s="10"/>
      <c r="E655" s="10"/>
      <c r="F655" s="10"/>
    </row>
    <row r="656">
      <c r="A656" s="10"/>
      <c r="B656" s="10"/>
      <c r="C656" s="10"/>
      <c r="D656" s="10"/>
      <c r="E656" s="10"/>
      <c r="F656" s="10"/>
    </row>
    <row r="657">
      <c r="A657" s="10"/>
      <c r="B657" s="10"/>
      <c r="C657" s="10"/>
      <c r="D657" s="10"/>
      <c r="E657" s="10"/>
      <c r="F657" s="10"/>
    </row>
    <row r="658">
      <c r="A658" s="10"/>
      <c r="B658" s="10"/>
      <c r="C658" s="10"/>
      <c r="D658" s="10"/>
      <c r="E658" s="10"/>
      <c r="F658" s="10"/>
    </row>
    <row r="659">
      <c r="A659" s="10"/>
      <c r="B659" s="10"/>
      <c r="C659" s="10"/>
      <c r="D659" s="10"/>
      <c r="E659" s="10"/>
      <c r="F659" s="10"/>
    </row>
    <row r="660">
      <c r="A660" s="10"/>
      <c r="B660" s="10"/>
      <c r="C660" s="10"/>
      <c r="D660" s="10"/>
      <c r="E660" s="10"/>
      <c r="F660" s="10"/>
    </row>
    <row r="661">
      <c r="A661" s="10"/>
      <c r="B661" s="10"/>
      <c r="C661" s="10"/>
      <c r="D661" s="10"/>
      <c r="E661" s="10"/>
      <c r="F661" s="10"/>
    </row>
    <row r="662">
      <c r="A662" s="10"/>
      <c r="B662" s="10"/>
      <c r="C662" s="10"/>
      <c r="D662" s="10"/>
      <c r="E662" s="10"/>
      <c r="F662" s="10"/>
    </row>
    <row r="663">
      <c r="A663" s="10"/>
      <c r="B663" s="10"/>
      <c r="C663" s="10"/>
      <c r="D663" s="10"/>
      <c r="E663" s="10"/>
      <c r="F663" s="10"/>
    </row>
    <row r="664">
      <c r="A664" s="10"/>
      <c r="B664" s="10"/>
      <c r="C664" s="10"/>
      <c r="D664" s="10"/>
      <c r="E664" s="10"/>
      <c r="F664" s="10"/>
    </row>
    <row r="665">
      <c r="A665" s="10"/>
      <c r="B665" s="10"/>
      <c r="C665" s="10"/>
      <c r="D665" s="10"/>
      <c r="E665" s="10"/>
      <c r="F665" s="10"/>
    </row>
    <row r="666">
      <c r="A666" s="10"/>
      <c r="B666" s="10"/>
      <c r="C666" s="10"/>
      <c r="D666" s="10"/>
      <c r="E666" s="10"/>
      <c r="F666" s="10"/>
    </row>
    <row r="667">
      <c r="A667" s="10"/>
      <c r="B667" s="10"/>
      <c r="C667" s="10"/>
      <c r="D667" s="10"/>
      <c r="E667" s="10"/>
      <c r="F667" s="10"/>
    </row>
    <row r="668">
      <c r="A668" s="10"/>
      <c r="B668" s="10"/>
      <c r="C668" s="10"/>
      <c r="D668" s="10"/>
      <c r="E668" s="10"/>
      <c r="F668" s="10"/>
    </row>
    <row r="669">
      <c r="A669" s="10"/>
      <c r="B669" s="10"/>
      <c r="C669" s="10"/>
      <c r="D669" s="10"/>
      <c r="E669" s="10"/>
      <c r="F669" s="10"/>
    </row>
    <row r="670">
      <c r="A670" s="10"/>
      <c r="B670" s="10"/>
      <c r="C670" s="10"/>
      <c r="D670" s="10"/>
      <c r="E670" s="10"/>
      <c r="F670" s="10"/>
    </row>
    <row r="671">
      <c r="A671" s="10"/>
      <c r="B671" s="10"/>
      <c r="C671" s="10"/>
      <c r="D671" s="10"/>
      <c r="E671" s="10"/>
      <c r="F671" s="10"/>
    </row>
    <row r="672">
      <c r="A672" s="10"/>
      <c r="B672" s="10"/>
      <c r="C672" s="10"/>
      <c r="D672" s="10"/>
      <c r="E672" s="10"/>
      <c r="F672" s="10"/>
    </row>
    <row r="673">
      <c r="A673" s="10"/>
      <c r="B673" s="10"/>
      <c r="C673" s="10"/>
      <c r="D673" s="10"/>
      <c r="E673" s="10"/>
      <c r="F673" s="10"/>
    </row>
    <row r="674">
      <c r="A674" s="10"/>
      <c r="B674" s="10"/>
      <c r="C674" s="10"/>
      <c r="D674" s="10"/>
      <c r="E674" s="10"/>
      <c r="F674" s="10"/>
    </row>
    <row r="675">
      <c r="A675" s="10"/>
      <c r="B675" s="10"/>
      <c r="C675" s="10"/>
      <c r="D675" s="10"/>
      <c r="E675" s="10"/>
      <c r="F675" s="10"/>
    </row>
    <row r="676">
      <c r="A676" s="10"/>
      <c r="B676" s="10"/>
      <c r="C676" s="10"/>
      <c r="D676" s="10"/>
      <c r="E676" s="10"/>
      <c r="F676" s="10"/>
    </row>
    <row r="677">
      <c r="A677" s="10"/>
      <c r="B677" s="10"/>
      <c r="C677" s="10"/>
      <c r="D677" s="10"/>
      <c r="E677" s="10"/>
      <c r="F677" s="10"/>
    </row>
    <row r="678">
      <c r="A678" s="10"/>
      <c r="B678" s="10"/>
      <c r="C678" s="10"/>
      <c r="D678" s="10"/>
      <c r="E678" s="10"/>
      <c r="F678" s="10"/>
    </row>
    <row r="679">
      <c r="A679" s="10"/>
      <c r="B679" s="10"/>
      <c r="C679" s="10"/>
      <c r="D679" s="10"/>
      <c r="E679" s="10"/>
      <c r="F679" s="10"/>
    </row>
    <row r="680">
      <c r="A680" s="10"/>
      <c r="B680" s="10"/>
      <c r="C680" s="10"/>
      <c r="D680" s="10"/>
      <c r="E680" s="10"/>
      <c r="F680" s="10"/>
    </row>
    <row r="681">
      <c r="A681" s="10"/>
      <c r="B681" s="10"/>
      <c r="C681" s="10"/>
      <c r="D681" s="10"/>
      <c r="E681" s="10"/>
      <c r="F681" s="10"/>
    </row>
    <row r="682">
      <c r="A682" s="10"/>
      <c r="B682" s="10"/>
      <c r="C682" s="10"/>
      <c r="D682" s="10"/>
      <c r="E682" s="10"/>
      <c r="F682" s="10"/>
    </row>
    <row r="683">
      <c r="A683" s="10"/>
      <c r="B683" s="10"/>
      <c r="C683" s="10"/>
      <c r="D683" s="10"/>
      <c r="E683" s="10"/>
      <c r="F683" s="10"/>
    </row>
    <row r="684">
      <c r="A684" s="10"/>
      <c r="B684" s="10"/>
      <c r="C684" s="10"/>
      <c r="D684" s="10"/>
      <c r="E684" s="10"/>
      <c r="F684" s="10"/>
    </row>
    <row r="685">
      <c r="A685" s="10"/>
      <c r="B685" s="10"/>
      <c r="C685" s="10"/>
      <c r="D685" s="10"/>
      <c r="E685" s="10"/>
      <c r="F685" s="10"/>
    </row>
    <row r="686">
      <c r="A686" s="10"/>
      <c r="B686" s="10"/>
      <c r="C686" s="10"/>
      <c r="D686" s="10"/>
      <c r="E686" s="10"/>
      <c r="F686" s="10"/>
    </row>
    <row r="687">
      <c r="A687" s="10"/>
      <c r="B687" s="10"/>
      <c r="C687" s="10"/>
      <c r="D687" s="10"/>
      <c r="E687" s="10"/>
      <c r="F687" s="10"/>
    </row>
    <row r="688">
      <c r="A688" s="10"/>
      <c r="B688" s="10"/>
      <c r="C688" s="10"/>
      <c r="D688" s="10"/>
      <c r="E688" s="10"/>
      <c r="F688" s="10"/>
    </row>
    <row r="689">
      <c r="A689" s="10"/>
      <c r="B689" s="10"/>
      <c r="C689" s="10"/>
      <c r="D689" s="10"/>
      <c r="E689" s="10"/>
      <c r="F689" s="10"/>
    </row>
    <row r="690">
      <c r="A690" s="10"/>
      <c r="B690" s="10"/>
      <c r="C690" s="10"/>
      <c r="D690" s="10"/>
      <c r="E690" s="10"/>
      <c r="F690" s="10"/>
    </row>
    <row r="691">
      <c r="A691" s="10"/>
      <c r="B691" s="10"/>
      <c r="C691" s="10"/>
      <c r="D691" s="10"/>
      <c r="E691" s="10"/>
      <c r="F691" s="10"/>
    </row>
    <row r="692">
      <c r="A692" s="10"/>
      <c r="B692" s="10"/>
      <c r="C692" s="10"/>
      <c r="D692" s="10"/>
      <c r="E692" s="10"/>
      <c r="F692" s="10"/>
    </row>
    <row r="693">
      <c r="A693" s="10"/>
      <c r="B693" s="10"/>
      <c r="C693" s="10"/>
      <c r="D693" s="10"/>
      <c r="E693" s="10"/>
      <c r="F693" s="10"/>
    </row>
    <row r="694">
      <c r="A694" s="10"/>
      <c r="B694" s="10"/>
      <c r="C694" s="10"/>
      <c r="D694" s="10"/>
      <c r="E694" s="10"/>
      <c r="F694" s="10"/>
    </row>
    <row r="695">
      <c r="A695" s="10"/>
      <c r="B695" s="10"/>
      <c r="C695" s="10"/>
      <c r="D695" s="10"/>
      <c r="E695" s="10"/>
      <c r="F695" s="10"/>
    </row>
    <row r="696">
      <c r="A696" s="10"/>
      <c r="B696" s="10"/>
      <c r="C696" s="10"/>
      <c r="D696" s="10"/>
      <c r="E696" s="10"/>
      <c r="F696" s="10"/>
    </row>
    <row r="697">
      <c r="A697" s="10"/>
      <c r="B697" s="10"/>
      <c r="C697" s="10"/>
      <c r="D697" s="10"/>
      <c r="E697" s="10"/>
      <c r="F697" s="10"/>
    </row>
    <row r="698">
      <c r="A698" s="10"/>
      <c r="B698" s="10"/>
      <c r="C698" s="10"/>
      <c r="D698" s="10"/>
      <c r="E698" s="10"/>
      <c r="F698" s="10"/>
    </row>
    <row r="699">
      <c r="A699" s="10"/>
      <c r="B699" s="10"/>
      <c r="C699" s="10"/>
      <c r="D699" s="10"/>
      <c r="E699" s="10"/>
      <c r="F699" s="10"/>
    </row>
    <row r="700">
      <c r="A700" s="10"/>
      <c r="B700" s="10"/>
      <c r="C700" s="10"/>
      <c r="D700" s="10"/>
      <c r="E700" s="10"/>
      <c r="F700" s="10"/>
    </row>
    <row r="701">
      <c r="A701" s="10"/>
      <c r="B701" s="10"/>
      <c r="C701" s="10"/>
      <c r="D701" s="10"/>
      <c r="E701" s="10"/>
      <c r="F701" s="10"/>
    </row>
    <row r="702">
      <c r="A702" s="10"/>
      <c r="B702" s="10"/>
      <c r="C702" s="10"/>
      <c r="D702" s="10"/>
      <c r="E702" s="10"/>
      <c r="F702" s="10"/>
    </row>
    <row r="703">
      <c r="A703" s="10"/>
      <c r="B703" s="10"/>
      <c r="C703" s="10"/>
      <c r="D703" s="10"/>
      <c r="E703" s="10"/>
      <c r="F703" s="10"/>
    </row>
    <row r="704">
      <c r="A704" s="10"/>
      <c r="B704" s="10"/>
      <c r="C704" s="10"/>
      <c r="D704" s="10"/>
      <c r="E704" s="10"/>
      <c r="F704" s="10"/>
    </row>
    <row r="705">
      <c r="A705" s="10"/>
      <c r="B705" s="10"/>
      <c r="C705" s="10"/>
      <c r="D705" s="10"/>
      <c r="E705" s="10"/>
      <c r="F705" s="10"/>
    </row>
    <row r="706">
      <c r="A706" s="10"/>
      <c r="B706" s="10"/>
      <c r="C706" s="10"/>
      <c r="D706" s="10"/>
      <c r="E706" s="10"/>
      <c r="F706" s="10"/>
    </row>
    <row r="707">
      <c r="A707" s="10"/>
      <c r="B707" s="10"/>
      <c r="C707" s="10"/>
      <c r="D707" s="10"/>
      <c r="E707" s="10"/>
      <c r="F707" s="10"/>
    </row>
    <row r="708">
      <c r="A708" s="10"/>
      <c r="B708" s="10"/>
      <c r="C708" s="10"/>
      <c r="D708" s="10"/>
      <c r="E708" s="10"/>
      <c r="F708" s="10"/>
    </row>
    <row r="709">
      <c r="A709" s="10"/>
      <c r="B709" s="10"/>
      <c r="C709" s="10"/>
      <c r="D709" s="10"/>
      <c r="E709" s="10"/>
      <c r="F709" s="10"/>
    </row>
    <row r="710">
      <c r="A710" s="10"/>
      <c r="B710" s="10"/>
      <c r="C710" s="10"/>
      <c r="D710" s="10"/>
      <c r="E710" s="10"/>
      <c r="F710" s="10"/>
    </row>
    <row r="711">
      <c r="A711" s="10"/>
      <c r="B711" s="10"/>
      <c r="C711" s="10"/>
      <c r="D711" s="10"/>
      <c r="E711" s="10"/>
      <c r="F711" s="10"/>
    </row>
    <row r="712">
      <c r="A712" s="10"/>
      <c r="B712" s="10"/>
      <c r="C712" s="10"/>
      <c r="D712" s="10"/>
      <c r="E712" s="10"/>
      <c r="F712" s="10"/>
    </row>
    <row r="713">
      <c r="A713" s="10"/>
      <c r="B713" s="10"/>
      <c r="C713" s="10"/>
      <c r="D713" s="10"/>
      <c r="E713" s="10"/>
      <c r="F713" s="10"/>
    </row>
    <row r="714">
      <c r="A714" s="10"/>
      <c r="B714" s="10"/>
      <c r="C714" s="10"/>
      <c r="D714" s="10"/>
      <c r="E714" s="10"/>
      <c r="F714" s="10"/>
    </row>
    <row r="715">
      <c r="A715" s="10"/>
      <c r="B715" s="10"/>
      <c r="C715" s="10"/>
      <c r="D715" s="10"/>
      <c r="E715" s="10"/>
      <c r="F715" s="10"/>
    </row>
    <row r="716">
      <c r="A716" s="10"/>
      <c r="B716" s="10"/>
      <c r="C716" s="10"/>
      <c r="D716" s="10"/>
      <c r="E716" s="10"/>
      <c r="F716" s="10"/>
    </row>
    <row r="717">
      <c r="A717" s="10"/>
      <c r="B717" s="10"/>
      <c r="C717" s="10"/>
      <c r="D717" s="10"/>
      <c r="E717" s="10"/>
      <c r="F717" s="10"/>
    </row>
    <row r="718">
      <c r="A718" s="10"/>
      <c r="B718" s="10"/>
      <c r="C718" s="10"/>
      <c r="D718" s="10"/>
      <c r="E718" s="10"/>
      <c r="F718" s="10"/>
    </row>
    <row r="719">
      <c r="A719" s="10"/>
      <c r="B719" s="10"/>
      <c r="C719" s="10"/>
      <c r="D719" s="10"/>
      <c r="E719" s="10"/>
      <c r="F719" s="10"/>
    </row>
    <row r="720">
      <c r="A720" s="10"/>
      <c r="B720" s="10"/>
      <c r="C720" s="10"/>
      <c r="D720" s="10"/>
      <c r="E720" s="10"/>
      <c r="F720" s="10"/>
    </row>
    <row r="721">
      <c r="A721" s="10"/>
      <c r="B721" s="10"/>
      <c r="C721" s="10"/>
      <c r="D721" s="10"/>
      <c r="E721" s="10"/>
      <c r="F721" s="10"/>
    </row>
    <row r="722">
      <c r="A722" s="10"/>
      <c r="B722" s="10"/>
      <c r="C722" s="10"/>
      <c r="D722" s="10"/>
      <c r="E722" s="10"/>
      <c r="F722" s="10"/>
    </row>
    <row r="723">
      <c r="A723" s="10"/>
      <c r="B723" s="10"/>
      <c r="C723" s="10"/>
      <c r="D723" s="10"/>
      <c r="E723" s="10"/>
      <c r="F723" s="10"/>
    </row>
    <row r="724">
      <c r="A724" s="10"/>
      <c r="B724" s="10"/>
      <c r="C724" s="10"/>
      <c r="D724" s="10"/>
      <c r="E724" s="10"/>
      <c r="F724" s="10"/>
    </row>
    <row r="725">
      <c r="A725" s="10"/>
      <c r="B725" s="10"/>
      <c r="C725" s="10"/>
      <c r="D725" s="10"/>
      <c r="E725" s="10"/>
      <c r="F725" s="10"/>
    </row>
    <row r="726">
      <c r="A726" s="10"/>
      <c r="B726" s="10"/>
      <c r="C726" s="10"/>
      <c r="D726" s="10"/>
      <c r="E726" s="10"/>
      <c r="F726" s="10"/>
    </row>
    <row r="727">
      <c r="A727" s="10"/>
      <c r="B727" s="10"/>
      <c r="C727" s="10"/>
      <c r="D727" s="10"/>
      <c r="E727" s="10"/>
      <c r="F727" s="10"/>
    </row>
    <row r="728">
      <c r="A728" s="10"/>
      <c r="B728" s="10"/>
      <c r="C728" s="10"/>
      <c r="D728" s="10"/>
      <c r="E728" s="10"/>
      <c r="F728" s="10"/>
    </row>
    <row r="729">
      <c r="A729" s="10"/>
      <c r="B729" s="10"/>
      <c r="C729" s="10"/>
      <c r="D729" s="10"/>
      <c r="E729" s="10"/>
      <c r="F729" s="10"/>
    </row>
    <row r="730">
      <c r="A730" s="10"/>
      <c r="B730" s="10"/>
      <c r="C730" s="10"/>
      <c r="D730" s="10"/>
      <c r="E730" s="10"/>
      <c r="F730" s="10"/>
    </row>
    <row r="731">
      <c r="A731" s="10"/>
      <c r="B731" s="10"/>
      <c r="C731" s="10"/>
      <c r="D731" s="10"/>
      <c r="E731" s="10"/>
      <c r="F731" s="10"/>
    </row>
    <row r="732">
      <c r="A732" s="10"/>
      <c r="B732" s="10"/>
      <c r="C732" s="10"/>
      <c r="D732" s="10"/>
      <c r="E732" s="10"/>
      <c r="F732" s="10"/>
    </row>
    <row r="733">
      <c r="A733" s="10"/>
      <c r="B733" s="10"/>
      <c r="C733" s="10"/>
      <c r="D733" s="10"/>
      <c r="E733" s="10"/>
      <c r="F733" s="10"/>
    </row>
    <row r="734">
      <c r="A734" s="10"/>
      <c r="B734" s="10"/>
      <c r="C734" s="10"/>
      <c r="D734" s="10"/>
      <c r="E734" s="10"/>
      <c r="F734" s="10"/>
    </row>
    <row r="735">
      <c r="A735" s="10"/>
      <c r="B735" s="10"/>
      <c r="C735" s="10"/>
      <c r="D735" s="10"/>
      <c r="E735" s="10"/>
      <c r="F735" s="10"/>
    </row>
    <row r="736">
      <c r="A736" s="10"/>
      <c r="B736" s="10"/>
      <c r="C736" s="10"/>
      <c r="D736" s="10"/>
      <c r="E736" s="10"/>
      <c r="F736" s="10"/>
    </row>
    <row r="737">
      <c r="A737" s="10"/>
      <c r="B737" s="10"/>
      <c r="C737" s="10"/>
      <c r="D737" s="10"/>
      <c r="E737" s="10"/>
      <c r="F737" s="10"/>
    </row>
    <row r="738">
      <c r="A738" s="10"/>
      <c r="B738" s="10"/>
      <c r="C738" s="10"/>
      <c r="D738" s="10"/>
      <c r="E738" s="10"/>
      <c r="F738" s="10"/>
    </row>
    <row r="739">
      <c r="A739" s="10"/>
      <c r="B739" s="10"/>
      <c r="C739" s="10"/>
      <c r="D739" s="10"/>
      <c r="E739" s="10"/>
      <c r="F739" s="10"/>
    </row>
    <row r="740">
      <c r="A740" s="10"/>
      <c r="B740" s="10"/>
      <c r="C740" s="10"/>
      <c r="D740" s="10"/>
      <c r="E740" s="10"/>
      <c r="F740" s="10"/>
    </row>
    <row r="741">
      <c r="A741" s="10"/>
      <c r="B741" s="10"/>
      <c r="C741" s="10"/>
      <c r="D741" s="10"/>
      <c r="E741" s="10"/>
      <c r="F741" s="10"/>
    </row>
    <row r="742">
      <c r="A742" s="10"/>
      <c r="B742" s="10"/>
      <c r="C742" s="10"/>
      <c r="D742" s="10"/>
      <c r="E742" s="10"/>
      <c r="F742" s="10"/>
    </row>
    <row r="743">
      <c r="A743" s="10"/>
      <c r="B743" s="10"/>
      <c r="C743" s="10"/>
      <c r="D743" s="10"/>
      <c r="E743" s="10"/>
      <c r="F743" s="10"/>
    </row>
    <row r="744">
      <c r="A744" s="10"/>
      <c r="B744" s="10"/>
      <c r="C744" s="10"/>
      <c r="D744" s="10"/>
      <c r="E744" s="10"/>
      <c r="F744" s="10"/>
    </row>
    <row r="745">
      <c r="A745" s="10"/>
      <c r="B745" s="10"/>
      <c r="C745" s="10"/>
      <c r="D745" s="10"/>
      <c r="E745" s="10"/>
      <c r="F745" s="10"/>
    </row>
    <row r="746">
      <c r="A746" s="10"/>
      <c r="B746" s="10"/>
      <c r="C746" s="10"/>
      <c r="D746" s="10"/>
      <c r="E746" s="10"/>
      <c r="F746" s="10"/>
    </row>
    <row r="747">
      <c r="A747" s="10"/>
      <c r="B747" s="10"/>
      <c r="C747" s="10"/>
      <c r="D747" s="10"/>
      <c r="E747" s="10"/>
      <c r="F747" s="10"/>
    </row>
    <row r="748">
      <c r="A748" s="10"/>
      <c r="B748" s="10"/>
      <c r="C748" s="10"/>
      <c r="D748" s="10"/>
      <c r="E748" s="10"/>
      <c r="F748" s="10"/>
    </row>
    <row r="749">
      <c r="A749" s="10"/>
      <c r="B749" s="10"/>
      <c r="C749" s="10"/>
      <c r="D749" s="10"/>
      <c r="E749" s="10"/>
      <c r="F749" s="10"/>
    </row>
    <row r="750">
      <c r="A750" s="10"/>
      <c r="B750" s="10"/>
      <c r="C750" s="10"/>
      <c r="D750" s="10"/>
      <c r="E750" s="10"/>
      <c r="F750" s="10"/>
    </row>
    <row r="751">
      <c r="A751" s="10"/>
      <c r="B751" s="10"/>
      <c r="C751" s="10"/>
      <c r="D751" s="10"/>
      <c r="E751" s="10"/>
      <c r="F751" s="10"/>
    </row>
    <row r="752">
      <c r="A752" s="10"/>
      <c r="B752" s="10"/>
      <c r="C752" s="10"/>
      <c r="D752" s="10"/>
      <c r="E752" s="10"/>
      <c r="F752" s="10"/>
    </row>
    <row r="753">
      <c r="A753" s="10"/>
      <c r="B753" s="10"/>
      <c r="C753" s="10"/>
      <c r="D753" s="10"/>
      <c r="E753" s="10"/>
      <c r="F753" s="10"/>
    </row>
    <row r="754">
      <c r="A754" s="10"/>
      <c r="B754" s="10"/>
      <c r="C754" s="10"/>
      <c r="D754" s="10"/>
      <c r="E754" s="10"/>
      <c r="F754" s="10"/>
    </row>
    <row r="755">
      <c r="A755" s="10"/>
      <c r="B755" s="10"/>
      <c r="C755" s="10"/>
      <c r="D755" s="10"/>
      <c r="E755" s="10"/>
      <c r="F755" s="10"/>
    </row>
    <row r="756">
      <c r="A756" s="10"/>
      <c r="B756" s="10"/>
      <c r="C756" s="10"/>
      <c r="D756" s="10"/>
      <c r="E756" s="10"/>
      <c r="F756" s="10"/>
    </row>
    <row r="757">
      <c r="A757" s="10"/>
      <c r="B757" s="10"/>
      <c r="C757" s="10"/>
      <c r="D757" s="10"/>
      <c r="E757" s="10"/>
      <c r="F757" s="10"/>
    </row>
    <row r="758">
      <c r="A758" s="10"/>
      <c r="B758" s="10"/>
      <c r="C758" s="10"/>
      <c r="D758" s="10"/>
      <c r="E758" s="10"/>
      <c r="F758" s="10"/>
    </row>
    <row r="759">
      <c r="A759" s="10"/>
      <c r="B759" s="10"/>
      <c r="C759" s="10"/>
      <c r="D759" s="10"/>
      <c r="E759" s="10"/>
      <c r="F759" s="10"/>
    </row>
    <row r="760">
      <c r="A760" s="10"/>
      <c r="B760" s="10"/>
      <c r="C760" s="10"/>
      <c r="D760" s="10"/>
      <c r="E760" s="10"/>
      <c r="F760" s="10"/>
    </row>
    <row r="761">
      <c r="A761" s="10"/>
      <c r="B761" s="10"/>
      <c r="C761" s="10"/>
      <c r="D761" s="10"/>
      <c r="E761" s="10"/>
      <c r="F761" s="10"/>
    </row>
    <row r="762">
      <c r="A762" s="10"/>
      <c r="B762" s="10"/>
      <c r="C762" s="10"/>
      <c r="D762" s="10"/>
      <c r="E762" s="10"/>
      <c r="F762" s="10"/>
    </row>
    <row r="763">
      <c r="A763" s="10"/>
      <c r="B763" s="10"/>
      <c r="C763" s="10"/>
      <c r="D763" s="10"/>
      <c r="E763" s="10"/>
      <c r="F763" s="10"/>
    </row>
    <row r="764">
      <c r="A764" s="10"/>
      <c r="B764" s="10"/>
      <c r="C764" s="10"/>
      <c r="D764" s="10"/>
      <c r="E764" s="10"/>
      <c r="F764" s="10"/>
    </row>
    <row r="765">
      <c r="A765" s="10"/>
      <c r="B765" s="10"/>
      <c r="C765" s="10"/>
      <c r="D765" s="10"/>
      <c r="E765" s="10"/>
      <c r="F765" s="10"/>
    </row>
    <row r="766">
      <c r="A766" s="10"/>
      <c r="B766" s="10"/>
      <c r="C766" s="10"/>
      <c r="D766" s="10"/>
      <c r="E766" s="10"/>
      <c r="F766" s="10"/>
    </row>
    <row r="767">
      <c r="A767" s="10"/>
      <c r="B767" s="10"/>
      <c r="C767" s="10"/>
      <c r="D767" s="10"/>
      <c r="E767" s="10"/>
      <c r="F767" s="10"/>
    </row>
    <row r="768">
      <c r="A768" s="10"/>
      <c r="B768" s="10"/>
      <c r="C768" s="10"/>
      <c r="D768" s="10"/>
      <c r="E768" s="10"/>
      <c r="F768" s="10"/>
    </row>
    <row r="769">
      <c r="A769" s="10"/>
      <c r="B769" s="10"/>
      <c r="C769" s="10"/>
      <c r="D769" s="10"/>
      <c r="E769" s="10"/>
      <c r="F769" s="10"/>
    </row>
    <row r="770">
      <c r="A770" s="10"/>
      <c r="B770" s="10"/>
      <c r="C770" s="10"/>
      <c r="D770" s="10"/>
      <c r="E770" s="10"/>
      <c r="F770" s="10"/>
    </row>
    <row r="771">
      <c r="A771" s="10"/>
      <c r="B771" s="10"/>
      <c r="C771" s="10"/>
      <c r="D771" s="10"/>
      <c r="E771" s="10"/>
      <c r="F771" s="10"/>
    </row>
    <row r="772">
      <c r="A772" s="10"/>
      <c r="B772" s="10"/>
      <c r="C772" s="10"/>
      <c r="D772" s="10"/>
      <c r="E772" s="10"/>
      <c r="F772" s="10"/>
    </row>
    <row r="773">
      <c r="A773" s="10"/>
      <c r="B773" s="10"/>
      <c r="C773" s="10"/>
      <c r="D773" s="10"/>
      <c r="E773" s="10"/>
      <c r="F773" s="10"/>
    </row>
    <row r="774">
      <c r="A774" s="10"/>
      <c r="B774" s="10"/>
      <c r="C774" s="10"/>
      <c r="D774" s="10"/>
      <c r="E774" s="10"/>
      <c r="F774" s="10"/>
    </row>
    <row r="775">
      <c r="A775" s="10"/>
      <c r="B775" s="10"/>
      <c r="C775" s="10"/>
      <c r="D775" s="10"/>
      <c r="E775" s="10"/>
      <c r="F775" s="10"/>
    </row>
    <row r="776">
      <c r="A776" s="10"/>
      <c r="B776" s="10"/>
      <c r="C776" s="10"/>
      <c r="D776" s="10"/>
      <c r="E776" s="10"/>
      <c r="F776" s="10"/>
    </row>
    <row r="777">
      <c r="A777" s="10"/>
      <c r="B777" s="10"/>
      <c r="C777" s="10"/>
      <c r="D777" s="10"/>
      <c r="E777" s="10"/>
      <c r="F777" s="10"/>
    </row>
    <row r="778">
      <c r="A778" s="10"/>
      <c r="B778" s="10"/>
      <c r="C778" s="10"/>
      <c r="D778" s="10"/>
      <c r="E778" s="10"/>
      <c r="F778" s="10"/>
    </row>
    <row r="779">
      <c r="A779" s="10"/>
      <c r="B779" s="10"/>
      <c r="C779" s="10"/>
      <c r="D779" s="10"/>
      <c r="E779" s="10"/>
      <c r="F779" s="10"/>
    </row>
    <row r="780">
      <c r="A780" s="10"/>
      <c r="B780" s="10"/>
      <c r="C780" s="10"/>
      <c r="D780" s="10"/>
      <c r="E780" s="10"/>
      <c r="F780" s="10"/>
    </row>
    <row r="781">
      <c r="A781" s="10"/>
      <c r="B781" s="10"/>
      <c r="C781" s="10"/>
      <c r="D781" s="10"/>
      <c r="E781" s="10"/>
      <c r="F781" s="10"/>
    </row>
    <row r="782">
      <c r="A782" s="10"/>
      <c r="B782" s="10"/>
      <c r="C782" s="10"/>
      <c r="D782" s="10"/>
      <c r="E782" s="10"/>
      <c r="F782" s="10"/>
    </row>
    <row r="783">
      <c r="A783" s="10"/>
      <c r="B783" s="10"/>
      <c r="C783" s="10"/>
      <c r="D783" s="10"/>
      <c r="E783" s="10"/>
      <c r="F783" s="10"/>
    </row>
    <row r="784">
      <c r="A784" s="10"/>
      <c r="B784" s="10"/>
      <c r="C784" s="10"/>
      <c r="D784" s="10"/>
      <c r="E784" s="10"/>
      <c r="F784" s="10"/>
    </row>
    <row r="785">
      <c r="A785" s="10"/>
      <c r="B785" s="10"/>
      <c r="C785" s="10"/>
      <c r="D785" s="10"/>
      <c r="E785" s="10"/>
      <c r="F785" s="10"/>
    </row>
    <row r="786">
      <c r="A786" s="10"/>
      <c r="B786" s="10"/>
      <c r="C786" s="10"/>
      <c r="D786" s="10"/>
      <c r="E786" s="10"/>
      <c r="F786" s="10"/>
    </row>
    <row r="787">
      <c r="A787" s="10"/>
      <c r="B787" s="10"/>
      <c r="C787" s="10"/>
      <c r="D787" s="10"/>
      <c r="E787" s="10"/>
      <c r="F787" s="10"/>
    </row>
    <row r="788">
      <c r="A788" s="10"/>
      <c r="B788" s="10"/>
      <c r="C788" s="10"/>
      <c r="D788" s="10"/>
      <c r="E788" s="10"/>
      <c r="F788" s="10"/>
    </row>
    <row r="789">
      <c r="A789" s="10"/>
      <c r="B789" s="10"/>
      <c r="C789" s="10"/>
      <c r="D789" s="10"/>
      <c r="E789" s="10"/>
      <c r="F789" s="10"/>
    </row>
    <row r="790">
      <c r="A790" s="10"/>
      <c r="B790" s="10"/>
      <c r="C790" s="10"/>
      <c r="D790" s="10"/>
      <c r="E790" s="10"/>
      <c r="F790" s="10"/>
    </row>
    <row r="791">
      <c r="A791" s="10"/>
      <c r="B791" s="10"/>
      <c r="C791" s="10"/>
      <c r="D791" s="10"/>
      <c r="E791" s="10"/>
      <c r="F791" s="10"/>
    </row>
    <row r="792">
      <c r="A792" s="10"/>
      <c r="B792" s="10"/>
      <c r="C792" s="10"/>
      <c r="D792" s="10"/>
      <c r="E792" s="10"/>
      <c r="F792" s="10"/>
    </row>
    <row r="793">
      <c r="A793" s="10"/>
      <c r="B793" s="10"/>
      <c r="C793" s="10"/>
      <c r="D793" s="10"/>
      <c r="E793" s="10"/>
      <c r="F793" s="10"/>
    </row>
    <row r="794">
      <c r="A794" s="10"/>
      <c r="B794" s="10"/>
      <c r="C794" s="10"/>
      <c r="D794" s="10"/>
      <c r="E794" s="10"/>
      <c r="F794" s="10"/>
    </row>
    <row r="795">
      <c r="A795" s="10"/>
      <c r="B795" s="10"/>
      <c r="C795" s="10"/>
      <c r="D795" s="10"/>
      <c r="E795" s="10"/>
      <c r="F795" s="10"/>
    </row>
    <row r="796">
      <c r="A796" s="10"/>
      <c r="B796" s="10"/>
      <c r="C796" s="10"/>
      <c r="D796" s="10"/>
      <c r="E796" s="10"/>
      <c r="F796" s="10"/>
    </row>
    <row r="797">
      <c r="A797" s="10"/>
      <c r="B797" s="10"/>
      <c r="C797" s="10"/>
      <c r="D797" s="10"/>
      <c r="E797" s="10"/>
      <c r="F797" s="10"/>
    </row>
    <row r="798">
      <c r="A798" s="10"/>
      <c r="B798" s="10"/>
      <c r="C798" s="10"/>
      <c r="D798" s="10"/>
      <c r="E798" s="10"/>
      <c r="F798" s="10"/>
    </row>
    <row r="799">
      <c r="A799" s="10"/>
      <c r="B799" s="10"/>
      <c r="C799" s="10"/>
      <c r="D799" s="10"/>
      <c r="E799" s="10"/>
      <c r="F799" s="10"/>
    </row>
    <row r="800">
      <c r="A800" s="10"/>
      <c r="B800" s="10"/>
      <c r="C800" s="10"/>
      <c r="D800" s="10"/>
      <c r="E800" s="10"/>
      <c r="F800" s="10"/>
    </row>
    <row r="801">
      <c r="A801" s="10"/>
      <c r="B801" s="10"/>
      <c r="C801" s="10"/>
      <c r="D801" s="10"/>
      <c r="E801" s="10"/>
      <c r="F801" s="10"/>
    </row>
    <row r="802">
      <c r="A802" s="10"/>
      <c r="B802" s="10"/>
      <c r="C802" s="10"/>
      <c r="D802" s="10"/>
      <c r="E802" s="10"/>
      <c r="F802" s="10"/>
    </row>
    <row r="803">
      <c r="A803" s="10"/>
      <c r="B803" s="10"/>
      <c r="C803" s="10"/>
      <c r="D803" s="10"/>
      <c r="E803" s="10"/>
      <c r="F803" s="10"/>
    </row>
    <row r="804">
      <c r="A804" s="10"/>
      <c r="B804" s="10"/>
      <c r="C804" s="10"/>
      <c r="D804" s="10"/>
      <c r="E804" s="10"/>
      <c r="F804" s="10"/>
    </row>
    <row r="805">
      <c r="A805" s="10"/>
      <c r="B805" s="10"/>
      <c r="C805" s="10"/>
      <c r="D805" s="10"/>
      <c r="E805" s="10"/>
      <c r="F805" s="10"/>
    </row>
    <row r="806">
      <c r="A806" s="10"/>
      <c r="B806" s="10"/>
      <c r="C806" s="10"/>
      <c r="D806" s="10"/>
      <c r="E806" s="10"/>
      <c r="F806" s="10"/>
    </row>
    <row r="807">
      <c r="A807" s="10"/>
      <c r="B807" s="10"/>
      <c r="C807" s="10"/>
      <c r="D807" s="10"/>
      <c r="E807" s="10"/>
      <c r="F807" s="10"/>
    </row>
    <row r="808">
      <c r="A808" s="10"/>
      <c r="B808" s="10"/>
      <c r="C808" s="10"/>
      <c r="D808" s="10"/>
      <c r="E808" s="10"/>
      <c r="F808" s="10"/>
    </row>
    <row r="809">
      <c r="A809" s="10"/>
      <c r="B809" s="10"/>
      <c r="C809" s="10"/>
      <c r="D809" s="10"/>
      <c r="E809" s="10"/>
      <c r="F809" s="10"/>
    </row>
    <row r="810">
      <c r="A810" s="10"/>
      <c r="B810" s="10"/>
      <c r="C810" s="10"/>
      <c r="D810" s="10"/>
      <c r="E810" s="10"/>
      <c r="F810" s="10"/>
    </row>
    <row r="811">
      <c r="A811" s="10"/>
      <c r="B811" s="10"/>
      <c r="C811" s="10"/>
      <c r="D811" s="10"/>
      <c r="E811" s="10"/>
      <c r="F811" s="10"/>
    </row>
    <row r="812">
      <c r="A812" s="10"/>
      <c r="B812" s="10"/>
      <c r="C812" s="10"/>
      <c r="D812" s="10"/>
      <c r="E812" s="10"/>
      <c r="F812" s="10"/>
    </row>
    <row r="813">
      <c r="A813" s="10"/>
      <c r="B813" s="10"/>
      <c r="C813" s="10"/>
      <c r="D813" s="10"/>
      <c r="E813" s="10"/>
      <c r="F813" s="10"/>
    </row>
    <row r="814">
      <c r="A814" s="10"/>
      <c r="B814" s="10"/>
      <c r="C814" s="10"/>
      <c r="D814" s="10"/>
      <c r="E814" s="10"/>
      <c r="F814" s="10"/>
    </row>
    <row r="815">
      <c r="A815" s="10"/>
      <c r="B815" s="10"/>
      <c r="C815" s="10"/>
      <c r="D815" s="10"/>
      <c r="E815" s="10"/>
      <c r="F815" s="10"/>
    </row>
    <row r="816">
      <c r="A816" s="10"/>
      <c r="B816" s="10"/>
      <c r="C816" s="10"/>
      <c r="D816" s="10"/>
      <c r="E816" s="10"/>
      <c r="F816" s="10"/>
    </row>
    <row r="817">
      <c r="A817" s="10"/>
      <c r="B817" s="10"/>
      <c r="C817" s="10"/>
      <c r="D817" s="10"/>
      <c r="E817" s="10"/>
      <c r="F817" s="10"/>
    </row>
    <row r="818">
      <c r="A818" s="10"/>
      <c r="B818" s="10"/>
      <c r="C818" s="10"/>
      <c r="D818" s="10"/>
      <c r="E818" s="10"/>
      <c r="F818" s="10"/>
    </row>
    <row r="819">
      <c r="A819" s="10"/>
      <c r="B819" s="10"/>
      <c r="C819" s="10"/>
      <c r="D819" s="10"/>
      <c r="E819" s="10"/>
      <c r="F819" s="10"/>
    </row>
    <row r="820">
      <c r="A820" s="10"/>
      <c r="B820" s="10"/>
      <c r="C820" s="10"/>
      <c r="D820" s="10"/>
      <c r="E820" s="10"/>
      <c r="F820" s="10"/>
    </row>
    <row r="821">
      <c r="A821" s="10"/>
      <c r="B821" s="10"/>
      <c r="C821" s="10"/>
      <c r="D821" s="10"/>
      <c r="E821" s="10"/>
      <c r="F821" s="10"/>
    </row>
    <row r="822">
      <c r="A822" s="10"/>
      <c r="B822" s="10"/>
      <c r="C822" s="10"/>
      <c r="D822" s="10"/>
      <c r="E822" s="10"/>
      <c r="F822" s="10"/>
    </row>
    <row r="823">
      <c r="A823" s="10"/>
      <c r="B823" s="10"/>
      <c r="C823" s="10"/>
      <c r="D823" s="10"/>
      <c r="E823" s="10"/>
      <c r="F823" s="10"/>
    </row>
    <row r="824">
      <c r="A824" s="10"/>
      <c r="B824" s="10"/>
      <c r="C824" s="10"/>
      <c r="D824" s="10"/>
      <c r="E824" s="10"/>
      <c r="F824" s="10"/>
    </row>
    <row r="825">
      <c r="A825" s="10"/>
      <c r="B825" s="10"/>
      <c r="C825" s="10"/>
      <c r="D825" s="10"/>
      <c r="E825" s="10"/>
      <c r="F825" s="10"/>
    </row>
    <row r="826">
      <c r="A826" s="10"/>
      <c r="B826" s="10"/>
      <c r="C826" s="10"/>
      <c r="D826" s="10"/>
      <c r="E826" s="10"/>
      <c r="F826" s="10"/>
    </row>
    <row r="827">
      <c r="A827" s="10"/>
      <c r="B827" s="10"/>
      <c r="C827" s="10"/>
      <c r="D827" s="10"/>
      <c r="E827" s="10"/>
      <c r="F827" s="10"/>
    </row>
    <row r="828">
      <c r="A828" s="10"/>
      <c r="B828" s="10"/>
      <c r="C828" s="10"/>
      <c r="D828" s="10"/>
      <c r="E828" s="10"/>
      <c r="F828" s="10"/>
    </row>
    <row r="829">
      <c r="A829" s="10"/>
      <c r="B829" s="10"/>
      <c r="C829" s="10"/>
      <c r="D829" s="10"/>
      <c r="E829" s="10"/>
      <c r="F829" s="10"/>
    </row>
    <row r="830">
      <c r="A830" s="10"/>
      <c r="B830" s="10"/>
      <c r="C830" s="10"/>
      <c r="D830" s="10"/>
      <c r="E830" s="10"/>
      <c r="F830" s="10"/>
    </row>
    <row r="831">
      <c r="A831" s="10"/>
      <c r="B831" s="10"/>
      <c r="C831" s="10"/>
      <c r="D831" s="10"/>
      <c r="E831" s="10"/>
      <c r="F831" s="10"/>
    </row>
    <row r="832">
      <c r="A832" s="10"/>
      <c r="B832" s="10"/>
      <c r="C832" s="10"/>
      <c r="D832" s="10"/>
      <c r="E832" s="10"/>
      <c r="F832" s="10"/>
    </row>
    <row r="833">
      <c r="A833" s="10"/>
      <c r="B833" s="10"/>
      <c r="C833" s="10"/>
      <c r="D833" s="10"/>
      <c r="E833" s="10"/>
      <c r="F833" s="10"/>
    </row>
    <row r="834">
      <c r="A834" s="10"/>
      <c r="B834" s="10"/>
      <c r="C834" s="10"/>
      <c r="D834" s="10"/>
      <c r="E834" s="10"/>
      <c r="F834" s="10"/>
    </row>
    <row r="835">
      <c r="A835" s="10"/>
      <c r="B835" s="10"/>
      <c r="C835" s="10"/>
      <c r="D835" s="10"/>
      <c r="E835" s="10"/>
      <c r="F835" s="10"/>
    </row>
    <row r="836">
      <c r="A836" s="10"/>
      <c r="B836" s="10"/>
      <c r="C836" s="10"/>
      <c r="D836" s="10"/>
      <c r="E836" s="10"/>
      <c r="F836" s="10"/>
    </row>
    <row r="837">
      <c r="A837" s="10"/>
      <c r="B837" s="10"/>
      <c r="C837" s="10"/>
      <c r="D837" s="10"/>
      <c r="E837" s="10"/>
      <c r="F837" s="10"/>
    </row>
    <row r="838">
      <c r="A838" s="10"/>
      <c r="B838" s="10"/>
      <c r="C838" s="10"/>
      <c r="D838" s="10"/>
      <c r="E838" s="10"/>
      <c r="F838" s="10"/>
    </row>
    <row r="839">
      <c r="A839" s="10"/>
      <c r="B839" s="10"/>
      <c r="C839" s="10"/>
      <c r="D839" s="10"/>
      <c r="E839" s="10"/>
      <c r="F839" s="10"/>
    </row>
    <row r="840">
      <c r="A840" s="10"/>
      <c r="B840" s="10"/>
      <c r="C840" s="10"/>
      <c r="D840" s="10"/>
      <c r="E840" s="10"/>
      <c r="F840" s="10"/>
    </row>
    <row r="841">
      <c r="A841" s="10"/>
      <c r="B841" s="10"/>
      <c r="C841" s="10"/>
      <c r="D841" s="10"/>
      <c r="E841" s="10"/>
      <c r="F841" s="10"/>
    </row>
    <row r="842">
      <c r="A842" s="10"/>
      <c r="B842" s="10"/>
      <c r="C842" s="10"/>
      <c r="D842" s="10"/>
      <c r="E842" s="10"/>
      <c r="F842" s="10"/>
    </row>
    <row r="843">
      <c r="A843" s="10"/>
      <c r="B843" s="10"/>
      <c r="C843" s="10"/>
      <c r="D843" s="10"/>
      <c r="E843" s="10"/>
      <c r="F843" s="10"/>
    </row>
    <row r="844">
      <c r="A844" s="10"/>
      <c r="B844" s="10"/>
      <c r="C844" s="10"/>
      <c r="D844" s="10"/>
      <c r="E844" s="10"/>
      <c r="F844" s="10"/>
    </row>
    <row r="845">
      <c r="A845" s="10"/>
      <c r="B845" s="10"/>
      <c r="C845" s="10"/>
      <c r="D845" s="10"/>
      <c r="E845" s="10"/>
      <c r="F845" s="10"/>
    </row>
    <row r="846">
      <c r="A846" s="10"/>
      <c r="B846" s="10"/>
      <c r="C846" s="10"/>
      <c r="D846" s="10"/>
      <c r="E846" s="10"/>
      <c r="F846" s="10"/>
    </row>
    <row r="847">
      <c r="A847" s="10"/>
      <c r="B847" s="10"/>
      <c r="C847" s="10"/>
      <c r="D847" s="10"/>
      <c r="E847" s="10"/>
      <c r="F847" s="10"/>
    </row>
    <row r="848">
      <c r="A848" s="10"/>
      <c r="B848" s="10"/>
      <c r="C848" s="10"/>
      <c r="D848" s="10"/>
      <c r="E848" s="10"/>
      <c r="F848" s="10"/>
    </row>
    <row r="849">
      <c r="A849" s="10"/>
      <c r="B849" s="10"/>
      <c r="C849" s="10"/>
      <c r="D849" s="10"/>
      <c r="E849" s="10"/>
      <c r="F849" s="10"/>
    </row>
    <row r="850">
      <c r="A850" s="10"/>
      <c r="B850" s="10"/>
      <c r="C850" s="10"/>
      <c r="D850" s="10"/>
      <c r="E850" s="10"/>
      <c r="F850" s="10"/>
    </row>
    <row r="851">
      <c r="A851" s="10"/>
      <c r="B851" s="10"/>
      <c r="C851" s="10"/>
      <c r="D851" s="10"/>
      <c r="E851" s="10"/>
      <c r="F851" s="10"/>
    </row>
    <row r="852">
      <c r="A852" s="10"/>
      <c r="B852" s="10"/>
      <c r="C852" s="10"/>
      <c r="D852" s="10"/>
      <c r="E852" s="10"/>
      <c r="F852" s="10"/>
    </row>
    <row r="853">
      <c r="A853" s="10"/>
      <c r="B853" s="10"/>
      <c r="C853" s="10"/>
      <c r="D853" s="10"/>
      <c r="E853" s="10"/>
      <c r="F853" s="10"/>
    </row>
    <row r="854">
      <c r="A854" s="10"/>
      <c r="B854" s="10"/>
      <c r="C854" s="10"/>
      <c r="D854" s="10"/>
      <c r="E854" s="10"/>
      <c r="F854" s="10"/>
    </row>
    <row r="855">
      <c r="A855" s="10"/>
      <c r="B855" s="10"/>
      <c r="C855" s="10"/>
      <c r="D855" s="10"/>
      <c r="E855" s="10"/>
      <c r="F855" s="10"/>
    </row>
    <row r="856">
      <c r="A856" s="10"/>
      <c r="B856" s="10"/>
      <c r="C856" s="10"/>
      <c r="D856" s="10"/>
      <c r="E856" s="10"/>
      <c r="F856" s="10"/>
    </row>
    <row r="857">
      <c r="A857" s="10"/>
      <c r="B857" s="10"/>
      <c r="C857" s="10"/>
      <c r="D857" s="10"/>
      <c r="E857" s="10"/>
      <c r="F857" s="10"/>
    </row>
    <row r="858">
      <c r="A858" s="10"/>
      <c r="B858" s="10"/>
      <c r="C858" s="10"/>
      <c r="D858" s="10"/>
      <c r="E858" s="10"/>
      <c r="F858" s="10"/>
    </row>
    <row r="859">
      <c r="A859" s="10"/>
      <c r="B859" s="10"/>
      <c r="C859" s="10"/>
      <c r="D859" s="10"/>
      <c r="E859" s="10"/>
      <c r="F859" s="10"/>
    </row>
    <row r="860">
      <c r="A860" s="10"/>
      <c r="B860" s="10"/>
      <c r="C860" s="10"/>
      <c r="D860" s="10"/>
      <c r="E860" s="10"/>
      <c r="F860" s="10"/>
    </row>
    <row r="861">
      <c r="A861" s="10"/>
      <c r="B861" s="10"/>
      <c r="C861" s="10"/>
      <c r="D861" s="10"/>
      <c r="E861" s="10"/>
      <c r="F861" s="10"/>
    </row>
    <row r="862">
      <c r="A862" s="10"/>
      <c r="B862" s="10"/>
      <c r="C862" s="10"/>
      <c r="D862" s="10"/>
      <c r="E862" s="10"/>
      <c r="F862" s="10"/>
    </row>
    <row r="863">
      <c r="A863" s="10"/>
      <c r="B863" s="10"/>
      <c r="C863" s="10"/>
      <c r="D863" s="10"/>
      <c r="E863" s="10"/>
      <c r="F863" s="10"/>
    </row>
    <row r="864">
      <c r="A864" s="10"/>
      <c r="B864" s="10"/>
      <c r="C864" s="10"/>
      <c r="D864" s="10"/>
      <c r="E864" s="10"/>
      <c r="F864" s="10"/>
    </row>
    <row r="865">
      <c r="A865" s="10"/>
      <c r="B865" s="10"/>
      <c r="C865" s="10"/>
      <c r="D865" s="10"/>
      <c r="E865" s="10"/>
      <c r="F865" s="10"/>
    </row>
    <row r="866">
      <c r="A866" s="10"/>
      <c r="B866" s="10"/>
      <c r="C866" s="10"/>
      <c r="D866" s="10"/>
      <c r="E866" s="10"/>
      <c r="F866" s="10"/>
    </row>
    <row r="867">
      <c r="A867" s="10"/>
      <c r="B867" s="10"/>
      <c r="C867" s="10"/>
      <c r="D867" s="10"/>
      <c r="E867" s="10"/>
      <c r="F867" s="10"/>
    </row>
    <row r="868">
      <c r="A868" s="10"/>
      <c r="B868" s="10"/>
      <c r="C868" s="10"/>
      <c r="D868" s="10"/>
      <c r="E868" s="10"/>
      <c r="F868" s="10"/>
    </row>
    <row r="869">
      <c r="A869" s="10"/>
      <c r="B869" s="10"/>
      <c r="C869" s="10"/>
      <c r="D869" s="10"/>
      <c r="E869" s="10"/>
      <c r="F869" s="10"/>
    </row>
    <row r="870">
      <c r="A870" s="10"/>
      <c r="B870" s="10"/>
      <c r="C870" s="10"/>
      <c r="D870" s="10"/>
      <c r="E870" s="10"/>
      <c r="F870" s="10"/>
    </row>
    <row r="871">
      <c r="A871" s="10"/>
      <c r="B871" s="10"/>
      <c r="C871" s="10"/>
      <c r="D871" s="10"/>
      <c r="E871" s="10"/>
      <c r="F871" s="10"/>
    </row>
    <row r="872">
      <c r="A872" s="10"/>
      <c r="B872" s="10"/>
      <c r="C872" s="10"/>
      <c r="D872" s="10"/>
      <c r="E872" s="10"/>
      <c r="F872" s="10"/>
    </row>
    <row r="873">
      <c r="A873" s="10"/>
      <c r="B873" s="10"/>
      <c r="C873" s="10"/>
      <c r="D873" s="10"/>
      <c r="E873" s="10"/>
      <c r="F873" s="10"/>
    </row>
    <row r="874">
      <c r="A874" s="10"/>
      <c r="B874" s="10"/>
      <c r="C874" s="10"/>
      <c r="D874" s="10"/>
      <c r="E874" s="10"/>
      <c r="F874" s="10"/>
    </row>
    <row r="875">
      <c r="A875" s="10"/>
      <c r="B875" s="10"/>
      <c r="C875" s="10"/>
      <c r="D875" s="10"/>
      <c r="E875" s="10"/>
      <c r="F875" s="10"/>
    </row>
    <row r="876">
      <c r="A876" s="10"/>
      <c r="B876" s="10"/>
      <c r="C876" s="10"/>
      <c r="D876" s="10"/>
      <c r="E876" s="10"/>
      <c r="F876" s="10"/>
    </row>
    <row r="877">
      <c r="A877" s="10"/>
      <c r="B877" s="10"/>
      <c r="C877" s="10"/>
      <c r="D877" s="10"/>
      <c r="E877" s="10"/>
      <c r="F877" s="10"/>
    </row>
    <row r="878">
      <c r="A878" s="10"/>
      <c r="B878" s="10"/>
      <c r="C878" s="10"/>
      <c r="D878" s="10"/>
      <c r="E878" s="10"/>
      <c r="F878" s="10"/>
    </row>
    <row r="879">
      <c r="A879" s="10"/>
      <c r="B879" s="10"/>
      <c r="C879" s="10"/>
      <c r="D879" s="10"/>
      <c r="E879" s="10"/>
      <c r="F879" s="10"/>
    </row>
    <row r="880">
      <c r="A880" s="10"/>
      <c r="B880" s="10"/>
      <c r="C880" s="10"/>
      <c r="D880" s="10"/>
      <c r="E880" s="10"/>
      <c r="F880" s="10"/>
    </row>
    <row r="881">
      <c r="A881" s="10"/>
      <c r="B881" s="10"/>
      <c r="C881" s="10"/>
      <c r="D881" s="10"/>
      <c r="E881" s="10"/>
      <c r="F881" s="10"/>
    </row>
    <row r="882">
      <c r="A882" s="10"/>
      <c r="B882" s="10"/>
      <c r="C882" s="10"/>
      <c r="D882" s="10"/>
      <c r="E882" s="10"/>
      <c r="F882" s="10"/>
    </row>
    <row r="883">
      <c r="A883" s="10"/>
      <c r="B883" s="10"/>
      <c r="C883" s="10"/>
      <c r="D883" s="10"/>
      <c r="E883" s="10"/>
      <c r="F883" s="10"/>
    </row>
    <row r="884">
      <c r="A884" s="10"/>
      <c r="B884" s="10"/>
      <c r="C884" s="10"/>
      <c r="D884" s="10"/>
      <c r="E884" s="10"/>
      <c r="F884" s="10"/>
    </row>
    <row r="885">
      <c r="A885" s="10"/>
      <c r="B885" s="10"/>
      <c r="C885" s="10"/>
      <c r="D885" s="10"/>
      <c r="E885" s="10"/>
      <c r="F885" s="10"/>
    </row>
    <row r="886">
      <c r="A886" s="10"/>
      <c r="B886" s="10"/>
      <c r="C886" s="10"/>
      <c r="D886" s="10"/>
      <c r="E886" s="10"/>
      <c r="F886" s="10"/>
    </row>
    <row r="887">
      <c r="A887" s="10"/>
      <c r="B887" s="10"/>
      <c r="C887" s="10"/>
      <c r="D887" s="10"/>
      <c r="E887" s="10"/>
      <c r="F887" s="10"/>
    </row>
    <row r="888">
      <c r="A888" s="10"/>
      <c r="B888" s="10"/>
      <c r="C888" s="10"/>
      <c r="D888" s="10"/>
      <c r="E888" s="10"/>
      <c r="F888" s="10"/>
    </row>
    <row r="889">
      <c r="A889" s="10"/>
      <c r="B889" s="10"/>
      <c r="C889" s="10"/>
      <c r="D889" s="10"/>
      <c r="E889" s="10"/>
      <c r="F889" s="10"/>
    </row>
    <row r="890">
      <c r="A890" s="10"/>
      <c r="B890" s="10"/>
      <c r="C890" s="10"/>
      <c r="D890" s="10"/>
      <c r="E890" s="10"/>
      <c r="F890" s="10"/>
    </row>
    <row r="891">
      <c r="A891" s="10"/>
      <c r="B891" s="10"/>
      <c r="C891" s="10"/>
      <c r="D891" s="10"/>
      <c r="E891" s="10"/>
      <c r="F891" s="10"/>
    </row>
    <row r="892">
      <c r="A892" s="10"/>
      <c r="B892" s="10"/>
      <c r="C892" s="10"/>
      <c r="D892" s="10"/>
      <c r="E892" s="10"/>
      <c r="F892" s="10"/>
    </row>
    <row r="893">
      <c r="A893" s="10"/>
      <c r="B893" s="10"/>
      <c r="C893" s="10"/>
      <c r="D893" s="10"/>
      <c r="E893" s="10"/>
      <c r="F893" s="10"/>
    </row>
    <row r="894">
      <c r="A894" s="10"/>
      <c r="B894" s="10"/>
      <c r="C894" s="10"/>
      <c r="D894" s="10"/>
      <c r="E894" s="10"/>
      <c r="F894" s="10"/>
    </row>
    <row r="895">
      <c r="A895" s="10"/>
      <c r="B895" s="10"/>
      <c r="C895" s="10"/>
      <c r="D895" s="10"/>
      <c r="E895" s="10"/>
      <c r="F895" s="10"/>
    </row>
    <row r="896">
      <c r="A896" s="10"/>
      <c r="B896" s="10"/>
      <c r="C896" s="10"/>
      <c r="D896" s="10"/>
      <c r="E896" s="10"/>
      <c r="F896" s="10"/>
    </row>
    <row r="897">
      <c r="A897" s="10"/>
      <c r="B897" s="10"/>
      <c r="C897" s="10"/>
      <c r="D897" s="10"/>
      <c r="E897" s="10"/>
      <c r="F897" s="10"/>
    </row>
    <row r="898">
      <c r="A898" s="10"/>
      <c r="B898" s="10"/>
      <c r="C898" s="10"/>
      <c r="D898" s="10"/>
      <c r="E898" s="10"/>
      <c r="F898" s="10"/>
    </row>
    <row r="899">
      <c r="A899" s="10"/>
      <c r="B899" s="10"/>
      <c r="C899" s="10"/>
      <c r="D899" s="10"/>
      <c r="E899" s="10"/>
      <c r="F899" s="10"/>
    </row>
    <row r="900">
      <c r="A900" s="10"/>
      <c r="B900" s="10"/>
      <c r="C900" s="10"/>
      <c r="D900" s="10"/>
      <c r="E900" s="10"/>
      <c r="F900" s="10"/>
    </row>
    <row r="901">
      <c r="A901" s="10"/>
      <c r="B901" s="10"/>
      <c r="C901" s="10"/>
      <c r="D901" s="10"/>
      <c r="E901" s="10"/>
      <c r="F901" s="10"/>
    </row>
    <row r="902">
      <c r="A902" s="10"/>
      <c r="B902" s="10"/>
      <c r="C902" s="10"/>
      <c r="D902" s="10"/>
      <c r="E902" s="10"/>
      <c r="F902" s="10"/>
    </row>
    <row r="903">
      <c r="A903" s="10"/>
      <c r="B903" s="10"/>
      <c r="C903" s="10"/>
      <c r="D903" s="10"/>
      <c r="E903" s="10"/>
      <c r="F903" s="10"/>
    </row>
    <row r="904">
      <c r="A904" s="10"/>
      <c r="B904" s="10"/>
      <c r="C904" s="10"/>
      <c r="D904" s="10"/>
      <c r="E904" s="10"/>
      <c r="F904" s="10"/>
    </row>
    <row r="905">
      <c r="A905" s="10"/>
      <c r="B905" s="10"/>
      <c r="C905" s="10"/>
      <c r="D905" s="10"/>
      <c r="E905" s="10"/>
      <c r="F905" s="10"/>
    </row>
    <row r="906">
      <c r="A906" s="10"/>
      <c r="B906" s="10"/>
      <c r="C906" s="10"/>
      <c r="D906" s="10"/>
      <c r="E906" s="10"/>
      <c r="F906" s="10"/>
    </row>
    <row r="907">
      <c r="A907" s="10"/>
      <c r="B907" s="10"/>
      <c r="C907" s="10"/>
      <c r="D907" s="10"/>
      <c r="E907" s="10"/>
      <c r="F907" s="10"/>
    </row>
    <row r="908">
      <c r="A908" s="10"/>
      <c r="B908" s="10"/>
      <c r="C908" s="10"/>
      <c r="D908" s="10"/>
      <c r="E908" s="10"/>
      <c r="F908" s="10"/>
    </row>
    <row r="909">
      <c r="A909" s="10"/>
      <c r="B909" s="10"/>
      <c r="C909" s="10"/>
      <c r="D909" s="10"/>
      <c r="E909" s="10"/>
      <c r="F909" s="10"/>
    </row>
    <row r="910">
      <c r="A910" s="10"/>
      <c r="B910" s="10"/>
      <c r="C910" s="10"/>
      <c r="D910" s="10"/>
      <c r="E910" s="10"/>
      <c r="F910" s="10"/>
    </row>
    <row r="911">
      <c r="A911" s="10"/>
      <c r="B911" s="10"/>
      <c r="C911" s="10"/>
      <c r="D911" s="10"/>
      <c r="E911" s="10"/>
      <c r="F911" s="10"/>
    </row>
    <row r="912">
      <c r="A912" s="10"/>
      <c r="B912" s="10"/>
      <c r="C912" s="10"/>
      <c r="D912" s="10"/>
      <c r="E912" s="10"/>
      <c r="F912" s="10"/>
    </row>
    <row r="913">
      <c r="A913" s="10"/>
      <c r="B913" s="10"/>
      <c r="C913" s="10"/>
      <c r="D913" s="10"/>
      <c r="E913" s="10"/>
      <c r="F913" s="10"/>
    </row>
    <row r="914">
      <c r="A914" s="10"/>
      <c r="B914" s="10"/>
      <c r="C914" s="10"/>
      <c r="D914" s="10"/>
      <c r="E914" s="10"/>
      <c r="F914" s="10"/>
    </row>
    <row r="915">
      <c r="A915" s="10"/>
      <c r="B915" s="10"/>
      <c r="C915" s="10"/>
      <c r="D915" s="10"/>
      <c r="E915" s="10"/>
      <c r="F915" s="10"/>
    </row>
    <row r="916">
      <c r="A916" s="10"/>
      <c r="B916" s="10"/>
      <c r="C916" s="10"/>
      <c r="D916" s="10"/>
      <c r="E916" s="10"/>
      <c r="F916" s="10"/>
    </row>
    <row r="917">
      <c r="A917" s="10"/>
      <c r="B917" s="10"/>
      <c r="C917" s="10"/>
      <c r="D917" s="10"/>
      <c r="E917" s="10"/>
      <c r="F917" s="10"/>
    </row>
    <row r="918">
      <c r="A918" s="10"/>
      <c r="B918" s="10"/>
      <c r="C918" s="10"/>
      <c r="D918" s="10"/>
      <c r="E918" s="10"/>
      <c r="F918" s="10"/>
    </row>
    <row r="919">
      <c r="A919" s="10"/>
      <c r="B919" s="10"/>
      <c r="C919" s="10"/>
      <c r="D919" s="10"/>
      <c r="E919" s="10"/>
      <c r="F919" s="10"/>
    </row>
    <row r="920">
      <c r="A920" s="10"/>
      <c r="B920" s="10"/>
      <c r="C920" s="10"/>
      <c r="D920" s="10"/>
      <c r="E920" s="10"/>
      <c r="F920" s="10"/>
    </row>
    <row r="921">
      <c r="A921" s="10"/>
      <c r="B921" s="10"/>
      <c r="C921" s="10"/>
      <c r="D921" s="10"/>
      <c r="E921" s="10"/>
      <c r="F921" s="10"/>
    </row>
    <row r="922">
      <c r="A922" s="10"/>
      <c r="B922" s="10"/>
      <c r="C922" s="10"/>
      <c r="D922" s="10"/>
      <c r="E922" s="10"/>
      <c r="F922" s="10"/>
    </row>
    <row r="923">
      <c r="A923" s="10"/>
      <c r="B923" s="10"/>
      <c r="C923" s="10"/>
      <c r="D923" s="10"/>
      <c r="E923" s="10"/>
      <c r="F923" s="10"/>
    </row>
    <row r="924">
      <c r="A924" s="10"/>
      <c r="B924" s="10"/>
      <c r="C924" s="10"/>
      <c r="D924" s="10"/>
      <c r="E924" s="10"/>
      <c r="F924" s="10"/>
    </row>
    <row r="925">
      <c r="A925" s="10"/>
      <c r="B925" s="10"/>
      <c r="C925" s="10"/>
      <c r="D925" s="10"/>
      <c r="E925" s="10"/>
      <c r="F925" s="10"/>
    </row>
    <row r="926">
      <c r="A926" s="10"/>
      <c r="B926" s="10"/>
      <c r="C926" s="10"/>
      <c r="D926" s="10"/>
      <c r="E926" s="10"/>
      <c r="F926" s="10"/>
    </row>
    <row r="927">
      <c r="A927" s="10"/>
      <c r="B927" s="10"/>
      <c r="C927" s="10"/>
      <c r="D927" s="10"/>
      <c r="E927" s="10"/>
      <c r="F927" s="10"/>
    </row>
    <row r="928">
      <c r="A928" s="10"/>
      <c r="B928" s="10"/>
      <c r="C928" s="10"/>
      <c r="D928" s="10"/>
      <c r="E928" s="10"/>
      <c r="F928" s="10"/>
    </row>
    <row r="929">
      <c r="A929" s="10"/>
      <c r="B929" s="10"/>
      <c r="C929" s="10"/>
      <c r="D929" s="10"/>
      <c r="E929" s="10"/>
      <c r="F929" s="10"/>
    </row>
    <row r="930">
      <c r="A930" s="10"/>
      <c r="B930" s="10"/>
      <c r="C930" s="10"/>
      <c r="D930" s="10"/>
      <c r="E930" s="10"/>
      <c r="F930" s="10"/>
    </row>
    <row r="931">
      <c r="A931" s="10"/>
      <c r="B931" s="10"/>
      <c r="C931" s="10"/>
      <c r="D931" s="10"/>
      <c r="E931" s="10"/>
      <c r="F931" s="10"/>
    </row>
    <row r="932">
      <c r="A932" s="10"/>
      <c r="B932" s="10"/>
      <c r="C932" s="10"/>
      <c r="D932" s="10"/>
      <c r="E932" s="10"/>
      <c r="F932" s="10"/>
    </row>
    <row r="933">
      <c r="A933" s="10"/>
      <c r="B933" s="10"/>
      <c r="C933" s="10"/>
      <c r="D933" s="10"/>
      <c r="E933" s="10"/>
      <c r="F933" s="10"/>
    </row>
    <row r="934">
      <c r="A934" s="10"/>
      <c r="B934" s="10"/>
      <c r="C934" s="10"/>
      <c r="D934" s="10"/>
      <c r="E934" s="10"/>
      <c r="F934" s="10"/>
    </row>
    <row r="935">
      <c r="A935" s="10"/>
      <c r="B935" s="10"/>
      <c r="C935" s="10"/>
      <c r="D935" s="10"/>
      <c r="E935" s="10"/>
      <c r="F935" s="10"/>
    </row>
    <row r="936">
      <c r="A936" s="10"/>
      <c r="B936" s="10"/>
      <c r="C936" s="10"/>
      <c r="D936" s="10"/>
      <c r="E936" s="10"/>
      <c r="F936" s="10"/>
    </row>
    <row r="937">
      <c r="A937" s="10"/>
      <c r="B937" s="10"/>
      <c r="C937" s="10"/>
      <c r="D937" s="10"/>
      <c r="E937" s="10"/>
      <c r="F937" s="10"/>
    </row>
    <row r="938">
      <c r="A938" s="10"/>
      <c r="B938" s="10"/>
      <c r="C938" s="10"/>
      <c r="D938" s="10"/>
      <c r="E938" s="10"/>
      <c r="F938" s="10"/>
    </row>
    <row r="939">
      <c r="A939" s="10"/>
      <c r="B939" s="10"/>
      <c r="C939" s="10"/>
      <c r="D939" s="10"/>
      <c r="E939" s="10"/>
      <c r="F939" s="10"/>
    </row>
    <row r="940">
      <c r="A940" s="10"/>
      <c r="B940" s="10"/>
      <c r="C940" s="10"/>
      <c r="D940" s="10"/>
      <c r="E940" s="10"/>
      <c r="F940" s="10"/>
    </row>
    <row r="941">
      <c r="A941" s="10"/>
      <c r="B941" s="10"/>
      <c r="C941" s="10"/>
      <c r="D941" s="10"/>
      <c r="E941" s="10"/>
      <c r="F941" s="10"/>
    </row>
    <row r="942">
      <c r="A942" s="10"/>
      <c r="B942" s="10"/>
      <c r="C942" s="10"/>
      <c r="D942" s="10"/>
      <c r="E942" s="10"/>
      <c r="F942" s="10"/>
    </row>
    <row r="943">
      <c r="A943" s="10"/>
      <c r="B943" s="10"/>
      <c r="C943" s="10"/>
      <c r="D943" s="10"/>
      <c r="E943" s="10"/>
      <c r="F943" s="10"/>
    </row>
    <row r="944">
      <c r="A944" s="10"/>
      <c r="B944" s="10"/>
      <c r="C944" s="10"/>
      <c r="D944" s="10"/>
      <c r="E944" s="10"/>
      <c r="F944" s="10"/>
    </row>
    <row r="945">
      <c r="A945" s="10"/>
      <c r="B945" s="10"/>
      <c r="C945" s="10"/>
      <c r="D945" s="10"/>
      <c r="E945" s="10"/>
      <c r="F945" s="10"/>
    </row>
    <row r="946">
      <c r="A946" s="10"/>
      <c r="B946" s="10"/>
      <c r="C946" s="10"/>
      <c r="D946" s="10"/>
      <c r="E946" s="10"/>
      <c r="F946" s="10"/>
    </row>
    <row r="947">
      <c r="A947" s="10"/>
      <c r="B947" s="10"/>
      <c r="C947" s="10"/>
      <c r="D947" s="10"/>
      <c r="E947" s="10"/>
      <c r="F947" s="10"/>
    </row>
    <row r="948">
      <c r="A948" s="10"/>
      <c r="B948" s="10"/>
      <c r="C948" s="10"/>
      <c r="D948" s="10"/>
      <c r="E948" s="10"/>
      <c r="F948" s="10"/>
    </row>
    <row r="949">
      <c r="A949" s="10"/>
      <c r="B949" s="10"/>
      <c r="C949" s="10"/>
      <c r="D949" s="10"/>
      <c r="E949" s="10"/>
      <c r="F949" s="10"/>
    </row>
    <row r="950">
      <c r="A950" s="10"/>
      <c r="B950" s="10"/>
      <c r="C950" s="10"/>
      <c r="D950" s="10"/>
      <c r="E950" s="10"/>
      <c r="F950" s="10"/>
    </row>
    <row r="951">
      <c r="A951" s="10"/>
      <c r="B951" s="10"/>
      <c r="C951" s="10"/>
      <c r="D951" s="10"/>
      <c r="E951" s="10"/>
      <c r="F951" s="10"/>
    </row>
    <row r="952">
      <c r="A952" s="10"/>
      <c r="B952" s="10"/>
      <c r="C952" s="10"/>
      <c r="D952" s="10"/>
      <c r="E952" s="10"/>
      <c r="F952" s="10"/>
    </row>
    <row r="953">
      <c r="A953" s="10"/>
      <c r="B953" s="10"/>
      <c r="C953" s="10"/>
      <c r="D953" s="10"/>
      <c r="E953" s="10"/>
      <c r="F953" s="10"/>
    </row>
    <row r="954">
      <c r="A954" s="10"/>
      <c r="B954" s="10"/>
      <c r="C954" s="10"/>
      <c r="D954" s="10"/>
      <c r="E954" s="10"/>
      <c r="F954" s="10"/>
    </row>
    <row r="955">
      <c r="A955" s="10"/>
      <c r="B955" s="10"/>
      <c r="C955" s="10"/>
      <c r="D955" s="10"/>
      <c r="E955" s="10"/>
      <c r="F955" s="10"/>
    </row>
    <row r="956">
      <c r="A956" s="10"/>
      <c r="B956" s="10"/>
      <c r="C956" s="10"/>
      <c r="D956" s="10"/>
      <c r="E956" s="10"/>
      <c r="F956" s="10"/>
    </row>
    <row r="957">
      <c r="A957" s="10"/>
      <c r="B957" s="10"/>
      <c r="C957" s="10"/>
      <c r="D957" s="10"/>
      <c r="E957" s="10"/>
      <c r="F957" s="10"/>
    </row>
    <row r="958">
      <c r="A958" s="10"/>
      <c r="B958" s="10"/>
      <c r="C958" s="10"/>
      <c r="D958" s="10"/>
      <c r="E958" s="10"/>
      <c r="F958" s="10"/>
    </row>
    <row r="959">
      <c r="A959" s="10"/>
      <c r="B959" s="10"/>
      <c r="C959" s="10"/>
      <c r="D959" s="10"/>
      <c r="E959" s="10"/>
      <c r="F959" s="10"/>
    </row>
    <row r="960">
      <c r="A960" s="10"/>
      <c r="B960" s="10"/>
      <c r="C960" s="10"/>
      <c r="D960" s="10"/>
      <c r="E960" s="10"/>
      <c r="F960" s="10"/>
    </row>
    <row r="961">
      <c r="A961" s="10"/>
      <c r="B961" s="10"/>
      <c r="C961" s="10"/>
      <c r="D961" s="10"/>
      <c r="E961" s="10"/>
      <c r="F961" s="10"/>
    </row>
    <row r="962">
      <c r="A962" s="10"/>
      <c r="B962" s="10"/>
      <c r="C962" s="10"/>
      <c r="D962" s="10"/>
      <c r="E962" s="10"/>
      <c r="F962" s="10"/>
    </row>
    <row r="963">
      <c r="A963" s="10"/>
      <c r="B963" s="10"/>
      <c r="C963" s="10"/>
      <c r="D963" s="10"/>
      <c r="E963" s="10"/>
      <c r="F963" s="10"/>
    </row>
    <row r="964">
      <c r="A964" s="10"/>
      <c r="B964" s="10"/>
      <c r="C964" s="10"/>
      <c r="D964" s="10"/>
      <c r="E964" s="10"/>
      <c r="F964" s="10"/>
    </row>
    <row r="965">
      <c r="A965" s="10"/>
      <c r="B965" s="10"/>
      <c r="C965" s="10"/>
      <c r="D965" s="10"/>
      <c r="E965" s="10"/>
      <c r="F965" s="10"/>
    </row>
    <row r="966">
      <c r="A966" s="10"/>
      <c r="B966" s="10"/>
      <c r="C966" s="10"/>
      <c r="D966" s="10"/>
      <c r="E966" s="10"/>
      <c r="F966" s="10"/>
    </row>
    <row r="967">
      <c r="A967" s="10"/>
      <c r="B967" s="10"/>
      <c r="C967" s="10"/>
      <c r="D967" s="10"/>
      <c r="E967" s="10"/>
      <c r="F967" s="10"/>
    </row>
    <row r="968">
      <c r="A968" s="10"/>
      <c r="B968" s="10"/>
      <c r="C968" s="10"/>
      <c r="D968" s="10"/>
      <c r="E968" s="10"/>
      <c r="F968" s="10"/>
    </row>
    <row r="969">
      <c r="A969" s="10"/>
      <c r="B969" s="10"/>
      <c r="C969" s="10"/>
      <c r="D969" s="10"/>
      <c r="E969" s="10"/>
      <c r="F969" s="10"/>
    </row>
    <row r="970">
      <c r="A970" s="10"/>
      <c r="B970" s="10"/>
      <c r="C970" s="10"/>
      <c r="D970" s="10"/>
      <c r="E970" s="10"/>
      <c r="F970" s="10"/>
    </row>
    <row r="971">
      <c r="A971" s="10"/>
      <c r="B971" s="10"/>
      <c r="C971" s="10"/>
      <c r="D971" s="10"/>
      <c r="E971" s="10"/>
      <c r="F971" s="10"/>
    </row>
    <row r="972">
      <c r="A972" s="10"/>
      <c r="B972" s="10"/>
      <c r="C972" s="10"/>
      <c r="D972" s="10"/>
      <c r="E972" s="10"/>
      <c r="F972" s="10"/>
    </row>
    <row r="973">
      <c r="A973" s="10"/>
      <c r="B973" s="10"/>
      <c r="C973" s="10"/>
      <c r="D973" s="10"/>
      <c r="E973" s="10"/>
      <c r="F973" s="10"/>
    </row>
    <row r="974">
      <c r="A974" s="10"/>
      <c r="B974" s="10"/>
      <c r="C974" s="10"/>
      <c r="D974" s="10"/>
      <c r="E974" s="10"/>
      <c r="F974" s="10"/>
    </row>
    <row r="975">
      <c r="A975" s="10"/>
      <c r="B975" s="10"/>
      <c r="C975" s="10"/>
      <c r="D975" s="10"/>
      <c r="E975" s="10"/>
      <c r="F975" s="10"/>
    </row>
    <row r="976">
      <c r="A976" s="10"/>
      <c r="B976" s="10"/>
      <c r="C976" s="10"/>
      <c r="D976" s="10"/>
      <c r="E976" s="10"/>
      <c r="F976" s="10"/>
    </row>
    <row r="977">
      <c r="A977" s="10"/>
      <c r="B977" s="10"/>
      <c r="C977" s="10"/>
      <c r="D977" s="10"/>
      <c r="E977" s="10"/>
      <c r="F977" s="10"/>
    </row>
    <row r="978">
      <c r="A978" s="10"/>
      <c r="B978" s="10"/>
      <c r="C978" s="10"/>
      <c r="D978" s="10"/>
      <c r="E978" s="10"/>
      <c r="F978" s="10"/>
    </row>
    <row r="979">
      <c r="A979" s="10"/>
      <c r="B979" s="10"/>
      <c r="C979" s="10"/>
      <c r="D979" s="10"/>
      <c r="E979" s="10"/>
      <c r="F979" s="10"/>
    </row>
    <row r="980">
      <c r="A980" s="10"/>
      <c r="B980" s="10"/>
      <c r="C980" s="10"/>
      <c r="D980" s="10"/>
      <c r="E980" s="10"/>
      <c r="F980" s="10"/>
    </row>
    <row r="981">
      <c r="A981" s="10"/>
      <c r="B981" s="10"/>
      <c r="C981" s="10"/>
      <c r="D981" s="10"/>
      <c r="E981" s="10"/>
      <c r="F981" s="10"/>
    </row>
    <row r="982">
      <c r="A982" s="10"/>
      <c r="B982" s="10"/>
      <c r="C982" s="10"/>
      <c r="D982" s="10"/>
      <c r="E982" s="10"/>
      <c r="F982" s="10"/>
    </row>
    <row r="983">
      <c r="A983" s="10"/>
      <c r="B983" s="10"/>
      <c r="C983" s="10"/>
      <c r="D983" s="10"/>
      <c r="E983" s="10"/>
      <c r="F983" s="10"/>
    </row>
    <row r="984">
      <c r="A984" s="10"/>
      <c r="B984" s="10"/>
      <c r="C984" s="10"/>
      <c r="D984" s="10"/>
      <c r="E984" s="10"/>
      <c r="F984" s="10"/>
    </row>
    <row r="985">
      <c r="A985" s="10"/>
      <c r="B985" s="10"/>
      <c r="C985" s="10"/>
      <c r="D985" s="10"/>
      <c r="E985" s="10"/>
      <c r="F985" s="10"/>
    </row>
    <row r="986">
      <c r="A986" s="10"/>
      <c r="B986" s="10"/>
      <c r="C986" s="10"/>
      <c r="D986" s="10"/>
      <c r="E986" s="10"/>
      <c r="F986" s="10"/>
    </row>
    <row r="987">
      <c r="A987" s="10"/>
      <c r="B987" s="10"/>
      <c r="C987" s="10"/>
      <c r="D987" s="10"/>
      <c r="E987" s="10"/>
      <c r="F987" s="10"/>
    </row>
    <row r="988">
      <c r="A988" s="10"/>
      <c r="B988" s="10"/>
      <c r="C988" s="10"/>
      <c r="D988" s="10"/>
      <c r="E988" s="10"/>
      <c r="F988" s="10"/>
    </row>
    <row r="989">
      <c r="A989" s="10"/>
      <c r="B989" s="10"/>
      <c r="C989" s="10"/>
      <c r="D989" s="10"/>
      <c r="E989" s="10"/>
      <c r="F989" s="10"/>
    </row>
    <row r="990">
      <c r="A990" s="10"/>
      <c r="B990" s="10"/>
      <c r="C990" s="10"/>
      <c r="D990" s="10"/>
      <c r="E990" s="10"/>
      <c r="F990" s="10"/>
    </row>
    <row r="991">
      <c r="A991" s="10"/>
      <c r="B991" s="10"/>
      <c r="C991" s="10"/>
      <c r="D991" s="10"/>
      <c r="E991" s="10"/>
      <c r="F991" s="10"/>
    </row>
    <row r="992">
      <c r="A992" s="10"/>
      <c r="B992" s="10"/>
      <c r="C992" s="10"/>
      <c r="D992" s="10"/>
      <c r="E992" s="10"/>
      <c r="F992" s="10"/>
    </row>
    <row r="993">
      <c r="A993" s="10"/>
      <c r="B993" s="10"/>
      <c r="C993" s="10"/>
      <c r="D993" s="10"/>
      <c r="E993" s="10"/>
      <c r="F993" s="10"/>
    </row>
    <row r="994">
      <c r="A994" s="10"/>
      <c r="B994" s="10"/>
      <c r="C994" s="10"/>
      <c r="D994" s="10"/>
      <c r="E994" s="10"/>
      <c r="F994" s="10"/>
    </row>
    <row r="995">
      <c r="A995" s="10"/>
      <c r="B995" s="10"/>
      <c r="C995" s="10"/>
      <c r="D995" s="10"/>
      <c r="E995" s="10"/>
      <c r="F995" s="10"/>
    </row>
    <row r="996">
      <c r="A996" s="10"/>
      <c r="B996" s="10"/>
      <c r="C996" s="10"/>
      <c r="D996" s="10"/>
      <c r="E996" s="10"/>
      <c r="F996" s="10"/>
    </row>
    <row r="997">
      <c r="A997" s="10"/>
      <c r="B997" s="10"/>
      <c r="C997" s="10"/>
      <c r="D997" s="10"/>
      <c r="E997" s="10"/>
      <c r="F997" s="10"/>
    </row>
    <row r="998">
      <c r="A998" s="10"/>
      <c r="B998" s="10"/>
      <c r="C998" s="10"/>
      <c r="D998" s="10"/>
      <c r="E998" s="10"/>
      <c r="F998" s="10"/>
    </row>
    <row r="999">
      <c r="A999" s="10"/>
      <c r="B999" s="10"/>
      <c r="C999" s="10"/>
      <c r="D999" s="10"/>
      <c r="E999" s="10"/>
      <c r="F999" s="10"/>
    </row>
    <row r="1000">
      <c r="A1000" s="10"/>
      <c r="B1000" s="10"/>
      <c r="C1000" s="10"/>
      <c r="D1000" s="10"/>
      <c r="E1000" s="10"/>
      <c r="F1000" s="10"/>
    </row>
    <row r="1001">
      <c r="A1001" s="10"/>
      <c r="B1001" s="10"/>
      <c r="C1001" s="10"/>
      <c r="D1001" s="10"/>
      <c r="E1001" s="10"/>
      <c r="F1001" s="10"/>
    </row>
    <row r="1002">
      <c r="A1002" s="10"/>
      <c r="B1002" s="10"/>
      <c r="C1002" s="10"/>
      <c r="D1002" s="10"/>
      <c r="E1002" s="10"/>
      <c r="F1002" s="10"/>
    </row>
    <row r="1003">
      <c r="A1003" s="10"/>
      <c r="B1003" s="10"/>
      <c r="C1003" s="10"/>
      <c r="D1003" s="10"/>
      <c r="E1003" s="10"/>
      <c r="F1003" s="10"/>
    </row>
    <row r="1004">
      <c r="A1004" s="10"/>
      <c r="B1004" s="10"/>
      <c r="C1004" s="10"/>
      <c r="D1004" s="10"/>
      <c r="E1004" s="10"/>
      <c r="F1004" s="10"/>
    </row>
    <row r="1005">
      <c r="A1005" s="10"/>
      <c r="B1005" s="10"/>
      <c r="C1005" s="10"/>
      <c r="D1005" s="10"/>
      <c r="E1005" s="10"/>
      <c r="F1005" s="10"/>
    </row>
    <row r="1006">
      <c r="A1006" s="10"/>
      <c r="B1006" s="10"/>
      <c r="C1006" s="10"/>
      <c r="D1006" s="10"/>
      <c r="E1006" s="10"/>
      <c r="F1006" s="10"/>
    </row>
    <row r="1007">
      <c r="A1007" s="10"/>
      <c r="B1007" s="10"/>
      <c r="C1007" s="10"/>
      <c r="D1007" s="10"/>
      <c r="E1007" s="10"/>
      <c r="F1007" s="10"/>
    </row>
    <row r="1008">
      <c r="A1008" s="10"/>
      <c r="B1008" s="10"/>
      <c r="C1008" s="10"/>
      <c r="D1008" s="10"/>
      <c r="E1008" s="10"/>
      <c r="F1008" s="10"/>
    </row>
    <row r="1009">
      <c r="A1009" s="10"/>
      <c r="B1009" s="10"/>
      <c r="C1009" s="10"/>
      <c r="D1009" s="10"/>
      <c r="E1009" s="10"/>
      <c r="F1009" s="10"/>
    </row>
    <row r="1010">
      <c r="A1010" s="10"/>
      <c r="B1010" s="10"/>
      <c r="C1010" s="10"/>
      <c r="D1010" s="10"/>
      <c r="E1010" s="10"/>
      <c r="F1010" s="10"/>
    </row>
  </sheetData>
  <mergeCells count="11">
    <mergeCell ref="A54:D54"/>
    <mergeCell ref="A60:D60"/>
    <mergeCell ref="A63:D63"/>
    <mergeCell ref="A68:B68"/>
    <mergeCell ref="A5:F5"/>
    <mergeCell ref="A21:F21"/>
    <mergeCell ref="A27:F27"/>
    <mergeCell ref="A35:C35"/>
    <mergeCell ref="A43:C43"/>
    <mergeCell ref="A46:C46"/>
    <mergeCell ref="A52:D5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3.38"/>
    <col customWidth="1" min="3" max="3" width="26.38"/>
    <col customWidth="1" min="4" max="4" width="32.13"/>
    <col customWidth="1" min="5" max="5" width="36.13"/>
    <col customWidth="1" min="6" max="6" width="37.5"/>
    <col customWidth="1" min="7" max="7" width="34.75"/>
    <col customWidth="1" min="8" max="8" width="31.75"/>
  </cols>
  <sheetData>
    <row r="1">
      <c r="A1" s="41" t="s">
        <v>517</v>
      </c>
      <c r="B1" s="42"/>
      <c r="C1" s="42"/>
      <c r="D1" s="42"/>
      <c r="E1" s="42"/>
      <c r="F1" s="42"/>
      <c r="G1" s="42"/>
      <c r="H1" s="42"/>
    </row>
    <row r="2">
      <c r="A2" s="42" t="s">
        <v>104</v>
      </c>
      <c r="B2" s="42" t="s">
        <v>518</v>
      </c>
      <c r="C2" s="42" t="s">
        <v>519</v>
      </c>
      <c r="D2" s="42" t="s">
        <v>520</v>
      </c>
      <c r="E2" s="42" t="s">
        <v>521</v>
      </c>
      <c r="F2" s="42" t="s">
        <v>522</v>
      </c>
      <c r="G2" s="42" t="s">
        <v>523</v>
      </c>
      <c r="H2" s="42" t="s">
        <v>524</v>
      </c>
    </row>
    <row r="3">
      <c r="A3" s="24" t="s">
        <v>31</v>
      </c>
      <c r="B3" s="24" t="s">
        <v>373</v>
      </c>
      <c r="C3" s="24" t="s">
        <v>525</v>
      </c>
      <c r="D3" s="24" t="s">
        <v>526</v>
      </c>
      <c r="E3" s="24" t="s">
        <v>87</v>
      </c>
      <c r="F3" s="24" t="s">
        <v>527</v>
      </c>
      <c r="G3" s="43" t="s">
        <v>528</v>
      </c>
      <c r="H3" s="24" t="s">
        <v>529</v>
      </c>
    </row>
    <row r="4">
      <c r="B4" s="24" t="s">
        <v>408</v>
      </c>
      <c r="C4" s="24" t="s">
        <v>530</v>
      </c>
      <c r="D4" s="24" t="s">
        <v>531</v>
      </c>
      <c r="E4" s="24" t="s">
        <v>87</v>
      </c>
      <c r="G4" s="43" t="s">
        <v>528</v>
      </c>
    </row>
    <row r="5">
      <c r="B5" s="24" t="s">
        <v>421</v>
      </c>
      <c r="C5" s="24" t="s">
        <v>532</v>
      </c>
      <c r="D5" s="24" t="s">
        <v>533</v>
      </c>
      <c r="E5" s="24" t="s">
        <v>87</v>
      </c>
      <c r="G5" s="43" t="s">
        <v>528</v>
      </c>
    </row>
    <row r="6">
      <c r="B6" s="24" t="s">
        <v>534</v>
      </c>
      <c r="C6" s="24" t="s">
        <v>535</v>
      </c>
      <c r="D6" s="24" t="s">
        <v>536</v>
      </c>
      <c r="E6" s="24" t="s">
        <v>537</v>
      </c>
      <c r="F6" s="24" t="s">
        <v>538</v>
      </c>
      <c r="G6" s="44" t="s">
        <v>539</v>
      </c>
    </row>
    <row r="7">
      <c r="B7" s="24" t="s">
        <v>540</v>
      </c>
      <c r="C7" s="24" t="s">
        <v>541</v>
      </c>
      <c r="D7" s="24" t="s">
        <v>542</v>
      </c>
      <c r="E7" s="24" t="s">
        <v>87</v>
      </c>
      <c r="F7" s="24" t="s">
        <v>543</v>
      </c>
      <c r="G7" s="43" t="s">
        <v>528</v>
      </c>
    </row>
    <row r="8">
      <c r="B8" s="24" t="s">
        <v>544</v>
      </c>
      <c r="C8" s="24" t="s">
        <v>545</v>
      </c>
      <c r="D8" s="24" t="s">
        <v>546</v>
      </c>
      <c r="E8" s="24" t="s">
        <v>87</v>
      </c>
      <c r="F8" s="24" t="s">
        <v>547</v>
      </c>
      <c r="G8" s="43" t="s">
        <v>528</v>
      </c>
    </row>
    <row r="9">
      <c r="B9" s="24" t="s">
        <v>548</v>
      </c>
      <c r="C9" s="24" t="s">
        <v>549</v>
      </c>
      <c r="D9" s="24" t="s">
        <v>550</v>
      </c>
      <c r="E9" s="24" t="s">
        <v>87</v>
      </c>
      <c r="F9" s="24" t="s">
        <v>526</v>
      </c>
      <c r="G9" s="43" t="s">
        <v>528</v>
      </c>
    </row>
    <row r="10">
      <c r="B10" s="24" t="s">
        <v>551</v>
      </c>
      <c r="C10" s="24" t="s">
        <v>552</v>
      </c>
      <c r="D10" s="24" t="s">
        <v>553</v>
      </c>
      <c r="E10" s="24" t="s">
        <v>87</v>
      </c>
      <c r="F10" s="24" t="s">
        <v>554</v>
      </c>
      <c r="G10" s="43" t="s">
        <v>528</v>
      </c>
      <c r="H10" s="24" t="s">
        <v>555</v>
      </c>
    </row>
    <row r="11">
      <c r="A11" s="24" t="s">
        <v>556</v>
      </c>
      <c r="B11" s="24" t="s">
        <v>557</v>
      </c>
      <c r="C11" s="24" t="s">
        <v>558</v>
      </c>
      <c r="D11" s="24" t="s">
        <v>559</v>
      </c>
      <c r="E11" s="24" t="s">
        <v>560</v>
      </c>
      <c r="F11" s="24" t="s">
        <v>561</v>
      </c>
      <c r="G11" s="43" t="s">
        <v>528</v>
      </c>
      <c r="H11" s="24" t="s">
        <v>562</v>
      </c>
    </row>
    <row r="12">
      <c r="B12" s="24" t="s">
        <v>563</v>
      </c>
      <c r="C12" s="24" t="s">
        <v>564</v>
      </c>
      <c r="D12" s="24" t="s">
        <v>565</v>
      </c>
      <c r="E12" s="24" t="s">
        <v>566</v>
      </c>
      <c r="F12" s="24" t="s">
        <v>561</v>
      </c>
      <c r="G12" s="43" t="s">
        <v>528</v>
      </c>
      <c r="H12" s="24" t="s">
        <v>567</v>
      </c>
    </row>
    <row r="13">
      <c r="B13" s="24" t="s">
        <v>568</v>
      </c>
      <c r="C13" s="24" t="s">
        <v>569</v>
      </c>
      <c r="D13" s="24" t="s">
        <v>87</v>
      </c>
      <c r="E13" s="24" t="s">
        <v>87</v>
      </c>
      <c r="F13" s="24" t="s">
        <v>87</v>
      </c>
      <c r="G13" s="43" t="s">
        <v>528</v>
      </c>
      <c r="H13" s="24" t="s">
        <v>570</v>
      </c>
    </row>
    <row r="14">
      <c r="B14" s="24" t="s">
        <v>571</v>
      </c>
      <c r="C14" s="24" t="s">
        <v>572</v>
      </c>
      <c r="D14" s="24" t="s">
        <v>573</v>
      </c>
      <c r="E14" s="24" t="s">
        <v>566</v>
      </c>
      <c r="F14" s="24" t="s">
        <v>574</v>
      </c>
      <c r="G14" s="43" t="s">
        <v>528</v>
      </c>
      <c r="H14" s="24" t="s">
        <v>562</v>
      </c>
    </row>
    <row r="15">
      <c r="B15" s="24" t="s">
        <v>575</v>
      </c>
      <c r="C15" s="24" t="s">
        <v>576</v>
      </c>
      <c r="D15" s="24" t="s">
        <v>577</v>
      </c>
      <c r="E15" s="24" t="s">
        <v>578</v>
      </c>
      <c r="F15" s="24" t="s">
        <v>579</v>
      </c>
      <c r="G15" s="43" t="s">
        <v>528</v>
      </c>
      <c r="H15" s="24" t="s">
        <v>562</v>
      </c>
    </row>
    <row r="16">
      <c r="B16" s="24" t="s">
        <v>580</v>
      </c>
      <c r="C16" s="24" t="s">
        <v>581</v>
      </c>
      <c r="D16" s="24" t="s">
        <v>582</v>
      </c>
      <c r="E16" s="24" t="s">
        <v>583</v>
      </c>
      <c r="F16" s="24" t="s">
        <v>584</v>
      </c>
      <c r="G16" s="43" t="s">
        <v>528</v>
      </c>
      <c r="H16" s="24" t="s">
        <v>562</v>
      </c>
    </row>
    <row r="17">
      <c r="A17" s="24" t="s">
        <v>585</v>
      </c>
      <c r="B17" s="24" t="s">
        <v>586</v>
      </c>
      <c r="C17" s="24" t="s">
        <v>587</v>
      </c>
      <c r="D17" s="24" t="s">
        <v>588</v>
      </c>
      <c r="E17" s="24" t="s">
        <v>589</v>
      </c>
      <c r="F17" s="24" t="s">
        <v>590</v>
      </c>
      <c r="G17" s="43" t="s">
        <v>528</v>
      </c>
      <c r="H17" s="24" t="s">
        <v>591</v>
      </c>
    </row>
    <row r="18">
      <c r="A18" s="24" t="s">
        <v>592</v>
      </c>
      <c r="B18" s="24" t="s">
        <v>593</v>
      </c>
      <c r="C18" s="24" t="s">
        <v>594</v>
      </c>
      <c r="D18" s="24" t="s">
        <v>595</v>
      </c>
      <c r="E18" s="24" t="s">
        <v>596</v>
      </c>
      <c r="F18" s="24" t="s">
        <v>597</v>
      </c>
      <c r="G18" s="43" t="s">
        <v>528</v>
      </c>
      <c r="H18" s="24" t="s">
        <v>598</v>
      </c>
    </row>
    <row r="19">
      <c r="B19" s="24" t="s">
        <v>599</v>
      </c>
      <c r="C19" s="24" t="s">
        <v>600</v>
      </c>
      <c r="D19" s="24" t="s">
        <v>601</v>
      </c>
      <c r="E19" s="24" t="s">
        <v>596</v>
      </c>
      <c r="F19" s="24" t="s">
        <v>602</v>
      </c>
      <c r="G19" s="43" t="s">
        <v>528</v>
      </c>
      <c r="H19" s="24" t="s">
        <v>562</v>
      </c>
    </row>
    <row r="20">
      <c r="B20" s="24" t="s">
        <v>603</v>
      </c>
      <c r="C20" s="24" t="s">
        <v>604</v>
      </c>
      <c r="D20" s="24" t="s">
        <v>605</v>
      </c>
      <c r="E20" s="24" t="s">
        <v>596</v>
      </c>
      <c r="F20" s="24" t="s">
        <v>87</v>
      </c>
      <c r="G20" s="43" t="s">
        <v>528</v>
      </c>
      <c r="H20" s="24" t="s">
        <v>562</v>
      </c>
    </row>
    <row r="21">
      <c r="B21" s="24" t="s">
        <v>606</v>
      </c>
      <c r="C21" s="24" t="s">
        <v>607</v>
      </c>
      <c r="D21" s="24" t="s">
        <v>608</v>
      </c>
      <c r="E21" s="24" t="s">
        <v>609</v>
      </c>
      <c r="F21" s="24" t="s">
        <v>610</v>
      </c>
      <c r="G21" s="43" t="s">
        <v>528</v>
      </c>
      <c r="H21" s="24" t="s">
        <v>562</v>
      </c>
    </row>
    <row r="22">
      <c r="A22" s="24" t="s">
        <v>393</v>
      </c>
      <c r="B22" s="24" t="s">
        <v>593</v>
      </c>
      <c r="C22" s="24" t="s">
        <v>611</v>
      </c>
      <c r="D22" s="24" t="s">
        <v>612</v>
      </c>
      <c r="E22" s="24" t="s">
        <v>613</v>
      </c>
      <c r="F22" s="24" t="s">
        <v>614</v>
      </c>
      <c r="G22" s="43" t="s">
        <v>528</v>
      </c>
      <c r="H22" s="24" t="s">
        <v>615</v>
      </c>
    </row>
    <row r="23">
      <c r="A23" s="24" t="s">
        <v>255</v>
      </c>
      <c r="B23" s="24" t="s">
        <v>616</v>
      </c>
      <c r="C23" s="24" t="s">
        <v>617</v>
      </c>
      <c r="D23" s="24" t="s">
        <v>87</v>
      </c>
      <c r="E23" s="24" t="s">
        <v>618</v>
      </c>
      <c r="F23" s="24" t="s">
        <v>619</v>
      </c>
      <c r="G23" s="43" t="s">
        <v>528</v>
      </c>
      <c r="H23" s="24" t="s">
        <v>620</v>
      </c>
    </row>
    <row r="24">
      <c r="A24" s="24" t="s">
        <v>35</v>
      </c>
      <c r="B24" s="24" t="s">
        <v>606</v>
      </c>
      <c r="C24" s="24" t="s">
        <v>621</v>
      </c>
      <c r="D24" s="24" t="s">
        <v>622</v>
      </c>
      <c r="E24" s="24" t="s">
        <v>623</v>
      </c>
      <c r="F24" s="24" t="s">
        <v>87</v>
      </c>
      <c r="G24" s="43" t="s">
        <v>528</v>
      </c>
      <c r="H24" s="25"/>
    </row>
    <row r="25">
      <c r="B25" s="24" t="s">
        <v>544</v>
      </c>
      <c r="C25" s="24" t="s">
        <v>624</v>
      </c>
      <c r="D25" s="24" t="s">
        <v>625</v>
      </c>
      <c r="E25" s="24" t="s">
        <v>626</v>
      </c>
      <c r="F25" s="24" t="s">
        <v>87</v>
      </c>
      <c r="G25" s="43" t="s">
        <v>528</v>
      </c>
      <c r="H25" s="25"/>
    </row>
    <row r="26">
      <c r="B26" s="24" t="s">
        <v>627</v>
      </c>
      <c r="C26" s="24" t="s">
        <v>628</v>
      </c>
      <c r="D26" s="24" t="s">
        <v>629</v>
      </c>
      <c r="E26" s="24" t="s">
        <v>630</v>
      </c>
      <c r="F26" s="24" t="s">
        <v>87</v>
      </c>
      <c r="G26" s="43" t="s">
        <v>528</v>
      </c>
      <c r="H26" s="25"/>
    </row>
    <row r="27">
      <c r="B27" s="24" t="s">
        <v>631</v>
      </c>
      <c r="C27" s="24" t="s">
        <v>632</v>
      </c>
      <c r="D27" s="24" t="s">
        <v>625</v>
      </c>
      <c r="E27" s="24" t="s">
        <v>633</v>
      </c>
      <c r="F27" s="24" t="s">
        <v>87</v>
      </c>
      <c r="G27" s="43" t="s">
        <v>528</v>
      </c>
      <c r="H27" s="25"/>
    </row>
    <row r="28">
      <c r="B28" s="24" t="s">
        <v>580</v>
      </c>
      <c r="C28" s="24" t="s">
        <v>634</v>
      </c>
      <c r="D28" s="24" t="s">
        <v>635</v>
      </c>
      <c r="E28" s="24" t="s">
        <v>87</v>
      </c>
      <c r="F28" s="24" t="s">
        <v>87</v>
      </c>
      <c r="G28" s="43" t="s">
        <v>528</v>
      </c>
      <c r="H28" s="25"/>
    </row>
    <row r="29">
      <c r="A29" s="24" t="s">
        <v>636</v>
      </c>
      <c r="B29" s="24" t="s">
        <v>627</v>
      </c>
      <c r="C29" s="24" t="s">
        <v>637</v>
      </c>
      <c r="D29" s="24" t="s">
        <v>638</v>
      </c>
      <c r="E29" s="24" t="s">
        <v>639</v>
      </c>
      <c r="F29" s="24" t="s">
        <v>87</v>
      </c>
      <c r="G29" s="43" t="s">
        <v>528</v>
      </c>
      <c r="H29" s="25"/>
    </row>
    <row r="30">
      <c r="B30" s="24" t="s">
        <v>640</v>
      </c>
      <c r="C30" s="24" t="s">
        <v>641</v>
      </c>
      <c r="D30" s="24" t="s">
        <v>642</v>
      </c>
      <c r="E30" s="24" t="s">
        <v>643</v>
      </c>
      <c r="F30" s="24" t="s">
        <v>87</v>
      </c>
      <c r="G30" s="43" t="s">
        <v>528</v>
      </c>
      <c r="H30" s="25"/>
    </row>
    <row r="31">
      <c r="B31" s="24" t="s">
        <v>571</v>
      </c>
      <c r="C31" s="24" t="s">
        <v>644</v>
      </c>
      <c r="D31" s="24" t="s">
        <v>645</v>
      </c>
      <c r="E31" s="24" t="s">
        <v>646</v>
      </c>
      <c r="F31" s="24" t="s">
        <v>87</v>
      </c>
      <c r="G31" s="43" t="s">
        <v>528</v>
      </c>
      <c r="H31" s="25"/>
    </row>
    <row r="32">
      <c r="B32" s="24" t="s">
        <v>647</v>
      </c>
      <c r="C32" s="24" t="s">
        <v>648</v>
      </c>
      <c r="D32" s="24" t="s">
        <v>649</v>
      </c>
      <c r="E32" s="24" t="s">
        <v>646</v>
      </c>
      <c r="F32" s="24" t="s">
        <v>87</v>
      </c>
      <c r="G32" s="43" t="s">
        <v>528</v>
      </c>
      <c r="H32" s="25"/>
    </row>
    <row r="33">
      <c r="B33" s="24" t="s">
        <v>575</v>
      </c>
      <c r="C33" s="24" t="s">
        <v>650</v>
      </c>
      <c r="D33" s="24" t="s">
        <v>651</v>
      </c>
      <c r="E33" s="24" t="s">
        <v>646</v>
      </c>
      <c r="F33" s="24" t="s">
        <v>87</v>
      </c>
      <c r="G33" s="43" t="s">
        <v>528</v>
      </c>
      <c r="H33" s="25"/>
    </row>
    <row r="34">
      <c r="A34" s="24" t="s">
        <v>652</v>
      </c>
      <c r="B34" s="24" t="s">
        <v>653</v>
      </c>
      <c r="C34" s="24" t="s">
        <v>654</v>
      </c>
      <c r="D34" s="24" t="s">
        <v>655</v>
      </c>
      <c r="E34" s="24" t="s">
        <v>87</v>
      </c>
      <c r="F34" s="24" t="s">
        <v>87</v>
      </c>
      <c r="G34" s="43" t="s">
        <v>528</v>
      </c>
      <c r="H34" s="25"/>
    </row>
    <row r="35">
      <c r="A35" s="24" t="s">
        <v>656</v>
      </c>
      <c r="B35" s="24" t="s">
        <v>627</v>
      </c>
      <c r="C35" s="24" t="s">
        <v>87</v>
      </c>
      <c r="D35" s="24" t="s">
        <v>657</v>
      </c>
      <c r="E35" s="24" t="s">
        <v>618</v>
      </c>
      <c r="F35" s="24" t="s">
        <v>87</v>
      </c>
      <c r="G35" s="43" t="s">
        <v>528</v>
      </c>
      <c r="H35" s="25"/>
    </row>
    <row r="36">
      <c r="A36" s="24" t="s">
        <v>658</v>
      </c>
      <c r="B36" s="24" t="s">
        <v>87</v>
      </c>
      <c r="C36" s="24" t="s">
        <v>87</v>
      </c>
      <c r="D36" s="24" t="s">
        <v>659</v>
      </c>
      <c r="F36" s="24" t="s">
        <v>660</v>
      </c>
      <c r="G36" s="43" t="s">
        <v>661</v>
      </c>
      <c r="H36" s="25"/>
    </row>
    <row r="37">
      <c r="A37" s="25"/>
      <c r="B37" s="25"/>
      <c r="C37" s="25"/>
      <c r="D37" s="25"/>
      <c r="E37" s="25"/>
      <c r="F37" s="25"/>
      <c r="G37" s="25"/>
      <c r="H37" s="25"/>
    </row>
    <row r="38">
      <c r="A38" s="25"/>
      <c r="B38" s="25"/>
      <c r="C38" s="25"/>
      <c r="D38" s="25"/>
      <c r="E38" s="25"/>
      <c r="F38" s="25"/>
      <c r="G38" s="25"/>
      <c r="H38" s="25"/>
    </row>
    <row r="39">
      <c r="A39" s="25"/>
      <c r="B39" s="25"/>
      <c r="C39" s="25"/>
      <c r="D39" s="25"/>
      <c r="E39" s="25"/>
      <c r="F39" s="25"/>
      <c r="G39" s="25"/>
      <c r="H39" s="25"/>
    </row>
    <row r="40">
      <c r="A40" s="25"/>
      <c r="B40" s="25"/>
      <c r="C40" s="25"/>
      <c r="D40" s="25"/>
      <c r="E40" s="25"/>
      <c r="F40" s="25"/>
      <c r="G40" s="25"/>
      <c r="H40" s="25"/>
    </row>
    <row r="41">
      <c r="A41" s="25"/>
      <c r="B41" s="25"/>
      <c r="C41" s="25"/>
      <c r="D41" s="25"/>
      <c r="E41" s="25"/>
      <c r="F41" s="25"/>
      <c r="G41" s="25"/>
      <c r="H41" s="25"/>
    </row>
    <row r="42">
      <c r="A42" s="25"/>
      <c r="B42" s="25"/>
      <c r="C42" s="25"/>
      <c r="D42" s="25"/>
      <c r="E42" s="25"/>
      <c r="F42" s="25"/>
      <c r="G42" s="25"/>
      <c r="H42" s="25"/>
    </row>
    <row r="43">
      <c r="A43" s="25"/>
      <c r="B43" s="25"/>
      <c r="C43" s="25"/>
      <c r="D43" s="25"/>
      <c r="E43" s="25"/>
      <c r="F43" s="25"/>
      <c r="G43" s="25"/>
      <c r="H43" s="25"/>
    </row>
    <row r="44">
      <c r="A44" s="25"/>
      <c r="B44" s="25"/>
      <c r="C44" s="25"/>
      <c r="D44" s="25"/>
      <c r="E44" s="25"/>
      <c r="F44" s="25"/>
      <c r="G44" s="25"/>
      <c r="H44" s="25"/>
    </row>
    <row r="45">
      <c r="A45" s="25"/>
      <c r="B45" s="25"/>
      <c r="C45" s="25"/>
      <c r="D45" s="25"/>
      <c r="E45" s="25"/>
      <c r="F45" s="25"/>
      <c r="G45" s="25"/>
      <c r="H45" s="25"/>
    </row>
    <row r="46">
      <c r="A46" s="25"/>
      <c r="B46" s="25"/>
      <c r="C46" s="25"/>
      <c r="D46" s="25"/>
      <c r="E46" s="25"/>
      <c r="F46" s="25"/>
      <c r="G46" s="25"/>
      <c r="H46" s="25"/>
    </row>
    <row r="47">
      <c r="A47" s="25"/>
      <c r="B47" s="25"/>
      <c r="C47" s="25"/>
      <c r="D47" s="25"/>
      <c r="E47" s="25"/>
      <c r="F47" s="25"/>
      <c r="G47" s="25"/>
      <c r="H47" s="25"/>
    </row>
    <row r="48">
      <c r="A48" s="25"/>
      <c r="B48" s="25"/>
      <c r="C48" s="25"/>
      <c r="D48" s="25"/>
      <c r="E48" s="25"/>
      <c r="F48" s="25"/>
      <c r="G48" s="25"/>
      <c r="H48" s="25"/>
    </row>
    <row r="49">
      <c r="A49" s="25"/>
      <c r="B49" s="25"/>
      <c r="C49" s="25"/>
      <c r="D49" s="25"/>
      <c r="E49" s="25"/>
      <c r="F49" s="25"/>
      <c r="G49" s="25"/>
      <c r="H49" s="25"/>
    </row>
    <row r="50">
      <c r="A50" s="25"/>
      <c r="B50" s="25"/>
      <c r="C50" s="25"/>
      <c r="D50" s="25"/>
      <c r="E50" s="25"/>
      <c r="F50" s="25"/>
      <c r="G50" s="25"/>
      <c r="H50" s="25"/>
    </row>
    <row r="51">
      <c r="A51" s="25"/>
      <c r="B51" s="25"/>
      <c r="C51" s="25"/>
      <c r="D51" s="25"/>
      <c r="E51" s="25"/>
      <c r="F51" s="25"/>
      <c r="G51" s="25"/>
      <c r="H51" s="25"/>
    </row>
    <row r="52">
      <c r="A52" s="25"/>
      <c r="B52" s="25"/>
      <c r="C52" s="25"/>
      <c r="D52" s="25"/>
      <c r="E52" s="25"/>
      <c r="F52" s="25"/>
      <c r="G52" s="25"/>
      <c r="H52" s="25"/>
    </row>
    <row r="53">
      <c r="A53" s="25"/>
      <c r="B53" s="25"/>
      <c r="C53" s="25"/>
      <c r="D53" s="25"/>
      <c r="E53" s="25"/>
      <c r="F53" s="25"/>
      <c r="G53" s="25"/>
      <c r="H53" s="25"/>
    </row>
    <row r="54">
      <c r="A54" s="25"/>
      <c r="B54" s="25"/>
      <c r="C54" s="25"/>
      <c r="D54" s="25"/>
      <c r="E54" s="25"/>
      <c r="F54" s="25"/>
      <c r="G54" s="25"/>
      <c r="H54" s="25"/>
    </row>
    <row r="55">
      <c r="A55" s="25"/>
      <c r="B55" s="25"/>
      <c r="C55" s="25"/>
      <c r="D55" s="25"/>
      <c r="E55" s="25"/>
      <c r="F55" s="25"/>
      <c r="G55" s="25"/>
      <c r="H55" s="25"/>
    </row>
    <row r="56">
      <c r="A56" s="25"/>
      <c r="B56" s="25"/>
      <c r="C56" s="25"/>
      <c r="D56" s="25"/>
      <c r="E56" s="25"/>
      <c r="F56" s="25"/>
      <c r="G56" s="25"/>
      <c r="H56" s="25"/>
    </row>
    <row r="57">
      <c r="A57" s="25"/>
      <c r="B57" s="25"/>
      <c r="C57" s="25"/>
      <c r="D57" s="25"/>
      <c r="E57" s="25"/>
      <c r="F57" s="25"/>
      <c r="G57" s="25"/>
      <c r="H57" s="25"/>
    </row>
    <row r="58">
      <c r="A58" s="25"/>
      <c r="B58" s="25"/>
      <c r="C58" s="25"/>
      <c r="D58" s="25"/>
      <c r="E58" s="25"/>
      <c r="F58" s="25"/>
      <c r="G58" s="25"/>
      <c r="H58" s="25"/>
    </row>
    <row r="59">
      <c r="A59" s="25"/>
      <c r="B59" s="25"/>
      <c r="C59" s="25"/>
      <c r="D59" s="25"/>
      <c r="E59" s="25"/>
      <c r="F59" s="25"/>
      <c r="G59" s="25"/>
      <c r="H59" s="25"/>
    </row>
    <row r="60">
      <c r="A60" s="25"/>
      <c r="B60" s="25"/>
      <c r="C60" s="25"/>
      <c r="D60" s="25"/>
      <c r="E60" s="25"/>
      <c r="F60" s="25"/>
      <c r="G60" s="25"/>
      <c r="H60" s="25"/>
    </row>
    <row r="61">
      <c r="A61" s="25"/>
      <c r="B61" s="25"/>
      <c r="C61" s="25"/>
      <c r="D61" s="25"/>
      <c r="E61" s="25"/>
      <c r="F61" s="25"/>
      <c r="G61" s="25"/>
      <c r="H61" s="25"/>
    </row>
    <row r="62">
      <c r="A62" s="25"/>
      <c r="B62" s="25"/>
      <c r="C62" s="25"/>
      <c r="D62" s="25"/>
      <c r="E62" s="25"/>
      <c r="F62" s="25"/>
      <c r="G62" s="25"/>
      <c r="H62" s="25"/>
    </row>
    <row r="63">
      <c r="A63" s="25"/>
      <c r="B63" s="25"/>
      <c r="C63" s="25"/>
      <c r="D63" s="25"/>
      <c r="E63" s="25"/>
      <c r="F63" s="25"/>
      <c r="G63" s="25"/>
      <c r="H63" s="25"/>
    </row>
    <row r="64">
      <c r="A64" s="25"/>
      <c r="B64" s="25"/>
      <c r="C64" s="25"/>
      <c r="D64" s="25"/>
      <c r="E64" s="25"/>
      <c r="F64" s="25"/>
      <c r="G64" s="25"/>
      <c r="H64" s="25"/>
    </row>
    <row r="65">
      <c r="A65" s="25"/>
      <c r="B65" s="25"/>
      <c r="C65" s="25"/>
      <c r="D65" s="25"/>
      <c r="E65" s="25"/>
      <c r="F65" s="25"/>
      <c r="G65" s="25"/>
      <c r="H65" s="25"/>
    </row>
    <row r="66">
      <c r="A66" s="25"/>
      <c r="B66" s="25"/>
      <c r="C66" s="25"/>
      <c r="D66" s="25"/>
      <c r="E66" s="25"/>
      <c r="F66" s="25"/>
      <c r="G66" s="25"/>
      <c r="H66" s="25"/>
    </row>
    <row r="67">
      <c r="A67" s="25"/>
      <c r="B67" s="25"/>
      <c r="C67" s="25"/>
      <c r="D67" s="25"/>
      <c r="E67" s="25"/>
      <c r="F67" s="25"/>
      <c r="G67" s="25"/>
      <c r="H67" s="25"/>
    </row>
    <row r="68">
      <c r="A68" s="25"/>
      <c r="B68" s="25"/>
      <c r="C68" s="25"/>
      <c r="D68" s="25"/>
      <c r="E68" s="25"/>
      <c r="F68" s="25"/>
      <c r="G68" s="25"/>
      <c r="H68" s="25"/>
    </row>
    <row r="69">
      <c r="A69" s="25"/>
      <c r="B69" s="25"/>
      <c r="C69" s="25"/>
      <c r="D69" s="25"/>
      <c r="E69" s="25"/>
      <c r="F69" s="25"/>
      <c r="G69" s="25"/>
      <c r="H69" s="25"/>
    </row>
    <row r="70">
      <c r="A70" s="25"/>
      <c r="B70" s="25"/>
      <c r="C70" s="25"/>
      <c r="D70" s="25"/>
      <c r="E70" s="25"/>
      <c r="F70" s="25"/>
      <c r="G70" s="25"/>
      <c r="H70" s="25"/>
    </row>
    <row r="71">
      <c r="A71" s="25"/>
      <c r="B71" s="25"/>
      <c r="C71" s="25"/>
      <c r="D71" s="25"/>
      <c r="E71" s="25"/>
      <c r="F71" s="25"/>
      <c r="G71" s="25"/>
      <c r="H71" s="25"/>
    </row>
    <row r="72">
      <c r="A72" s="25"/>
      <c r="B72" s="25"/>
      <c r="C72" s="25"/>
      <c r="D72" s="25"/>
      <c r="E72" s="25"/>
      <c r="F72" s="25"/>
      <c r="G72" s="25"/>
      <c r="H72" s="25"/>
    </row>
    <row r="73">
      <c r="A73" s="25"/>
      <c r="B73" s="25"/>
      <c r="C73" s="25"/>
      <c r="D73" s="25"/>
      <c r="E73" s="25"/>
      <c r="F73" s="25"/>
      <c r="G73" s="25"/>
      <c r="H73" s="25"/>
    </row>
    <row r="74">
      <c r="A74" s="25"/>
      <c r="B74" s="25"/>
      <c r="C74" s="25"/>
      <c r="D74" s="25"/>
      <c r="E74" s="25"/>
      <c r="F74" s="25"/>
      <c r="G74" s="25"/>
      <c r="H74" s="25"/>
    </row>
    <row r="75">
      <c r="A75" s="25"/>
      <c r="B75" s="25"/>
      <c r="C75" s="25"/>
      <c r="D75" s="25"/>
      <c r="E75" s="25"/>
      <c r="F75" s="25"/>
      <c r="G75" s="25"/>
      <c r="H75" s="25"/>
    </row>
    <row r="76">
      <c r="A76" s="25"/>
      <c r="B76" s="25"/>
      <c r="C76" s="25"/>
      <c r="D76" s="25"/>
      <c r="E76" s="25"/>
      <c r="F76" s="25"/>
      <c r="G76" s="25"/>
      <c r="H76" s="25"/>
    </row>
    <row r="77">
      <c r="A77" s="25"/>
      <c r="B77" s="25"/>
      <c r="C77" s="25"/>
      <c r="D77" s="25"/>
      <c r="E77" s="25"/>
      <c r="F77" s="25"/>
      <c r="G77" s="25"/>
      <c r="H77" s="25"/>
    </row>
    <row r="78">
      <c r="A78" s="25"/>
      <c r="B78" s="25"/>
      <c r="C78" s="25"/>
      <c r="D78" s="25"/>
      <c r="E78" s="25"/>
      <c r="F78" s="25"/>
      <c r="G78" s="25"/>
      <c r="H78" s="25"/>
    </row>
    <row r="79">
      <c r="A79" s="25"/>
      <c r="B79" s="25"/>
      <c r="C79" s="25"/>
      <c r="D79" s="25"/>
      <c r="E79" s="25"/>
      <c r="F79" s="25"/>
      <c r="G79" s="25"/>
      <c r="H79" s="25"/>
    </row>
    <row r="80">
      <c r="A80" s="25"/>
      <c r="B80" s="25"/>
      <c r="C80" s="25"/>
      <c r="D80" s="25"/>
      <c r="E80" s="25"/>
      <c r="F80" s="25"/>
      <c r="G80" s="25"/>
      <c r="H80" s="25"/>
    </row>
    <row r="81">
      <c r="A81" s="25"/>
      <c r="B81" s="25"/>
      <c r="C81" s="25"/>
      <c r="D81" s="25"/>
      <c r="E81" s="25"/>
      <c r="F81" s="25"/>
      <c r="G81" s="25"/>
      <c r="H81" s="25"/>
    </row>
    <row r="82">
      <c r="A82" s="25"/>
      <c r="B82" s="25"/>
      <c r="C82" s="25"/>
      <c r="D82" s="25"/>
      <c r="E82" s="25"/>
      <c r="F82" s="25"/>
      <c r="G82" s="25"/>
      <c r="H82" s="25"/>
    </row>
    <row r="83">
      <c r="A83" s="25"/>
      <c r="B83" s="25"/>
      <c r="C83" s="25"/>
      <c r="D83" s="25"/>
      <c r="E83" s="25"/>
      <c r="F83" s="25"/>
      <c r="G83" s="25"/>
      <c r="H83" s="25"/>
    </row>
    <row r="84">
      <c r="A84" s="25"/>
      <c r="B84" s="25"/>
      <c r="C84" s="25"/>
      <c r="D84" s="25"/>
      <c r="E84" s="25"/>
      <c r="F84" s="25"/>
      <c r="G84" s="25"/>
      <c r="H84" s="25"/>
    </row>
    <row r="85">
      <c r="A85" s="25"/>
      <c r="B85" s="25"/>
      <c r="C85" s="25"/>
      <c r="D85" s="25"/>
      <c r="E85" s="25"/>
      <c r="F85" s="25"/>
      <c r="G85" s="25"/>
      <c r="H85" s="25"/>
    </row>
    <row r="86">
      <c r="A86" s="25"/>
      <c r="B86" s="25"/>
      <c r="C86" s="25"/>
      <c r="D86" s="25"/>
      <c r="E86" s="25"/>
      <c r="F86" s="25"/>
      <c r="G86" s="25"/>
      <c r="H86" s="25"/>
    </row>
    <row r="87">
      <c r="A87" s="25"/>
      <c r="B87" s="25"/>
      <c r="C87" s="25"/>
      <c r="D87" s="25"/>
      <c r="E87" s="25"/>
      <c r="F87" s="25"/>
      <c r="G87" s="25"/>
      <c r="H87" s="25"/>
    </row>
    <row r="88">
      <c r="A88" s="25"/>
      <c r="B88" s="25"/>
      <c r="C88" s="25"/>
      <c r="D88" s="25"/>
      <c r="E88" s="25"/>
      <c r="F88" s="25"/>
      <c r="G88" s="25"/>
      <c r="H88" s="25"/>
    </row>
    <row r="89">
      <c r="A89" s="25"/>
      <c r="B89" s="25"/>
      <c r="C89" s="25"/>
      <c r="D89" s="25"/>
      <c r="E89" s="25"/>
      <c r="F89" s="25"/>
      <c r="G89" s="25"/>
      <c r="H89" s="25"/>
    </row>
    <row r="90">
      <c r="A90" s="25"/>
      <c r="B90" s="25"/>
      <c r="C90" s="25"/>
      <c r="D90" s="25"/>
      <c r="E90" s="25"/>
      <c r="F90" s="25"/>
      <c r="G90" s="25"/>
      <c r="H90" s="25"/>
    </row>
    <row r="91">
      <c r="A91" s="25"/>
      <c r="B91" s="25"/>
      <c r="C91" s="25"/>
      <c r="D91" s="25"/>
      <c r="E91" s="25"/>
      <c r="F91" s="25"/>
      <c r="G91" s="25"/>
      <c r="H91" s="25"/>
    </row>
    <row r="92">
      <c r="A92" s="25"/>
      <c r="B92" s="25"/>
      <c r="C92" s="25"/>
      <c r="D92" s="25"/>
      <c r="E92" s="25"/>
      <c r="F92" s="25"/>
      <c r="G92" s="25"/>
      <c r="H92" s="25"/>
    </row>
    <row r="93">
      <c r="A93" s="25"/>
      <c r="B93" s="25"/>
      <c r="C93" s="25"/>
      <c r="D93" s="25"/>
      <c r="E93" s="25"/>
      <c r="F93" s="25"/>
      <c r="G93" s="25"/>
      <c r="H93" s="25"/>
    </row>
    <row r="94">
      <c r="A94" s="25"/>
      <c r="B94" s="25"/>
      <c r="C94" s="25"/>
      <c r="D94" s="25"/>
      <c r="E94" s="25"/>
      <c r="F94" s="25"/>
      <c r="G94" s="25"/>
      <c r="H94" s="25"/>
    </row>
    <row r="95">
      <c r="A95" s="25"/>
      <c r="B95" s="25"/>
      <c r="C95" s="25"/>
      <c r="D95" s="25"/>
      <c r="E95" s="25"/>
      <c r="F95" s="25"/>
      <c r="G95" s="25"/>
      <c r="H95" s="25"/>
    </row>
    <row r="96">
      <c r="A96" s="25"/>
      <c r="B96" s="25"/>
      <c r="C96" s="25"/>
      <c r="D96" s="25"/>
      <c r="E96" s="25"/>
      <c r="F96" s="25"/>
      <c r="G96" s="25"/>
      <c r="H96" s="25"/>
    </row>
    <row r="97">
      <c r="A97" s="25"/>
      <c r="B97" s="25"/>
      <c r="C97" s="25"/>
      <c r="D97" s="25"/>
      <c r="E97" s="25"/>
      <c r="F97" s="25"/>
      <c r="G97" s="25"/>
      <c r="H97" s="25"/>
    </row>
    <row r="98">
      <c r="A98" s="25"/>
      <c r="B98" s="25"/>
      <c r="C98" s="25"/>
      <c r="D98" s="25"/>
      <c r="E98" s="25"/>
      <c r="F98" s="25"/>
      <c r="G98" s="25"/>
      <c r="H98" s="25"/>
    </row>
    <row r="99">
      <c r="A99" s="25"/>
      <c r="B99" s="25"/>
      <c r="C99" s="25"/>
      <c r="D99" s="25"/>
      <c r="E99" s="25"/>
      <c r="F99" s="25"/>
      <c r="G99" s="25"/>
      <c r="H99" s="25"/>
    </row>
    <row r="100">
      <c r="A100" s="25"/>
      <c r="B100" s="25"/>
      <c r="C100" s="25"/>
      <c r="D100" s="25"/>
      <c r="E100" s="25"/>
      <c r="F100" s="25"/>
      <c r="G100" s="25"/>
      <c r="H100" s="25"/>
    </row>
    <row r="101">
      <c r="A101" s="25"/>
      <c r="B101" s="25"/>
      <c r="C101" s="25"/>
      <c r="D101" s="25"/>
      <c r="E101" s="25"/>
      <c r="F101" s="25"/>
      <c r="G101" s="25"/>
      <c r="H101" s="25"/>
    </row>
    <row r="102">
      <c r="A102" s="25"/>
      <c r="B102" s="25"/>
      <c r="C102" s="25"/>
      <c r="D102" s="25"/>
      <c r="E102" s="25"/>
      <c r="F102" s="25"/>
      <c r="G102" s="25"/>
      <c r="H102" s="25"/>
    </row>
    <row r="103">
      <c r="A103" s="25"/>
      <c r="B103" s="25"/>
      <c r="C103" s="25"/>
      <c r="D103" s="25"/>
      <c r="E103" s="25"/>
      <c r="F103" s="25"/>
      <c r="G103" s="25"/>
      <c r="H103" s="25"/>
    </row>
    <row r="104">
      <c r="A104" s="25"/>
      <c r="B104" s="25"/>
      <c r="C104" s="25"/>
      <c r="D104" s="25"/>
      <c r="E104" s="25"/>
      <c r="F104" s="25"/>
      <c r="G104" s="25"/>
      <c r="H104" s="25"/>
    </row>
    <row r="105">
      <c r="A105" s="25"/>
      <c r="B105" s="25"/>
      <c r="C105" s="25"/>
      <c r="D105" s="25"/>
      <c r="E105" s="25"/>
      <c r="F105" s="25"/>
      <c r="G105" s="25"/>
      <c r="H105" s="25"/>
    </row>
    <row r="106">
      <c r="A106" s="25"/>
      <c r="B106" s="25"/>
      <c r="C106" s="25"/>
      <c r="D106" s="25"/>
      <c r="E106" s="25"/>
      <c r="F106" s="25"/>
      <c r="G106" s="25"/>
      <c r="H106" s="25"/>
    </row>
    <row r="107">
      <c r="A107" s="25"/>
      <c r="B107" s="25"/>
      <c r="C107" s="25"/>
      <c r="D107" s="25"/>
      <c r="E107" s="25"/>
      <c r="F107" s="25"/>
      <c r="G107" s="25"/>
      <c r="H107" s="25"/>
    </row>
    <row r="108">
      <c r="A108" s="25"/>
      <c r="B108" s="25"/>
      <c r="C108" s="25"/>
      <c r="D108" s="25"/>
      <c r="E108" s="25"/>
      <c r="F108" s="25"/>
      <c r="G108" s="25"/>
      <c r="H108" s="25"/>
    </row>
    <row r="109">
      <c r="A109" s="25"/>
      <c r="B109" s="25"/>
      <c r="C109" s="25"/>
      <c r="D109" s="25"/>
      <c r="E109" s="25"/>
      <c r="F109" s="25"/>
      <c r="G109" s="25"/>
      <c r="H109" s="25"/>
    </row>
    <row r="110">
      <c r="A110" s="25"/>
      <c r="B110" s="25"/>
      <c r="C110" s="25"/>
      <c r="D110" s="25"/>
      <c r="E110" s="25"/>
      <c r="F110" s="25"/>
      <c r="G110" s="25"/>
      <c r="H110" s="25"/>
    </row>
    <row r="111">
      <c r="A111" s="25"/>
      <c r="B111" s="25"/>
      <c r="C111" s="25"/>
      <c r="D111" s="25"/>
      <c r="E111" s="25"/>
      <c r="F111" s="25"/>
      <c r="G111" s="25"/>
      <c r="H111" s="25"/>
    </row>
    <row r="112">
      <c r="A112" s="25"/>
      <c r="B112" s="25"/>
      <c r="C112" s="25"/>
      <c r="D112" s="25"/>
      <c r="E112" s="25"/>
      <c r="F112" s="25"/>
      <c r="G112" s="25"/>
      <c r="H112" s="25"/>
    </row>
    <row r="113">
      <c r="A113" s="25"/>
      <c r="B113" s="25"/>
      <c r="C113" s="25"/>
      <c r="D113" s="25"/>
      <c r="E113" s="25"/>
      <c r="F113" s="25"/>
      <c r="G113" s="25"/>
      <c r="H113" s="25"/>
    </row>
    <row r="114">
      <c r="A114" s="25"/>
      <c r="B114" s="25"/>
      <c r="C114" s="25"/>
      <c r="D114" s="25"/>
      <c r="E114" s="25"/>
      <c r="F114" s="25"/>
      <c r="G114" s="25"/>
      <c r="H114" s="25"/>
    </row>
    <row r="115">
      <c r="A115" s="25"/>
      <c r="B115" s="25"/>
      <c r="C115" s="25"/>
      <c r="D115" s="25"/>
      <c r="E115" s="25"/>
      <c r="F115" s="25"/>
      <c r="G115" s="25"/>
      <c r="H115" s="25"/>
    </row>
    <row r="116">
      <c r="A116" s="25"/>
      <c r="B116" s="25"/>
      <c r="C116" s="25"/>
      <c r="D116" s="25"/>
      <c r="E116" s="25"/>
      <c r="F116" s="25"/>
      <c r="G116" s="25"/>
      <c r="H116" s="25"/>
    </row>
    <row r="117">
      <c r="A117" s="25"/>
      <c r="B117" s="25"/>
      <c r="C117" s="25"/>
      <c r="D117" s="25"/>
      <c r="E117" s="25"/>
      <c r="F117" s="25"/>
      <c r="G117" s="25"/>
      <c r="H117" s="25"/>
    </row>
    <row r="118">
      <c r="A118" s="25"/>
      <c r="B118" s="25"/>
      <c r="C118" s="25"/>
      <c r="D118" s="25"/>
      <c r="E118" s="25"/>
      <c r="F118" s="25"/>
      <c r="G118" s="25"/>
      <c r="H118" s="25"/>
    </row>
    <row r="119">
      <c r="A119" s="25"/>
      <c r="B119" s="25"/>
      <c r="C119" s="25"/>
      <c r="D119" s="25"/>
      <c r="E119" s="25"/>
      <c r="F119" s="25"/>
      <c r="G119" s="25"/>
      <c r="H119" s="25"/>
    </row>
    <row r="120">
      <c r="A120" s="25"/>
      <c r="B120" s="25"/>
      <c r="C120" s="25"/>
      <c r="D120" s="25"/>
      <c r="E120" s="25"/>
      <c r="F120" s="25"/>
      <c r="G120" s="25"/>
      <c r="H120" s="25"/>
    </row>
    <row r="121">
      <c r="A121" s="25"/>
      <c r="B121" s="25"/>
      <c r="C121" s="25"/>
      <c r="D121" s="25"/>
      <c r="E121" s="25"/>
      <c r="F121" s="25"/>
      <c r="G121" s="25"/>
      <c r="H121" s="25"/>
    </row>
    <row r="122">
      <c r="A122" s="25"/>
      <c r="B122" s="25"/>
      <c r="C122" s="25"/>
      <c r="D122" s="25"/>
      <c r="E122" s="25"/>
      <c r="F122" s="25"/>
      <c r="G122" s="25"/>
      <c r="H122" s="25"/>
    </row>
    <row r="123">
      <c r="A123" s="25"/>
      <c r="B123" s="25"/>
      <c r="C123" s="25"/>
      <c r="D123" s="25"/>
      <c r="E123" s="25"/>
      <c r="F123" s="25"/>
      <c r="G123" s="25"/>
      <c r="H123" s="25"/>
    </row>
    <row r="124">
      <c r="A124" s="25"/>
      <c r="B124" s="25"/>
      <c r="C124" s="25"/>
      <c r="D124" s="25"/>
      <c r="E124" s="25"/>
      <c r="F124" s="25"/>
      <c r="G124" s="25"/>
      <c r="H124" s="25"/>
    </row>
    <row r="125">
      <c r="A125" s="25"/>
      <c r="B125" s="25"/>
      <c r="C125" s="25"/>
      <c r="D125" s="25"/>
      <c r="E125" s="25"/>
      <c r="F125" s="25"/>
      <c r="G125" s="25"/>
      <c r="H125" s="25"/>
    </row>
    <row r="126">
      <c r="A126" s="25"/>
      <c r="B126" s="25"/>
      <c r="C126" s="25"/>
      <c r="D126" s="25"/>
      <c r="E126" s="25"/>
      <c r="F126" s="25"/>
      <c r="G126" s="25"/>
      <c r="H126" s="25"/>
    </row>
    <row r="127">
      <c r="A127" s="25"/>
      <c r="B127" s="25"/>
      <c r="C127" s="25"/>
      <c r="D127" s="25"/>
      <c r="E127" s="25"/>
      <c r="F127" s="25"/>
      <c r="G127" s="25"/>
      <c r="H127" s="25"/>
    </row>
    <row r="128">
      <c r="A128" s="25"/>
      <c r="B128" s="25"/>
      <c r="C128" s="25"/>
      <c r="D128" s="25"/>
      <c r="E128" s="25"/>
      <c r="F128" s="25"/>
      <c r="G128" s="25"/>
      <c r="H128" s="25"/>
    </row>
    <row r="129">
      <c r="A129" s="25"/>
      <c r="B129" s="25"/>
      <c r="C129" s="25"/>
      <c r="D129" s="25"/>
      <c r="E129" s="25"/>
      <c r="F129" s="25"/>
      <c r="G129" s="25"/>
      <c r="H129" s="25"/>
    </row>
    <row r="130">
      <c r="A130" s="25"/>
      <c r="B130" s="25"/>
      <c r="C130" s="25"/>
      <c r="D130" s="25"/>
      <c r="E130" s="25"/>
      <c r="F130" s="25"/>
      <c r="G130" s="25"/>
      <c r="H130" s="25"/>
    </row>
    <row r="131">
      <c r="A131" s="25"/>
      <c r="B131" s="25"/>
      <c r="C131" s="25"/>
      <c r="D131" s="25"/>
      <c r="E131" s="25"/>
      <c r="F131" s="25"/>
      <c r="G131" s="25"/>
      <c r="H131" s="25"/>
    </row>
    <row r="132">
      <c r="A132" s="25"/>
      <c r="B132" s="25"/>
      <c r="C132" s="25"/>
      <c r="D132" s="25"/>
      <c r="E132" s="25"/>
      <c r="F132" s="25"/>
      <c r="G132" s="25"/>
      <c r="H132" s="25"/>
    </row>
    <row r="133">
      <c r="A133" s="25"/>
      <c r="B133" s="25"/>
      <c r="C133" s="25"/>
      <c r="D133" s="25"/>
      <c r="E133" s="25"/>
      <c r="F133" s="25"/>
      <c r="G133" s="25"/>
      <c r="H133" s="25"/>
    </row>
    <row r="134">
      <c r="A134" s="25"/>
      <c r="B134" s="25"/>
      <c r="C134" s="25"/>
      <c r="D134" s="25"/>
      <c r="E134" s="25"/>
      <c r="F134" s="25"/>
      <c r="G134" s="25"/>
      <c r="H134" s="25"/>
    </row>
    <row r="135">
      <c r="A135" s="25"/>
      <c r="B135" s="25"/>
      <c r="C135" s="25"/>
      <c r="D135" s="25"/>
      <c r="E135" s="25"/>
      <c r="F135" s="25"/>
      <c r="G135" s="25"/>
      <c r="H135" s="25"/>
    </row>
    <row r="136">
      <c r="A136" s="25"/>
      <c r="B136" s="25"/>
      <c r="C136" s="25"/>
      <c r="D136" s="25"/>
      <c r="E136" s="25"/>
      <c r="F136" s="25"/>
      <c r="G136" s="25"/>
      <c r="H136" s="25"/>
    </row>
    <row r="137">
      <c r="A137" s="25"/>
      <c r="B137" s="25"/>
      <c r="C137" s="25"/>
      <c r="D137" s="25"/>
      <c r="E137" s="25"/>
      <c r="F137" s="25"/>
      <c r="G137" s="25"/>
      <c r="H137" s="25"/>
    </row>
    <row r="138">
      <c r="A138" s="25"/>
      <c r="B138" s="25"/>
      <c r="C138" s="25"/>
      <c r="D138" s="25"/>
      <c r="E138" s="25"/>
      <c r="F138" s="25"/>
      <c r="G138" s="25"/>
      <c r="H138" s="25"/>
    </row>
    <row r="139">
      <c r="A139" s="25"/>
      <c r="B139" s="25"/>
      <c r="C139" s="25"/>
      <c r="D139" s="25"/>
      <c r="E139" s="25"/>
      <c r="F139" s="25"/>
      <c r="G139" s="25"/>
      <c r="H139" s="25"/>
    </row>
    <row r="140">
      <c r="A140" s="25"/>
      <c r="B140" s="25"/>
      <c r="C140" s="25"/>
      <c r="D140" s="25"/>
      <c r="E140" s="25"/>
      <c r="F140" s="25"/>
      <c r="G140" s="25"/>
      <c r="H140" s="25"/>
    </row>
    <row r="141">
      <c r="A141" s="25"/>
      <c r="B141" s="25"/>
      <c r="C141" s="25"/>
      <c r="D141" s="25"/>
      <c r="E141" s="25"/>
      <c r="F141" s="25"/>
      <c r="G141" s="25"/>
      <c r="H141" s="25"/>
    </row>
    <row r="142">
      <c r="A142" s="25"/>
      <c r="B142" s="25"/>
      <c r="C142" s="25"/>
      <c r="D142" s="25"/>
      <c r="E142" s="25"/>
      <c r="F142" s="25"/>
      <c r="G142" s="25"/>
      <c r="H142" s="25"/>
    </row>
    <row r="143">
      <c r="A143" s="25"/>
      <c r="B143" s="25"/>
      <c r="C143" s="25"/>
      <c r="D143" s="25"/>
      <c r="E143" s="25"/>
      <c r="F143" s="25"/>
      <c r="G143" s="25"/>
      <c r="H143" s="25"/>
    </row>
    <row r="144">
      <c r="A144" s="25"/>
      <c r="B144" s="25"/>
      <c r="C144" s="25"/>
      <c r="D144" s="25"/>
      <c r="E144" s="25"/>
      <c r="F144" s="25"/>
      <c r="G144" s="25"/>
      <c r="H144" s="25"/>
    </row>
    <row r="145">
      <c r="A145" s="25"/>
      <c r="B145" s="25"/>
      <c r="C145" s="25"/>
      <c r="D145" s="25"/>
      <c r="E145" s="25"/>
      <c r="F145" s="25"/>
      <c r="G145" s="25"/>
      <c r="H145" s="25"/>
    </row>
    <row r="146">
      <c r="A146" s="25"/>
      <c r="B146" s="25"/>
      <c r="C146" s="25"/>
      <c r="D146" s="25"/>
      <c r="E146" s="25"/>
      <c r="F146" s="25"/>
      <c r="G146" s="25"/>
      <c r="H146" s="25"/>
    </row>
    <row r="147">
      <c r="A147" s="25"/>
      <c r="B147" s="25"/>
      <c r="C147" s="25"/>
      <c r="D147" s="25"/>
      <c r="E147" s="25"/>
      <c r="F147" s="25"/>
      <c r="G147" s="25"/>
      <c r="H147" s="25"/>
    </row>
    <row r="148">
      <c r="A148" s="25"/>
      <c r="B148" s="25"/>
      <c r="C148" s="25"/>
      <c r="D148" s="25"/>
      <c r="E148" s="25"/>
      <c r="F148" s="25"/>
      <c r="G148" s="25"/>
      <c r="H148" s="25"/>
    </row>
    <row r="149">
      <c r="A149" s="25"/>
      <c r="B149" s="25"/>
      <c r="C149" s="25"/>
      <c r="D149" s="25"/>
      <c r="E149" s="25"/>
      <c r="F149" s="25"/>
      <c r="G149" s="25"/>
      <c r="H149" s="25"/>
    </row>
    <row r="150">
      <c r="A150" s="25"/>
      <c r="B150" s="25"/>
      <c r="C150" s="25"/>
      <c r="D150" s="25"/>
      <c r="E150" s="25"/>
      <c r="F150" s="25"/>
      <c r="G150" s="25"/>
      <c r="H150" s="25"/>
    </row>
    <row r="151">
      <c r="A151" s="25"/>
      <c r="B151" s="25"/>
      <c r="C151" s="25"/>
      <c r="D151" s="25"/>
      <c r="E151" s="25"/>
      <c r="F151" s="25"/>
      <c r="G151" s="25"/>
      <c r="H151" s="25"/>
    </row>
    <row r="152">
      <c r="A152" s="25"/>
      <c r="B152" s="25"/>
      <c r="C152" s="25"/>
      <c r="D152" s="25"/>
      <c r="E152" s="25"/>
      <c r="F152" s="25"/>
      <c r="G152" s="25"/>
      <c r="H152" s="25"/>
    </row>
    <row r="153">
      <c r="A153" s="25"/>
      <c r="B153" s="25"/>
      <c r="C153" s="25"/>
      <c r="D153" s="25"/>
      <c r="E153" s="25"/>
      <c r="F153" s="25"/>
      <c r="G153" s="25"/>
      <c r="H153" s="25"/>
    </row>
    <row r="154">
      <c r="A154" s="25"/>
      <c r="B154" s="25"/>
      <c r="C154" s="25"/>
      <c r="D154" s="25"/>
      <c r="E154" s="25"/>
      <c r="F154" s="25"/>
      <c r="G154" s="25"/>
      <c r="H154" s="25"/>
    </row>
    <row r="155">
      <c r="A155" s="25"/>
      <c r="B155" s="25"/>
      <c r="C155" s="25"/>
      <c r="D155" s="25"/>
      <c r="E155" s="25"/>
      <c r="F155" s="25"/>
      <c r="G155" s="25"/>
      <c r="H155" s="25"/>
    </row>
    <row r="156">
      <c r="A156" s="25"/>
      <c r="B156" s="25"/>
      <c r="C156" s="25"/>
      <c r="D156" s="25"/>
      <c r="E156" s="25"/>
      <c r="F156" s="25"/>
      <c r="G156" s="25"/>
      <c r="H156" s="25"/>
    </row>
    <row r="157">
      <c r="A157" s="25"/>
      <c r="B157" s="25"/>
      <c r="C157" s="25"/>
      <c r="D157" s="25"/>
      <c r="E157" s="25"/>
      <c r="F157" s="25"/>
      <c r="G157" s="25"/>
      <c r="H157" s="25"/>
    </row>
    <row r="158">
      <c r="A158" s="25"/>
      <c r="B158" s="25"/>
      <c r="C158" s="25"/>
      <c r="D158" s="25"/>
      <c r="E158" s="25"/>
      <c r="F158" s="25"/>
      <c r="G158" s="25"/>
      <c r="H158" s="25"/>
    </row>
    <row r="159">
      <c r="A159" s="25"/>
      <c r="B159" s="25"/>
      <c r="C159" s="25"/>
      <c r="D159" s="25"/>
      <c r="E159" s="25"/>
      <c r="F159" s="25"/>
      <c r="G159" s="25"/>
      <c r="H159" s="25"/>
    </row>
    <row r="160">
      <c r="A160" s="25"/>
      <c r="B160" s="25"/>
      <c r="C160" s="25"/>
      <c r="D160" s="25"/>
      <c r="E160" s="25"/>
      <c r="F160" s="25"/>
      <c r="G160" s="25"/>
      <c r="H160" s="25"/>
    </row>
    <row r="161">
      <c r="A161" s="25"/>
      <c r="B161" s="25"/>
      <c r="C161" s="25"/>
      <c r="D161" s="25"/>
      <c r="E161" s="25"/>
      <c r="F161" s="25"/>
      <c r="G161" s="25"/>
      <c r="H161" s="25"/>
    </row>
    <row r="162">
      <c r="A162" s="25"/>
      <c r="B162" s="25"/>
      <c r="C162" s="25"/>
      <c r="D162" s="25"/>
      <c r="E162" s="25"/>
      <c r="F162" s="25"/>
      <c r="G162" s="25"/>
      <c r="H162" s="25"/>
    </row>
    <row r="163">
      <c r="A163" s="25"/>
      <c r="B163" s="25"/>
      <c r="C163" s="25"/>
      <c r="D163" s="25"/>
      <c r="E163" s="25"/>
      <c r="F163" s="25"/>
      <c r="G163" s="25"/>
      <c r="H163" s="25"/>
    </row>
    <row r="164">
      <c r="A164" s="25"/>
      <c r="B164" s="25"/>
      <c r="C164" s="25"/>
      <c r="D164" s="25"/>
      <c r="E164" s="25"/>
      <c r="F164" s="25"/>
      <c r="G164" s="25"/>
      <c r="H164" s="25"/>
    </row>
    <row r="165">
      <c r="A165" s="25"/>
      <c r="B165" s="25"/>
      <c r="C165" s="25"/>
      <c r="D165" s="25"/>
      <c r="E165" s="25"/>
      <c r="F165" s="25"/>
      <c r="G165" s="25"/>
      <c r="H165" s="25"/>
    </row>
    <row r="166">
      <c r="A166" s="25"/>
      <c r="B166" s="25"/>
      <c r="C166" s="25"/>
      <c r="D166" s="25"/>
      <c r="E166" s="25"/>
      <c r="F166" s="25"/>
      <c r="G166" s="25"/>
      <c r="H166" s="25"/>
    </row>
    <row r="167">
      <c r="A167" s="25"/>
      <c r="B167" s="25"/>
      <c r="C167" s="25"/>
      <c r="D167" s="25"/>
      <c r="E167" s="25"/>
      <c r="F167" s="25"/>
      <c r="G167" s="25"/>
      <c r="H167" s="25"/>
    </row>
    <row r="168">
      <c r="A168" s="25"/>
      <c r="B168" s="25"/>
      <c r="C168" s="25"/>
      <c r="D168" s="25"/>
      <c r="E168" s="25"/>
      <c r="F168" s="25"/>
      <c r="G168" s="25"/>
      <c r="H168" s="25"/>
    </row>
    <row r="169">
      <c r="A169" s="25"/>
      <c r="B169" s="25"/>
      <c r="C169" s="25"/>
      <c r="D169" s="25"/>
      <c r="E169" s="25"/>
      <c r="F169" s="25"/>
      <c r="G169" s="25"/>
      <c r="H169" s="25"/>
    </row>
    <row r="170">
      <c r="A170" s="25"/>
      <c r="B170" s="25"/>
      <c r="C170" s="25"/>
      <c r="D170" s="25"/>
      <c r="E170" s="25"/>
      <c r="F170" s="25"/>
      <c r="G170" s="25"/>
      <c r="H170" s="25"/>
    </row>
    <row r="171">
      <c r="A171" s="25"/>
      <c r="B171" s="25"/>
      <c r="C171" s="25"/>
      <c r="D171" s="25"/>
      <c r="E171" s="25"/>
      <c r="F171" s="25"/>
      <c r="G171" s="25"/>
      <c r="H171" s="25"/>
    </row>
    <row r="172">
      <c r="A172" s="25"/>
      <c r="B172" s="25"/>
      <c r="C172" s="25"/>
      <c r="D172" s="25"/>
      <c r="E172" s="25"/>
      <c r="F172" s="25"/>
      <c r="G172" s="25"/>
      <c r="H172" s="25"/>
    </row>
    <row r="173">
      <c r="A173" s="25"/>
      <c r="B173" s="25"/>
      <c r="C173" s="25"/>
      <c r="D173" s="25"/>
      <c r="E173" s="25"/>
      <c r="F173" s="25"/>
      <c r="G173" s="25"/>
      <c r="H173" s="25"/>
    </row>
    <row r="174">
      <c r="A174" s="25"/>
      <c r="B174" s="25"/>
      <c r="C174" s="25"/>
      <c r="D174" s="25"/>
      <c r="E174" s="25"/>
      <c r="F174" s="25"/>
      <c r="G174" s="25"/>
      <c r="H174" s="25"/>
    </row>
    <row r="175">
      <c r="A175" s="25"/>
      <c r="B175" s="25"/>
      <c r="C175" s="25"/>
      <c r="D175" s="25"/>
      <c r="E175" s="25"/>
      <c r="F175" s="25"/>
      <c r="G175" s="25"/>
      <c r="H175" s="25"/>
    </row>
    <row r="176">
      <c r="A176" s="25"/>
      <c r="B176" s="25"/>
      <c r="C176" s="25"/>
      <c r="D176" s="25"/>
      <c r="E176" s="25"/>
      <c r="F176" s="25"/>
      <c r="G176" s="25"/>
      <c r="H176" s="25"/>
    </row>
    <row r="177">
      <c r="A177" s="25"/>
      <c r="B177" s="25"/>
      <c r="C177" s="25"/>
      <c r="D177" s="25"/>
      <c r="E177" s="25"/>
      <c r="F177" s="25"/>
      <c r="G177" s="25"/>
      <c r="H177" s="25"/>
    </row>
    <row r="178">
      <c r="A178" s="25"/>
      <c r="B178" s="25"/>
      <c r="C178" s="25"/>
      <c r="D178" s="25"/>
      <c r="E178" s="25"/>
      <c r="F178" s="25"/>
      <c r="G178" s="25"/>
      <c r="H178" s="25"/>
    </row>
    <row r="179">
      <c r="A179" s="25"/>
      <c r="B179" s="25"/>
      <c r="C179" s="25"/>
      <c r="D179" s="25"/>
      <c r="E179" s="25"/>
      <c r="F179" s="25"/>
      <c r="G179" s="25"/>
      <c r="H179" s="25"/>
    </row>
    <row r="180">
      <c r="A180" s="25"/>
      <c r="B180" s="25"/>
      <c r="C180" s="25"/>
      <c r="D180" s="25"/>
      <c r="E180" s="25"/>
      <c r="F180" s="25"/>
      <c r="G180" s="25"/>
      <c r="H180" s="25"/>
    </row>
    <row r="181">
      <c r="A181" s="25"/>
      <c r="B181" s="25"/>
      <c r="C181" s="25"/>
      <c r="D181" s="25"/>
      <c r="E181" s="25"/>
      <c r="F181" s="25"/>
      <c r="G181" s="25"/>
      <c r="H181" s="25"/>
    </row>
    <row r="182">
      <c r="A182" s="25"/>
      <c r="B182" s="25"/>
      <c r="C182" s="25"/>
      <c r="D182" s="25"/>
      <c r="E182" s="25"/>
      <c r="F182" s="25"/>
      <c r="G182" s="25"/>
      <c r="H182" s="25"/>
    </row>
    <row r="183">
      <c r="A183" s="25"/>
      <c r="B183" s="25"/>
      <c r="C183" s="25"/>
      <c r="D183" s="25"/>
      <c r="E183" s="25"/>
      <c r="F183" s="25"/>
      <c r="G183" s="25"/>
      <c r="H183" s="25"/>
    </row>
    <row r="184">
      <c r="A184" s="25"/>
      <c r="B184" s="25"/>
      <c r="C184" s="25"/>
      <c r="D184" s="25"/>
      <c r="E184" s="25"/>
      <c r="F184" s="25"/>
      <c r="G184" s="25"/>
      <c r="H184" s="25"/>
    </row>
    <row r="185">
      <c r="A185" s="25"/>
      <c r="B185" s="25"/>
      <c r="C185" s="25"/>
      <c r="D185" s="25"/>
      <c r="E185" s="25"/>
      <c r="F185" s="25"/>
      <c r="G185" s="25"/>
      <c r="H185" s="25"/>
    </row>
    <row r="186">
      <c r="A186" s="25"/>
      <c r="B186" s="25"/>
      <c r="C186" s="25"/>
      <c r="D186" s="25"/>
      <c r="E186" s="25"/>
      <c r="F186" s="25"/>
      <c r="G186" s="25"/>
      <c r="H186" s="25"/>
    </row>
    <row r="187">
      <c r="A187" s="25"/>
      <c r="B187" s="25"/>
      <c r="C187" s="25"/>
      <c r="D187" s="25"/>
      <c r="E187" s="25"/>
      <c r="F187" s="25"/>
      <c r="G187" s="25"/>
      <c r="H187" s="25"/>
    </row>
    <row r="188">
      <c r="A188" s="25"/>
      <c r="B188" s="25"/>
      <c r="C188" s="25"/>
      <c r="D188" s="25"/>
      <c r="E188" s="25"/>
      <c r="F188" s="25"/>
      <c r="G188" s="25"/>
      <c r="H188" s="25"/>
    </row>
    <row r="189">
      <c r="A189" s="25"/>
      <c r="B189" s="25"/>
      <c r="C189" s="25"/>
      <c r="D189" s="25"/>
      <c r="E189" s="25"/>
      <c r="F189" s="25"/>
      <c r="G189" s="25"/>
      <c r="H189" s="25"/>
    </row>
    <row r="190">
      <c r="A190" s="25"/>
      <c r="B190" s="25"/>
      <c r="C190" s="25"/>
      <c r="D190" s="25"/>
      <c r="E190" s="25"/>
      <c r="F190" s="25"/>
      <c r="G190" s="25"/>
      <c r="H190" s="25"/>
    </row>
    <row r="191">
      <c r="A191" s="25"/>
      <c r="B191" s="25"/>
      <c r="C191" s="25"/>
      <c r="D191" s="25"/>
      <c r="E191" s="25"/>
      <c r="F191" s="25"/>
      <c r="G191" s="25"/>
      <c r="H191" s="25"/>
    </row>
    <row r="192">
      <c r="A192" s="25"/>
      <c r="B192" s="25"/>
      <c r="C192" s="25"/>
      <c r="D192" s="25"/>
      <c r="E192" s="25"/>
      <c r="F192" s="25"/>
      <c r="G192" s="25"/>
      <c r="H192" s="25"/>
    </row>
    <row r="193">
      <c r="A193" s="25"/>
      <c r="B193" s="25"/>
      <c r="C193" s="25"/>
      <c r="D193" s="25"/>
      <c r="E193" s="25"/>
      <c r="F193" s="25"/>
      <c r="G193" s="25"/>
      <c r="H193" s="25"/>
    </row>
    <row r="194">
      <c r="A194" s="25"/>
      <c r="B194" s="25"/>
      <c r="C194" s="25"/>
      <c r="D194" s="25"/>
      <c r="E194" s="25"/>
      <c r="F194" s="25"/>
      <c r="G194" s="25"/>
      <c r="H194" s="25"/>
    </row>
    <row r="195">
      <c r="A195" s="25"/>
      <c r="B195" s="25"/>
      <c r="C195" s="25"/>
      <c r="D195" s="25"/>
      <c r="E195" s="25"/>
      <c r="F195" s="25"/>
      <c r="G195" s="25"/>
      <c r="H195" s="25"/>
    </row>
    <row r="196">
      <c r="A196" s="25"/>
      <c r="B196" s="25"/>
      <c r="C196" s="25"/>
      <c r="D196" s="25"/>
      <c r="E196" s="25"/>
      <c r="F196" s="25"/>
      <c r="G196" s="25"/>
      <c r="H196" s="25"/>
    </row>
    <row r="197">
      <c r="A197" s="25"/>
      <c r="B197" s="25"/>
      <c r="C197" s="25"/>
      <c r="D197" s="25"/>
      <c r="E197" s="25"/>
      <c r="F197" s="25"/>
      <c r="G197" s="25"/>
      <c r="H197" s="25"/>
    </row>
    <row r="198">
      <c r="A198" s="25"/>
      <c r="B198" s="25"/>
      <c r="C198" s="25"/>
      <c r="D198" s="25"/>
      <c r="E198" s="25"/>
      <c r="F198" s="25"/>
      <c r="G198" s="25"/>
      <c r="H198" s="25"/>
    </row>
    <row r="199">
      <c r="A199" s="25"/>
      <c r="B199" s="25"/>
      <c r="C199" s="25"/>
      <c r="D199" s="25"/>
      <c r="E199" s="25"/>
      <c r="F199" s="25"/>
      <c r="G199" s="25"/>
      <c r="H199" s="25"/>
    </row>
    <row r="200">
      <c r="A200" s="25"/>
      <c r="B200" s="25"/>
      <c r="C200" s="25"/>
      <c r="D200" s="25"/>
      <c r="E200" s="25"/>
      <c r="F200" s="25"/>
      <c r="G200" s="25"/>
      <c r="H200" s="25"/>
    </row>
    <row r="201">
      <c r="A201" s="25"/>
      <c r="B201" s="25"/>
      <c r="C201" s="25"/>
      <c r="D201" s="25"/>
      <c r="E201" s="25"/>
      <c r="F201" s="25"/>
      <c r="G201" s="25"/>
      <c r="H201" s="25"/>
    </row>
    <row r="202">
      <c r="A202" s="25"/>
      <c r="B202" s="25"/>
      <c r="C202" s="25"/>
      <c r="D202" s="25"/>
      <c r="E202" s="25"/>
      <c r="F202" s="25"/>
      <c r="G202" s="25"/>
      <c r="H202" s="25"/>
    </row>
    <row r="203">
      <c r="A203" s="25"/>
      <c r="B203" s="25"/>
      <c r="C203" s="25"/>
      <c r="D203" s="25"/>
      <c r="E203" s="25"/>
      <c r="F203" s="25"/>
      <c r="G203" s="25"/>
      <c r="H203" s="25"/>
    </row>
    <row r="204">
      <c r="A204" s="25"/>
      <c r="B204" s="25"/>
      <c r="C204" s="25"/>
      <c r="D204" s="25"/>
      <c r="E204" s="25"/>
      <c r="F204" s="25"/>
      <c r="G204" s="25"/>
      <c r="H204" s="25"/>
    </row>
    <row r="205">
      <c r="A205" s="25"/>
      <c r="B205" s="25"/>
      <c r="C205" s="25"/>
      <c r="D205" s="25"/>
      <c r="E205" s="25"/>
      <c r="F205" s="25"/>
      <c r="G205" s="25"/>
      <c r="H205" s="25"/>
    </row>
    <row r="206">
      <c r="A206" s="25"/>
      <c r="B206" s="25"/>
      <c r="C206" s="25"/>
      <c r="D206" s="25"/>
      <c r="E206" s="25"/>
      <c r="F206" s="25"/>
      <c r="G206" s="25"/>
      <c r="H206" s="25"/>
    </row>
    <row r="207">
      <c r="A207" s="25"/>
      <c r="B207" s="25"/>
      <c r="C207" s="25"/>
      <c r="D207" s="25"/>
      <c r="E207" s="25"/>
      <c r="F207" s="25"/>
      <c r="G207" s="25"/>
      <c r="H207" s="25"/>
    </row>
    <row r="208">
      <c r="A208" s="25"/>
      <c r="B208" s="25"/>
      <c r="C208" s="25"/>
      <c r="D208" s="25"/>
      <c r="E208" s="25"/>
      <c r="F208" s="25"/>
      <c r="G208" s="25"/>
      <c r="H208" s="25"/>
    </row>
    <row r="209">
      <c r="A209" s="25"/>
      <c r="B209" s="25"/>
      <c r="C209" s="25"/>
      <c r="D209" s="25"/>
      <c r="E209" s="25"/>
      <c r="F209" s="25"/>
      <c r="G209" s="25"/>
      <c r="H209" s="25"/>
    </row>
    <row r="210">
      <c r="A210" s="25"/>
      <c r="B210" s="25"/>
      <c r="C210" s="25"/>
      <c r="D210" s="25"/>
      <c r="E210" s="25"/>
      <c r="F210" s="25"/>
      <c r="G210" s="25"/>
      <c r="H210" s="25"/>
    </row>
    <row r="211">
      <c r="A211" s="25"/>
      <c r="B211" s="25"/>
      <c r="C211" s="25"/>
      <c r="D211" s="25"/>
      <c r="E211" s="25"/>
      <c r="F211" s="25"/>
      <c r="G211" s="25"/>
      <c r="H211" s="25"/>
    </row>
    <row r="212">
      <c r="A212" s="25"/>
      <c r="B212" s="25"/>
      <c r="C212" s="25"/>
      <c r="D212" s="25"/>
      <c r="E212" s="25"/>
      <c r="F212" s="25"/>
      <c r="G212" s="25"/>
      <c r="H212" s="25"/>
    </row>
    <row r="213">
      <c r="A213" s="25"/>
      <c r="B213" s="25"/>
      <c r="C213" s="25"/>
      <c r="D213" s="25"/>
      <c r="E213" s="25"/>
      <c r="F213" s="25"/>
      <c r="G213" s="25"/>
      <c r="H213" s="25"/>
    </row>
    <row r="214">
      <c r="A214" s="25"/>
      <c r="B214" s="25"/>
      <c r="C214" s="25"/>
      <c r="D214" s="25"/>
      <c r="E214" s="25"/>
      <c r="F214" s="25"/>
      <c r="G214" s="25"/>
      <c r="H214" s="25"/>
    </row>
    <row r="215">
      <c r="A215" s="25"/>
      <c r="B215" s="25"/>
      <c r="C215" s="25"/>
      <c r="D215" s="25"/>
      <c r="E215" s="25"/>
      <c r="F215" s="25"/>
      <c r="G215" s="25"/>
      <c r="H215" s="25"/>
    </row>
    <row r="216">
      <c r="A216" s="25"/>
      <c r="B216" s="25"/>
      <c r="C216" s="25"/>
      <c r="D216" s="25"/>
      <c r="E216" s="25"/>
      <c r="F216" s="25"/>
      <c r="G216" s="25"/>
      <c r="H216" s="25"/>
    </row>
    <row r="217">
      <c r="A217" s="25"/>
      <c r="B217" s="25"/>
      <c r="C217" s="25"/>
      <c r="D217" s="25"/>
      <c r="E217" s="25"/>
      <c r="F217" s="25"/>
      <c r="G217" s="25"/>
      <c r="H217" s="25"/>
    </row>
    <row r="218">
      <c r="A218" s="25"/>
      <c r="B218" s="25"/>
      <c r="C218" s="25"/>
      <c r="D218" s="25"/>
      <c r="E218" s="25"/>
      <c r="F218" s="25"/>
      <c r="G218" s="25"/>
      <c r="H218" s="25"/>
    </row>
    <row r="219">
      <c r="A219" s="25"/>
      <c r="B219" s="25"/>
      <c r="C219" s="25"/>
      <c r="D219" s="25"/>
      <c r="E219" s="25"/>
      <c r="F219" s="25"/>
      <c r="G219" s="25"/>
      <c r="H219" s="25"/>
    </row>
    <row r="220">
      <c r="A220" s="25"/>
      <c r="B220" s="25"/>
      <c r="C220" s="25"/>
      <c r="D220" s="25"/>
      <c r="E220" s="25"/>
      <c r="F220" s="25"/>
      <c r="G220" s="25"/>
      <c r="H220" s="25"/>
    </row>
    <row r="221">
      <c r="A221" s="25"/>
      <c r="B221" s="25"/>
      <c r="C221" s="25"/>
      <c r="D221" s="25"/>
      <c r="E221" s="25"/>
      <c r="F221" s="25"/>
      <c r="G221" s="25"/>
      <c r="H221" s="25"/>
    </row>
    <row r="222">
      <c r="A222" s="25"/>
      <c r="B222" s="25"/>
      <c r="C222" s="25"/>
      <c r="D222" s="25"/>
      <c r="E222" s="25"/>
      <c r="F222" s="25"/>
      <c r="G222" s="25"/>
      <c r="H222" s="25"/>
    </row>
    <row r="223">
      <c r="A223" s="25"/>
      <c r="B223" s="25"/>
      <c r="C223" s="25"/>
      <c r="D223" s="25"/>
      <c r="E223" s="25"/>
      <c r="F223" s="25"/>
      <c r="G223" s="25"/>
      <c r="H223" s="25"/>
    </row>
    <row r="224">
      <c r="A224" s="25"/>
      <c r="B224" s="25"/>
      <c r="C224" s="25"/>
      <c r="D224" s="25"/>
      <c r="E224" s="25"/>
      <c r="F224" s="25"/>
      <c r="G224" s="25"/>
      <c r="H224" s="25"/>
    </row>
    <row r="225">
      <c r="A225" s="25"/>
      <c r="B225" s="25"/>
      <c r="C225" s="25"/>
      <c r="D225" s="25"/>
      <c r="E225" s="25"/>
      <c r="F225" s="25"/>
      <c r="G225" s="25"/>
      <c r="H225" s="25"/>
    </row>
    <row r="226">
      <c r="A226" s="25"/>
      <c r="B226" s="25"/>
      <c r="C226" s="25"/>
      <c r="D226" s="25"/>
      <c r="E226" s="25"/>
      <c r="F226" s="25"/>
      <c r="G226" s="25"/>
      <c r="H226" s="25"/>
    </row>
    <row r="227">
      <c r="A227" s="25"/>
      <c r="B227" s="25"/>
      <c r="C227" s="25"/>
      <c r="D227" s="25"/>
      <c r="E227" s="25"/>
      <c r="F227" s="25"/>
      <c r="G227" s="25"/>
      <c r="H227" s="25"/>
    </row>
    <row r="228">
      <c r="A228" s="25"/>
      <c r="B228" s="25"/>
      <c r="C228" s="25"/>
      <c r="D228" s="25"/>
      <c r="E228" s="25"/>
      <c r="F228" s="25"/>
      <c r="G228" s="25"/>
      <c r="H228" s="25"/>
    </row>
    <row r="229">
      <c r="A229" s="25"/>
      <c r="B229" s="25"/>
      <c r="C229" s="25"/>
      <c r="D229" s="25"/>
      <c r="E229" s="25"/>
      <c r="F229" s="25"/>
      <c r="G229" s="25"/>
      <c r="H229" s="25"/>
    </row>
    <row r="230">
      <c r="A230" s="25"/>
      <c r="B230" s="25"/>
      <c r="C230" s="25"/>
      <c r="D230" s="25"/>
      <c r="E230" s="25"/>
      <c r="F230" s="25"/>
      <c r="G230" s="25"/>
      <c r="H230" s="25"/>
    </row>
    <row r="231">
      <c r="A231" s="25"/>
      <c r="B231" s="25"/>
      <c r="C231" s="25"/>
      <c r="D231" s="25"/>
      <c r="E231" s="25"/>
      <c r="F231" s="25"/>
      <c r="G231" s="25"/>
      <c r="H231" s="25"/>
    </row>
    <row r="232">
      <c r="A232" s="25"/>
      <c r="B232" s="25"/>
      <c r="C232" s="25"/>
      <c r="D232" s="25"/>
      <c r="E232" s="25"/>
      <c r="F232" s="25"/>
      <c r="G232" s="25"/>
      <c r="H232" s="25"/>
    </row>
    <row r="233">
      <c r="A233" s="25"/>
      <c r="B233" s="25"/>
      <c r="C233" s="25"/>
      <c r="D233" s="25"/>
      <c r="E233" s="25"/>
      <c r="F233" s="25"/>
      <c r="G233" s="25"/>
      <c r="H233" s="25"/>
    </row>
    <row r="234">
      <c r="A234" s="25"/>
      <c r="B234" s="25"/>
      <c r="C234" s="25"/>
      <c r="D234" s="25"/>
      <c r="E234" s="25"/>
      <c r="F234" s="25"/>
      <c r="G234" s="25"/>
      <c r="H234" s="25"/>
    </row>
    <row r="235">
      <c r="A235" s="25"/>
      <c r="B235" s="25"/>
      <c r="C235" s="25"/>
      <c r="D235" s="25"/>
      <c r="E235" s="25"/>
      <c r="F235" s="25"/>
      <c r="G235" s="25"/>
      <c r="H235" s="25"/>
    </row>
    <row r="236">
      <c r="A236" s="25"/>
      <c r="B236" s="25"/>
      <c r="C236" s="25"/>
      <c r="D236" s="25"/>
      <c r="E236" s="25"/>
      <c r="F236" s="25"/>
      <c r="G236" s="25"/>
      <c r="H236" s="25"/>
    </row>
    <row r="237">
      <c r="A237" s="25"/>
      <c r="B237" s="25"/>
      <c r="C237" s="25"/>
      <c r="D237" s="25"/>
      <c r="E237" s="25"/>
      <c r="F237" s="25"/>
      <c r="G237" s="25"/>
      <c r="H237" s="25"/>
    </row>
    <row r="238">
      <c r="A238" s="25"/>
      <c r="B238" s="25"/>
      <c r="C238" s="25"/>
      <c r="D238" s="25"/>
      <c r="E238" s="25"/>
      <c r="F238" s="25"/>
      <c r="G238" s="25"/>
      <c r="H238" s="25"/>
    </row>
    <row r="239">
      <c r="A239" s="25"/>
      <c r="B239" s="25"/>
      <c r="C239" s="25"/>
      <c r="D239" s="25"/>
      <c r="E239" s="25"/>
      <c r="F239" s="25"/>
      <c r="G239" s="25"/>
      <c r="H239" s="25"/>
    </row>
    <row r="240">
      <c r="A240" s="25"/>
      <c r="B240" s="25"/>
      <c r="C240" s="25"/>
      <c r="D240" s="25"/>
      <c r="E240" s="25"/>
      <c r="F240" s="25"/>
      <c r="G240" s="25"/>
      <c r="H240" s="25"/>
    </row>
    <row r="241">
      <c r="A241" s="25"/>
      <c r="B241" s="25"/>
      <c r="C241" s="25"/>
      <c r="D241" s="25"/>
      <c r="E241" s="25"/>
      <c r="F241" s="25"/>
      <c r="G241" s="25"/>
      <c r="H241" s="25"/>
    </row>
    <row r="242">
      <c r="A242" s="25"/>
      <c r="B242" s="25"/>
      <c r="C242" s="25"/>
      <c r="D242" s="25"/>
      <c r="E242" s="25"/>
      <c r="F242" s="25"/>
      <c r="G242" s="25"/>
      <c r="H242" s="25"/>
    </row>
    <row r="243">
      <c r="A243" s="25"/>
      <c r="B243" s="25"/>
      <c r="C243" s="25"/>
      <c r="D243" s="25"/>
      <c r="E243" s="25"/>
      <c r="F243" s="25"/>
      <c r="G243" s="25"/>
      <c r="H243" s="25"/>
    </row>
    <row r="244">
      <c r="A244" s="25"/>
      <c r="B244" s="25"/>
      <c r="C244" s="25"/>
      <c r="D244" s="25"/>
      <c r="E244" s="25"/>
      <c r="F244" s="25"/>
      <c r="G244" s="25"/>
      <c r="H244" s="25"/>
    </row>
    <row r="245">
      <c r="A245" s="25"/>
      <c r="B245" s="25"/>
      <c r="C245" s="25"/>
      <c r="D245" s="25"/>
      <c r="E245" s="25"/>
      <c r="F245" s="25"/>
      <c r="G245" s="25"/>
      <c r="H245" s="25"/>
    </row>
    <row r="246">
      <c r="A246" s="25"/>
      <c r="B246" s="25"/>
      <c r="C246" s="25"/>
      <c r="D246" s="25"/>
      <c r="E246" s="25"/>
      <c r="F246" s="25"/>
      <c r="G246" s="25"/>
      <c r="H246" s="25"/>
    </row>
    <row r="247">
      <c r="A247" s="25"/>
      <c r="B247" s="25"/>
      <c r="C247" s="25"/>
      <c r="D247" s="25"/>
      <c r="E247" s="25"/>
      <c r="F247" s="25"/>
      <c r="G247" s="25"/>
      <c r="H247" s="25"/>
    </row>
    <row r="248">
      <c r="A248" s="25"/>
      <c r="B248" s="25"/>
      <c r="C248" s="25"/>
      <c r="D248" s="25"/>
      <c r="E248" s="25"/>
      <c r="F248" s="25"/>
      <c r="G248" s="25"/>
      <c r="H248" s="25"/>
    </row>
    <row r="249">
      <c r="A249" s="25"/>
      <c r="B249" s="25"/>
      <c r="C249" s="25"/>
      <c r="D249" s="25"/>
      <c r="E249" s="25"/>
      <c r="F249" s="25"/>
      <c r="G249" s="25"/>
      <c r="H249" s="25"/>
    </row>
    <row r="250">
      <c r="A250" s="25"/>
      <c r="B250" s="25"/>
      <c r="C250" s="25"/>
      <c r="D250" s="25"/>
      <c r="E250" s="25"/>
      <c r="F250" s="25"/>
      <c r="G250" s="25"/>
      <c r="H250" s="25"/>
    </row>
    <row r="251">
      <c r="A251" s="25"/>
      <c r="B251" s="25"/>
      <c r="C251" s="25"/>
      <c r="D251" s="25"/>
      <c r="E251" s="25"/>
      <c r="F251" s="25"/>
      <c r="G251" s="25"/>
      <c r="H251" s="25"/>
    </row>
    <row r="252">
      <c r="A252" s="25"/>
      <c r="B252" s="25"/>
      <c r="C252" s="25"/>
      <c r="D252" s="25"/>
      <c r="E252" s="25"/>
      <c r="F252" s="25"/>
      <c r="G252" s="25"/>
      <c r="H252" s="25"/>
    </row>
    <row r="253">
      <c r="A253" s="25"/>
      <c r="B253" s="25"/>
      <c r="C253" s="25"/>
      <c r="D253" s="25"/>
      <c r="E253" s="25"/>
      <c r="F253" s="25"/>
      <c r="G253" s="25"/>
      <c r="H253" s="25"/>
    </row>
    <row r="254">
      <c r="A254" s="25"/>
      <c r="B254" s="25"/>
      <c r="C254" s="25"/>
      <c r="D254" s="25"/>
      <c r="E254" s="25"/>
      <c r="F254" s="25"/>
      <c r="G254" s="25"/>
      <c r="H254" s="25"/>
    </row>
    <row r="255">
      <c r="A255" s="25"/>
      <c r="B255" s="25"/>
      <c r="C255" s="25"/>
      <c r="D255" s="25"/>
      <c r="E255" s="25"/>
      <c r="F255" s="25"/>
      <c r="G255" s="25"/>
      <c r="H255" s="25"/>
    </row>
    <row r="256">
      <c r="A256" s="25"/>
      <c r="B256" s="25"/>
      <c r="C256" s="25"/>
      <c r="D256" s="25"/>
      <c r="E256" s="25"/>
      <c r="F256" s="25"/>
      <c r="G256" s="25"/>
      <c r="H256" s="25"/>
    </row>
    <row r="257">
      <c r="A257" s="25"/>
      <c r="B257" s="25"/>
      <c r="C257" s="25"/>
      <c r="D257" s="25"/>
      <c r="E257" s="25"/>
      <c r="F257" s="25"/>
      <c r="G257" s="25"/>
      <c r="H257" s="25"/>
    </row>
    <row r="258">
      <c r="A258" s="25"/>
      <c r="B258" s="25"/>
      <c r="C258" s="25"/>
      <c r="D258" s="25"/>
      <c r="E258" s="25"/>
      <c r="F258" s="25"/>
      <c r="G258" s="25"/>
      <c r="H258" s="25"/>
    </row>
    <row r="259">
      <c r="A259" s="25"/>
      <c r="B259" s="25"/>
      <c r="C259" s="25"/>
      <c r="D259" s="25"/>
      <c r="E259" s="25"/>
      <c r="F259" s="25"/>
      <c r="G259" s="25"/>
      <c r="H259" s="25"/>
    </row>
    <row r="260">
      <c r="A260" s="25"/>
      <c r="B260" s="25"/>
      <c r="C260" s="25"/>
      <c r="D260" s="25"/>
      <c r="E260" s="25"/>
      <c r="F260" s="25"/>
      <c r="G260" s="25"/>
      <c r="H260" s="25"/>
    </row>
    <row r="261">
      <c r="A261" s="25"/>
      <c r="B261" s="25"/>
      <c r="C261" s="25"/>
      <c r="D261" s="25"/>
      <c r="E261" s="25"/>
      <c r="F261" s="25"/>
      <c r="G261" s="25"/>
      <c r="H261" s="25"/>
    </row>
    <row r="262">
      <c r="A262" s="25"/>
      <c r="B262" s="25"/>
      <c r="C262" s="25"/>
      <c r="D262" s="25"/>
      <c r="E262" s="25"/>
      <c r="F262" s="25"/>
      <c r="G262" s="25"/>
      <c r="H262" s="25"/>
    </row>
    <row r="263">
      <c r="A263" s="25"/>
      <c r="B263" s="25"/>
      <c r="C263" s="25"/>
      <c r="D263" s="25"/>
      <c r="E263" s="25"/>
      <c r="F263" s="25"/>
      <c r="G263" s="25"/>
      <c r="H263" s="25"/>
    </row>
    <row r="264">
      <c r="A264" s="25"/>
      <c r="B264" s="25"/>
      <c r="C264" s="25"/>
      <c r="D264" s="25"/>
      <c r="E264" s="25"/>
      <c r="F264" s="25"/>
      <c r="G264" s="25"/>
      <c r="H264" s="25"/>
    </row>
    <row r="265">
      <c r="A265" s="25"/>
      <c r="B265" s="25"/>
      <c r="C265" s="25"/>
      <c r="D265" s="25"/>
      <c r="E265" s="25"/>
      <c r="F265" s="25"/>
      <c r="G265" s="25"/>
      <c r="H265" s="25"/>
    </row>
    <row r="266">
      <c r="A266" s="25"/>
      <c r="B266" s="25"/>
      <c r="C266" s="25"/>
      <c r="D266" s="25"/>
      <c r="E266" s="25"/>
      <c r="F266" s="25"/>
      <c r="G266" s="25"/>
      <c r="H266" s="25"/>
    </row>
    <row r="267">
      <c r="A267" s="25"/>
      <c r="B267" s="25"/>
      <c r="C267" s="25"/>
      <c r="D267" s="25"/>
      <c r="E267" s="25"/>
      <c r="F267" s="25"/>
      <c r="G267" s="25"/>
      <c r="H267" s="25"/>
    </row>
    <row r="268">
      <c r="A268" s="25"/>
      <c r="B268" s="25"/>
      <c r="C268" s="25"/>
      <c r="D268" s="25"/>
      <c r="E268" s="25"/>
      <c r="F268" s="25"/>
      <c r="G268" s="25"/>
      <c r="H268" s="25"/>
    </row>
    <row r="269">
      <c r="A269" s="25"/>
      <c r="B269" s="25"/>
      <c r="C269" s="25"/>
      <c r="D269" s="25"/>
      <c r="E269" s="25"/>
      <c r="F269" s="25"/>
      <c r="G269" s="25"/>
      <c r="H269" s="25"/>
    </row>
    <row r="270">
      <c r="A270" s="25"/>
      <c r="B270" s="25"/>
      <c r="C270" s="25"/>
      <c r="D270" s="25"/>
      <c r="E270" s="25"/>
      <c r="F270" s="25"/>
      <c r="G270" s="25"/>
      <c r="H270" s="25"/>
    </row>
    <row r="271">
      <c r="A271" s="25"/>
      <c r="B271" s="25"/>
      <c r="C271" s="25"/>
      <c r="D271" s="25"/>
      <c r="E271" s="25"/>
      <c r="F271" s="25"/>
      <c r="G271" s="25"/>
      <c r="H271" s="25"/>
    </row>
    <row r="272">
      <c r="A272" s="25"/>
      <c r="B272" s="25"/>
      <c r="C272" s="25"/>
      <c r="D272" s="25"/>
      <c r="E272" s="25"/>
      <c r="F272" s="25"/>
      <c r="G272" s="25"/>
      <c r="H272" s="25"/>
    </row>
    <row r="273">
      <c r="A273" s="25"/>
      <c r="B273" s="25"/>
      <c r="C273" s="25"/>
      <c r="D273" s="25"/>
      <c r="E273" s="25"/>
      <c r="F273" s="25"/>
      <c r="G273" s="25"/>
      <c r="H273" s="25"/>
    </row>
    <row r="274">
      <c r="A274" s="25"/>
      <c r="B274" s="25"/>
      <c r="C274" s="25"/>
      <c r="D274" s="25"/>
      <c r="E274" s="25"/>
      <c r="F274" s="25"/>
      <c r="G274" s="25"/>
      <c r="H274" s="25"/>
    </row>
    <row r="275">
      <c r="A275" s="25"/>
      <c r="B275" s="25"/>
      <c r="C275" s="25"/>
      <c r="D275" s="25"/>
      <c r="E275" s="25"/>
      <c r="F275" s="25"/>
      <c r="G275" s="25"/>
      <c r="H275" s="25"/>
    </row>
    <row r="276">
      <c r="A276" s="25"/>
      <c r="B276" s="25"/>
      <c r="C276" s="25"/>
      <c r="D276" s="25"/>
      <c r="E276" s="25"/>
      <c r="F276" s="25"/>
      <c r="G276" s="25"/>
      <c r="H276" s="25"/>
    </row>
    <row r="277">
      <c r="A277" s="25"/>
      <c r="B277" s="25"/>
      <c r="C277" s="25"/>
      <c r="D277" s="25"/>
      <c r="E277" s="25"/>
      <c r="F277" s="25"/>
      <c r="G277" s="25"/>
      <c r="H277" s="25"/>
    </row>
    <row r="278">
      <c r="A278" s="25"/>
      <c r="B278" s="25"/>
      <c r="C278" s="25"/>
      <c r="D278" s="25"/>
      <c r="E278" s="25"/>
      <c r="F278" s="25"/>
      <c r="G278" s="25"/>
      <c r="H278" s="25"/>
    </row>
    <row r="279">
      <c r="A279" s="25"/>
      <c r="B279" s="25"/>
      <c r="C279" s="25"/>
      <c r="D279" s="25"/>
      <c r="E279" s="25"/>
      <c r="F279" s="25"/>
      <c r="G279" s="25"/>
      <c r="H279" s="25"/>
    </row>
    <row r="280">
      <c r="A280" s="25"/>
      <c r="B280" s="25"/>
      <c r="C280" s="25"/>
      <c r="D280" s="25"/>
      <c r="E280" s="25"/>
      <c r="F280" s="25"/>
      <c r="G280" s="25"/>
      <c r="H280" s="25"/>
    </row>
    <row r="281">
      <c r="A281" s="25"/>
      <c r="B281" s="25"/>
      <c r="C281" s="25"/>
      <c r="D281" s="25"/>
      <c r="E281" s="25"/>
      <c r="F281" s="25"/>
      <c r="G281" s="25"/>
      <c r="H281" s="25"/>
    </row>
    <row r="282">
      <c r="A282" s="25"/>
      <c r="B282" s="25"/>
      <c r="C282" s="25"/>
      <c r="D282" s="25"/>
      <c r="E282" s="25"/>
      <c r="F282" s="25"/>
      <c r="G282" s="25"/>
      <c r="H282" s="25"/>
    </row>
    <row r="283">
      <c r="A283" s="25"/>
      <c r="B283" s="25"/>
      <c r="C283" s="25"/>
      <c r="D283" s="25"/>
      <c r="E283" s="25"/>
      <c r="F283" s="25"/>
      <c r="G283" s="25"/>
      <c r="H283" s="25"/>
    </row>
    <row r="284">
      <c r="A284" s="25"/>
      <c r="B284" s="25"/>
      <c r="C284" s="25"/>
      <c r="D284" s="25"/>
      <c r="E284" s="25"/>
      <c r="F284" s="25"/>
      <c r="G284" s="25"/>
      <c r="H284" s="25"/>
    </row>
    <row r="285">
      <c r="A285" s="25"/>
      <c r="B285" s="25"/>
      <c r="C285" s="25"/>
      <c r="D285" s="25"/>
      <c r="E285" s="25"/>
      <c r="F285" s="25"/>
      <c r="G285" s="25"/>
      <c r="H285" s="25"/>
    </row>
    <row r="286">
      <c r="A286" s="25"/>
      <c r="B286" s="25"/>
      <c r="C286" s="25"/>
      <c r="D286" s="25"/>
      <c r="E286" s="25"/>
      <c r="F286" s="25"/>
      <c r="G286" s="25"/>
      <c r="H286" s="25"/>
    </row>
    <row r="287">
      <c r="A287" s="25"/>
      <c r="B287" s="25"/>
      <c r="C287" s="25"/>
      <c r="D287" s="25"/>
      <c r="E287" s="25"/>
      <c r="F287" s="25"/>
      <c r="G287" s="25"/>
      <c r="H287" s="25"/>
    </row>
    <row r="288">
      <c r="A288" s="25"/>
      <c r="B288" s="25"/>
      <c r="C288" s="25"/>
      <c r="D288" s="25"/>
      <c r="E288" s="25"/>
      <c r="F288" s="25"/>
      <c r="G288" s="25"/>
      <c r="H288" s="25"/>
    </row>
    <row r="289">
      <c r="A289" s="25"/>
      <c r="B289" s="25"/>
      <c r="C289" s="25"/>
      <c r="D289" s="25"/>
      <c r="E289" s="25"/>
      <c r="F289" s="25"/>
      <c r="G289" s="25"/>
      <c r="H289" s="25"/>
    </row>
    <row r="290">
      <c r="A290" s="25"/>
      <c r="B290" s="25"/>
      <c r="C290" s="25"/>
      <c r="D290" s="25"/>
      <c r="E290" s="25"/>
      <c r="F290" s="25"/>
      <c r="G290" s="25"/>
      <c r="H290" s="25"/>
    </row>
    <row r="291">
      <c r="A291" s="25"/>
      <c r="B291" s="25"/>
      <c r="C291" s="25"/>
      <c r="D291" s="25"/>
      <c r="E291" s="25"/>
      <c r="F291" s="25"/>
      <c r="G291" s="25"/>
      <c r="H291" s="25"/>
    </row>
    <row r="292">
      <c r="A292" s="25"/>
      <c r="B292" s="25"/>
      <c r="C292" s="25"/>
      <c r="D292" s="25"/>
      <c r="E292" s="25"/>
      <c r="F292" s="25"/>
      <c r="G292" s="25"/>
      <c r="H292" s="25"/>
    </row>
    <row r="293">
      <c r="A293" s="25"/>
      <c r="B293" s="25"/>
      <c r="C293" s="25"/>
      <c r="D293" s="25"/>
      <c r="E293" s="25"/>
      <c r="F293" s="25"/>
      <c r="G293" s="25"/>
      <c r="H293" s="25"/>
    </row>
    <row r="294">
      <c r="A294" s="25"/>
      <c r="B294" s="25"/>
      <c r="C294" s="25"/>
      <c r="D294" s="25"/>
      <c r="E294" s="25"/>
      <c r="F294" s="25"/>
      <c r="G294" s="25"/>
      <c r="H294" s="25"/>
    </row>
    <row r="295">
      <c r="A295" s="25"/>
      <c r="B295" s="25"/>
      <c r="C295" s="25"/>
      <c r="D295" s="25"/>
      <c r="E295" s="25"/>
      <c r="F295" s="25"/>
      <c r="G295" s="25"/>
      <c r="H295" s="25"/>
    </row>
    <row r="296">
      <c r="A296" s="25"/>
      <c r="B296" s="25"/>
      <c r="C296" s="25"/>
      <c r="D296" s="25"/>
      <c r="E296" s="25"/>
      <c r="F296" s="25"/>
      <c r="G296" s="25"/>
      <c r="H296" s="25"/>
    </row>
    <row r="297">
      <c r="A297" s="25"/>
      <c r="B297" s="25"/>
      <c r="C297" s="25"/>
      <c r="D297" s="25"/>
      <c r="E297" s="25"/>
      <c r="F297" s="25"/>
      <c r="G297" s="25"/>
      <c r="H297" s="25"/>
    </row>
    <row r="298">
      <c r="A298" s="25"/>
      <c r="B298" s="25"/>
      <c r="C298" s="25"/>
      <c r="D298" s="25"/>
      <c r="E298" s="25"/>
      <c r="F298" s="25"/>
      <c r="G298" s="25"/>
      <c r="H298" s="25"/>
    </row>
    <row r="299">
      <c r="A299" s="25"/>
      <c r="B299" s="25"/>
      <c r="C299" s="25"/>
      <c r="D299" s="25"/>
      <c r="E299" s="25"/>
      <c r="F299" s="25"/>
      <c r="G299" s="25"/>
      <c r="H299" s="25"/>
    </row>
    <row r="300">
      <c r="A300" s="25"/>
      <c r="B300" s="25"/>
      <c r="C300" s="25"/>
      <c r="D300" s="25"/>
      <c r="E300" s="25"/>
      <c r="F300" s="25"/>
      <c r="G300" s="25"/>
      <c r="H300" s="25"/>
    </row>
    <row r="301">
      <c r="A301" s="25"/>
      <c r="B301" s="25"/>
      <c r="C301" s="25"/>
      <c r="D301" s="25"/>
      <c r="E301" s="25"/>
      <c r="F301" s="25"/>
      <c r="G301" s="25"/>
      <c r="H301" s="25"/>
    </row>
    <row r="302">
      <c r="A302" s="25"/>
      <c r="B302" s="25"/>
      <c r="C302" s="25"/>
      <c r="D302" s="25"/>
      <c r="E302" s="25"/>
      <c r="F302" s="25"/>
      <c r="G302" s="25"/>
      <c r="H302" s="25"/>
    </row>
    <row r="303">
      <c r="A303" s="25"/>
      <c r="B303" s="25"/>
      <c r="C303" s="25"/>
      <c r="D303" s="25"/>
      <c r="E303" s="25"/>
      <c r="F303" s="25"/>
      <c r="G303" s="25"/>
      <c r="H303" s="25"/>
    </row>
    <row r="304">
      <c r="A304" s="25"/>
      <c r="B304" s="25"/>
      <c r="C304" s="25"/>
      <c r="D304" s="25"/>
      <c r="E304" s="25"/>
      <c r="F304" s="25"/>
      <c r="G304" s="25"/>
      <c r="H304" s="25"/>
    </row>
    <row r="305">
      <c r="A305" s="25"/>
      <c r="B305" s="25"/>
      <c r="C305" s="25"/>
      <c r="D305" s="25"/>
      <c r="E305" s="25"/>
      <c r="F305" s="25"/>
      <c r="G305" s="25"/>
      <c r="H305" s="25"/>
    </row>
    <row r="306">
      <c r="A306" s="25"/>
      <c r="B306" s="25"/>
      <c r="C306" s="25"/>
      <c r="D306" s="25"/>
      <c r="E306" s="25"/>
      <c r="F306" s="25"/>
      <c r="G306" s="25"/>
      <c r="H306" s="25"/>
    </row>
    <row r="307">
      <c r="A307" s="25"/>
      <c r="B307" s="25"/>
      <c r="C307" s="25"/>
      <c r="D307" s="25"/>
      <c r="E307" s="25"/>
      <c r="F307" s="25"/>
      <c r="G307" s="25"/>
      <c r="H307" s="25"/>
    </row>
    <row r="308">
      <c r="A308" s="25"/>
      <c r="B308" s="25"/>
      <c r="C308" s="25"/>
      <c r="D308" s="25"/>
      <c r="E308" s="25"/>
      <c r="F308" s="25"/>
      <c r="G308" s="25"/>
      <c r="H308" s="25"/>
    </row>
    <row r="309">
      <c r="A309" s="25"/>
      <c r="B309" s="25"/>
      <c r="C309" s="25"/>
      <c r="D309" s="25"/>
      <c r="E309" s="25"/>
      <c r="F309" s="25"/>
      <c r="G309" s="25"/>
      <c r="H309" s="25"/>
    </row>
    <row r="310">
      <c r="A310" s="25"/>
      <c r="B310" s="25"/>
      <c r="C310" s="25"/>
      <c r="D310" s="25"/>
      <c r="E310" s="25"/>
      <c r="F310" s="25"/>
      <c r="G310" s="25"/>
      <c r="H310" s="25"/>
    </row>
    <row r="311">
      <c r="A311" s="25"/>
      <c r="B311" s="25"/>
      <c r="C311" s="25"/>
      <c r="D311" s="25"/>
      <c r="E311" s="25"/>
      <c r="F311" s="25"/>
      <c r="G311" s="25"/>
      <c r="H311" s="25"/>
    </row>
    <row r="312">
      <c r="A312" s="25"/>
      <c r="B312" s="25"/>
      <c r="C312" s="25"/>
      <c r="D312" s="25"/>
      <c r="E312" s="25"/>
      <c r="F312" s="25"/>
      <c r="G312" s="25"/>
      <c r="H312" s="25"/>
    </row>
    <row r="313">
      <c r="A313" s="25"/>
      <c r="B313" s="25"/>
      <c r="C313" s="25"/>
      <c r="D313" s="25"/>
      <c r="E313" s="25"/>
      <c r="F313" s="25"/>
      <c r="G313" s="25"/>
      <c r="H313" s="25"/>
    </row>
    <row r="314">
      <c r="A314" s="25"/>
      <c r="B314" s="25"/>
      <c r="C314" s="25"/>
      <c r="D314" s="25"/>
      <c r="E314" s="25"/>
      <c r="F314" s="25"/>
      <c r="G314" s="25"/>
      <c r="H314" s="25"/>
    </row>
    <row r="315">
      <c r="A315" s="25"/>
      <c r="B315" s="25"/>
      <c r="C315" s="25"/>
      <c r="D315" s="25"/>
      <c r="E315" s="25"/>
      <c r="F315" s="25"/>
      <c r="G315" s="25"/>
      <c r="H315" s="25"/>
    </row>
    <row r="316">
      <c r="A316" s="25"/>
      <c r="B316" s="25"/>
      <c r="C316" s="25"/>
      <c r="D316" s="25"/>
      <c r="E316" s="25"/>
      <c r="F316" s="25"/>
      <c r="G316" s="25"/>
      <c r="H316" s="25"/>
    </row>
    <row r="317">
      <c r="A317" s="25"/>
      <c r="B317" s="25"/>
      <c r="C317" s="25"/>
      <c r="D317" s="25"/>
      <c r="E317" s="25"/>
      <c r="F317" s="25"/>
      <c r="G317" s="25"/>
      <c r="H317" s="25"/>
    </row>
    <row r="318">
      <c r="A318" s="25"/>
      <c r="B318" s="25"/>
      <c r="C318" s="25"/>
      <c r="D318" s="25"/>
      <c r="E318" s="25"/>
      <c r="F318" s="25"/>
      <c r="G318" s="25"/>
      <c r="H318" s="25"/>
    </row>
    <row r="319">
      <c r="A319" s="25"/>
      <c r="B319" s="25"/>
      <c r="C319" s="25"/>
      <c r="D319" s="25"/>
      <c r="E319" s="25"/>
      <c r="F319" s="25"/>
      <c r="G319" s="25"/>
      <c r="H319" s="25"/>
    </row>
    <row r="320">
      <c r="A320" s="25"/>
      <c r="B320" s="25"/>
      <c r="C320" s="25"/>
      <c r="D320" s="25"/>
      <c r="E320" s="25"/>
      <c r="F320" s="25"/>
      <c r="G320" s="25"/>
      <c r="H320" s="25"/>
    </row>
    <row r="321">
      <c r="A321" s="25"/>
      <c r="B321" s="25"/>
      <c r="C321" s="25"/>
      <c r="D321" s="25"/>
      <c r="E321" s="25"/>
      <c r="F321" s="25"/>
      <c r="G321" s="25"/>
      <c r="H321" s="25"/>
    </row>
    <row r="322">
      <c r="A322" s="25"/>
      <c r="B322" s="25"/>
      <c r="C322" s="25"/>
      <c r="D322" s="25"/>
      <c r="E322" s="25"/>
      <c r="F322" s="25"/>
      <c r="G322" s="25"/>
      <c r="H322" s="25"/>
    </row>
    <row r="323">
      <c r="A323" s="25"/>
      <c r="B323" s="25"/>
      <c r="C323" s="25"/>
      <c r="D323" s="25"/>
      <c r="E323" s="25"/>
      <c r="F323" s="25"/>
      <c r="G323" s="25"/>
      <c r="H323" s="25"/>
    </row>
    <row r="324">
      <c r="A324" s="25"/>
      <c r="B324" s="25"/>
      <c r="C324" s="25"/>
      <c r="D324" s="25"/>
      <c r="E324" s="25"/>
      <c r="F324" s="25"/>
      <c r="G324" s="25"/>
      <c r="H324" s="25"/>
    </row>
    <row r="325">
      <c r="A325" s="25"/>
      <c r="B325" s="25"/>
      <c r="C325" s="25"/>
      <c r="D325" s="25"/>
      <c r="E325" s="25"/>
      <c r="F325" s="25"/>
      <c r="G325" s="25"/>
      <c r="H325" s="25"/>
    </row>
    <row r="326">
      <c r="A326" s="25"/>
      <c r="B326" s="25"/>
      <c r="C326" s="25"/>
      <c r="D326" s="25"/>
      <c r="E326" s="25"/>
      <c r="F326" s="25"/>
      <c r="G326" s="25"/>
      <c r="H326" s="25"/>
    </row>
    <row r="327">
      <c r="A327" s="25"/>
      <c r="B327" s="25"/>
      <c r="C327" s="25"/>
      <c r="D327" s="25"/>
      <c r="E327" s="25"/>
      <c r="F327" s="25"/>
      <c r="G327" s="25"/>
      <c r="H327" s="25"/>
    </row>
    <row r="328">
      <c r="A328" s="25"/>
      <c r="B328" s="25"/>
      <c r="C328" s="25"/>
      <c r="D328" s="25"/>
      <c r="E328" s="25"/>
      <c r="F328" s="25"/>
      <c r="G328" s="25"/>
      <c r="H328" s="25"/>
    </row>
    <row r="329">
      <c r="A329" s="25"/>
      <c r="B329" s="25"/>
      <c r="C329" s="25"/>
      <c r="D329" s="25"/>
      <c r="E329" s="25"/>
      <c r="F329" s="25"/>
      <c r="G329" s="25"/>
      <c r="H329" s="25"/>
    </row>
    <row r="330">
      <c r="A330" s="25"/>
      <c r="B330" s="25"/>
      <c r="C330" s="25"/>
      <c r="D330" s="25"/>
      <c r="E330" s="25"/>
      <c r="F330" s="25"/>
      <c r="G330" s="25"/>
      <c r="H330" s="25"/>
    </row>
    <row r="331">
      <c r="A331" s="25"/>
      <c r="B331" s="25"/>
      <c r="C331" s="25"/>
      <c r="D331" s="25"/>
      <c r="E331" s="25"/>
      <c r="F331" s="25"/>
      <c r="G331" s="25"/>
      <c r="H331" s="25"/>
    </row>
    <row r="332">
      <c r="A332" s="25"/>
      <c r="B332" s="25"/>
      <c r="C332" s="25"/>
      <c r="D332" s="25"/>
      <c r="E332" s="25"/>
      <c r="F332" s="25"/>
      <c r="G332" s="25"/>
      <c r="H332" s="25"/>
    </row>
    <row r="333">
      <c r="A333" s="25"/>
      <c r="B333" s="25"/>
      <c r="C333" s="25"/>
      <c r="D333" s="25"/>
      <c r="E333" s="25"/>
      <c r="F333" s="25"/>
      <c r="G333" s="25"/>
      <c r="H333" s="25"/>
    </row>
    <row r="334">
      <c r="A334" s="25"/>
      <c r="B334" s="25"/>
      <c r="C334" s="25"/>
      <c r="D334" s="25"/>
      <c r="E334" s="25"/>
      <c r="F334" s="25"/>
      <c r="G334" s="25"/>
      <c r="H334" s="25"/>
    </row>
    <row r="335">
      <c r="A335" s="25"/>
      <c r="B335" s="25"/>
      <c r="C335" s="25"/>
      <c r="D335" s="25"/>
      <c r="E335" s="25"/>
      <c r="F335" s="25"/>
      <c r="G335" s="25"/>
      <c r="H335" s="25"/>
    </row>
    <row r="336">
      <c r="A336" s="25"/>
      <c r="B336" s="25"/>
      <c r="C336" s="25"/>
      <c r="D336" s="25"/>
      <c r="E336" s="25"/>
      <c r="F336" s="25"/>
      <c r="G336" s="25"/>
      <c r="H336" s="25"/>
    </row>
    <row r="337">
      <c r="A337" s="25"/>
      <c r="B337" s="25"/>
      <c r="C337" s="25"/>
      <c r="D337" s="25"/>
      <c r="E337" s="25"/>
      <c r="F337" s="25"/>
      <c r="G337" s="25"/>
      <c r="H337" s="25"/>
    </row>
    <row r="338">
      <c r="A338" s="25"/>
      <c r="B338" s="25"/>
      <c r="C338" s="25"/>
      <c r="D338" s="25"/>
      <c r="E338" s="25"/>
      <c r="F338" s="25"/>
      <c r="G338" s="25"/>
      <c r="H338" s="25"/>
    </row>
    <row r="339">
      <c r="A339" s="25"/>
      <c r="B339" s="25"/>
      <c r="C339" s="25"/>
      <c r="D339" s="25"/>
      <c r="E339" s="25"/>
      <c r="F339" s="25"/>
      <c r="G339" s="25"/>
      <c r="H339" s="25"/>
    </row>
    <row r="340">
      <c r="A340" s="25"/>
      <c r="B340" s="25"/>
      <c r="C340" s="25"/>
      <c r="D340" s="25"/>
      <c r="E340" s="25"/>
      <c r="F340" s="25"/>
      <c r="G340" s="25"/>
      <c r="H340" s="25"/>
    </row>
    <row r="341">
      <c r="A341" s="25"/>
      <c r="B341" s="25"/>
      <c r="C341" s="25"/>
      <c r="D341" s="25"/>
      <c r="E341" s="25"/>
      <c r="F341" s="25"/>
      <c r="G341" s="25"/>
      <c r="H341" s="25"/>
    </row>
    <row r="342">
      <c r="A342" s="25"/>
      <c r="B342" s="25"/>
      <c r="C342" s="25"/>
      <c r="D342" s="25"/>
      <c r="E342" s="25"/>
      <c r="F342" s="25"/>
      <c r="G342" s="25"/>
      <c r="H342" s="25"/>
    </row>
    <row r="343">
      <c r="A343" s="25"/>
      <c r="B343" s="25"/>
      <c r="C343" s="25"/>
      <c r="D343" s="25"/>
      <c r="E343" s="25"/>
      <c r="F343" s="25"/>
      <c r="G343" s="25"/>
      <c r="H343" s="25"/>
    </row>
    <row r="344">
      <c r="A344" s="25"/>
      <c r="B344" s="25"/>
      <c r="C344" s="25"/>
      <c r="D344" s="25"/>
      <c r="E344" s="25"/>
      <c r="F344" s="25"/>
      <c r="G344" s="25"/>
      <c r="H344" s="25"/>
    </row>
    <row r="345">
      <c r="A345" s="25"/>
      <c r="B345" s="25"/>
      <c r="C345" s="25"/>
      <c r="D345" s="25"/>
      <c r="E345" s="25"/>
      <c r="F345" s="25"/>
      <c r="G345" s="25"/>
      <c r="H345" s="25"/>
    </row>
    <row r="346">
      <c r="A346" s="25"/>
      <c r="B346" s="25"/>
      <c r="C346" s="25"/>
      <c r="D346" s="25"/>
      <c r="E346" s="25"/>
      <c r="F346" s="25"/>
      <c r="G346" s="25"/>
      <c r="H346" s="25"/>
    </row>
    <row r="347">
      <c r="A347" s="25"/>
      <c r="B347" s="25"/>
      <c r="C347" s="25"/>
      <c r="D347" s="25"/>
      <c r="E347" s="25"/>
      <c r="F347" s="25"/>
      <c r="G347" s="25"/>
      <c r="H347" s="25"/>
    </row>
    <row r="348">
      <c r="A348" s="25"/>
      <c r="B348" s="25"/>
      <c r="C348" s="25"/>
      <c r="D348" s="25"/>
      <c r="E348" s="25"/>
      <c r="F348" s="25"/>
      <c r="G348" s="25"/>
      <c r="H348" s="25"/>
    </row>
    <row r="349">
      <c r="A349" s="25"/>
      <c r="B349" s="25"/>
      <c r="C349" s="25"/>
      <c r="D349" s="25"/>
      <c r="E349" s="25"/>
      <c r="F349" s="25"/>
      <c r="G349" s="25"/>
      <c r="H349" s="25"/>
    </row>
    <row r="350">
      <c r="A350" s="25"/>
      <c r="B350" s="25"/>
      <c r="C350" s="25"/>
      <c r="D350" s="25"/>
      <c r="E350" s="25"/>
      <c r="F350" s="25"/>
      <c r="G350" s="25"/>
      <c r="H350" s="25"/>
    </row>
    <row r="351">
      <c r="A351" s="25"/>
      <c r="B351" s="25"/>
      <c r="C351" s="25"/>
      <c r="D351" s="25"/>
      <c r="E351" s="25"/>
      <c r="F351" s="25"/>
      <c r="G351" s="25"/>
      <c r="H351" s="25"/>
    </row>
    <row r="352">
      <c r="A352" s="25"/>
      <c r="B352" s="25"/>
      <c r="C352" s="25"/>
      <c r="D352" s="25"/>
      <c r="E352" s="25"/>
      <c r="F352" s="25"/>
      <c r="G352" s="25"/>
      <c r="H352" s="25"/>
    </row>
    <row r="353">
      <c r="A353" s="25"/>
      <c r="B353" s="25"/>
      <c r="C353" s="25"/>
      <c r="D353" s="25"/>
      <c r="E353" s="25"/>
      <c r="F353" s="25"/>
      <c r="G353" s="25"/>
      <c r="H353" s="25"/>
    </row>
    <row r="354">
      <c r="A354" s="25"/>
      <c r="B354" s="25"/>
      <c r="C354" s="25"/>
      <c r="D354" s="25"/>
      <c r="E354" s="25"/>
      <c r="F354" s="25"/>
      <c r="G354" s="25"/>
      <c r="H354" s="25"/>
    </row>
    <row r="355">
      <c r="A355" s="25"/>
      <c r="B355" s="25"/>
      <c r="C355" s="25"/>
      <c r="D355" s="25"/>
      <c r="E355" s="25"/>
      <c r="F355" s="25"/>
      <c r="G355" s="25"/>
      <c r="H355" s="25"/>
    </row>
    <row r="356">
      <c r="A356" s="25"/>
      <c r="B356" s="25"/>
      <c r="C356" s="25"/>
      <c r="D356" s="25"/>
      <c r="E356" s="25"/>
      <c r="F356" s="25"/>
      <c r="G356" s="25"/>
      <c r="H356" s="25"/>
    </row>
    <row r="357">
      <c r="A357" s="25"/>
      <c r="B357" s="25"/>
      <c r="C357" s="25"/>
      <c r="D357" s="25"/>
      <c r="E357" s="25"/>
      <c r="F357" s="25"/>
      <c r="G357" s="25"/>
      <c r="H357" s="25"/>
    </row>
    <row r="358">
      <c r="A358" s="25"/>
      <c r="B358" s="25"/>
      <c r="C358" s="25"/>
      <c r="D358" s="25"/>
      <c r="E358" s="25"/>
      <c r="F358" s="25"/>
      <c r="G358" s="25"/>
      <c r="H358" s="25"/>
    </row>
    <row r="359">
      <c r="A359" s="25"/>
      <c r="B359" s="25"/>
      <c r="C359" s="25"/>
      <c r="D359" s="25"/>
      <c r="E359" s="25"/>
      <c r="F359" s="25"/>
      <c r="G359" s="25"/>
      <c r="H359" s="25"/>
    </row>
    <row r="360">
      <c r="A360" s="25"/>
      <c r="B360" s="25"/>
      <c r="C360" s="25"/>
      <c r="D360" s="25"/>
      <c r="E360" s="25"/>
      <c r="F360" s="25"/>
      <c r="G360" s="25"/>
      <c r="H360" s="25"/>
    </row>
    <row r="361">
      <c r="A361" s="25"/>
      <c r="B361" s="25"/>
      <c r="C361" s="25"/>
      <c r="D361" s="25"/>
      <c r="E361" s="25"/>
      <c r="F361" s="25"/>
      <c r="G361" s="25"/>
      <c r="H361" s="25"/>
    </row>
    <row r="362">
      <c r="A362" s="25"/>
      <c r="B362" s="25"/>
      <c r="C362" s="25"/>
      <c r="D362" s="25"/>
      <c r="E362" s="25"/>
      <c r="F362" s="25"/>
      <c r="G362" s="25"/>
      <c r="H362" s="25"/>
    </row>
    <row r="363">
      <c r="A363" s="25"/>
      <c r="B363" s="25"/>
      <c r="C363" s="25"/>
      <c r="D363" s="25"/>
      <c r="E363" s="25"/>
      <c r="F363" s="25"/>
      <c r="G363" s="25"/>
      <c r="H363" s="25"/>
    </row>
    <row r="364">
      <c r="A364" s="25"/>
      <c r="B364" s="25"/>
      <c r="C364" s="25"/>
      <c r="D364" s="25"/>
      <c r="E364" s="25"/>
      <c r="F364" s="25"/>
      <c r="G364" s="25"/>
      <c r="H364" s="25"/>
    </row>
    <row r="365">
      <c r="A365" s="25"/>
      <c r="B365" s="25"/>
      <c r="C365" s="25"/>
      <c r="D365" s="25"/>
      <c r="E365" s="25"/>
      <c r="F365" s="25"/>
      <c r="G365" s="25"/>
      <c r="H365" s="25"/>
    </row>
    <row r="366">
      <c r="A366" s="25"/>
      <c r="B366" s="25"/>
      <c r="C366" s="25"/>
      <c r="D366" s="25"/>
      <c r="E366" s="25"/>
      <c r="F366" s="25"/>
      <c r="G366" s="25"/>
      <c r="H366" s="25"/>
    </row>
    <row r="367">
      <c r="A367" s="25"/>
      <c r="B367" s="25"/>
      <c r="C367" s="25"/>
      <c r="D367" s="25"/>
      <c r="E367" s="25"/>
      <c r="F367" s="25"/>
      <c r="G367" s="25"/>
      <c r="H367" s="25"/>
    </row>
    <row r="368">
      <c r="A368" s="25"/>
      <c r="B368" s="25"/>
      <c r="C368" s="25"/>
      <c r="D368" s="25"/>
      <c r="E368" s="25"/>
      <c r="F368" s="25"/>
      <c r="G368" s="25"/>
      <c r="H368" s="25"/>
    </row>
    <row r="369">
      <c r="A369" s="25"/>
      <c r="B369" s="25"/>
      <c r="C369" s="25"/>
      <c r="D369" s="25"/>
      <c r="E369" s="25"/>
      <c r="F369" s="25"/>
      <c r="G369" s="25"/>
      <c r="H369" s="25"/>
    </row>
    <row r="370">
      <c r="A370" s="25"/>
      <c r="B370" s="25"/>
      <c r="C370" s="25"/>
      <c r="D370" s="25"/>
      <c r="E370" s="25"/>
      <c r="F370" s="25"/>
      <c r="G370" s="25"/>
      <c r="H370" s="25"/>
    </row>
    <row r="371">
      <c r="A371" s="25"/>
      <c r="B371" s="25"/>
      <c r="C371" s="25"/>
      <c r="D371" s="25"/>
      <c r="E371" s="25"/>
      <c r="F371" s="25"/>
      <c r="G371" s="25"/>
      <c r="H371" s="25"/>
    </row>
    <row r="372">
      <c r="A372" s="25"/>
      <c r="B372" s="25"/>
      <c r="C372" s="25"/>
      <c r="D372" s="25"/>
      <c r="E372" s="25"/>
      <c r="F372" s="25"/>
      <c r="G372" s="25"/>
      <c r="H372" s="25"/>
    </row>
    <row r="373">
      <c r="A373" s="25"/>
      <c r="B373" s="25"/>
      <c r="C373" s="25"/>
      <c r="D373" s="25"/>
      <c r="E373" s="25"/>
      <c r="F373" s="25"/>
      <c r="G373" s="25"/>
      <c r="H373" s="25"/>
    </row>
    <row r="374">
      <c r="A374" s="25"/>
      <c r="B374" s="25"/>
      <c r="C374" s="25"/>
      <c r="D374" s="25"/>
      <c r="E374" s="25"/>
      <c r="F374" s="25"/>
      <c r="G374" s="25"/>
      <c r="H374" s="25"/>
    </row>
    <row r="375">
      <c r="A375" s="25"/>
      <c r="B375" s="25"/>
      <c r="C375" s="25"/>
      <c r="D375" s="25"/>
      <c r="E375" s="25"/>
      <c r="F375" s="25"/>
      <c r="G375" s="25"/>
      <c r="H375" s="25"/>
    </row>
    <row r="376">
      <c r="A376" s="25"/>
      <c r="B376" s="25"/>
      <c r="C376" s="25"/>
      <c r="D376" s="25"/>
      <c r="E376" s="25"/>
      <c r="F376" s="25"/>
      <c r="G376" s="25"/>
      <c r="H376" s="25"/>
    </row>
    <row r="377">
      <c r="A377" s="25"/>
      <c r="B377" s="25"/>
      <c r="C377" s="25"/>
      <c r="D377" s="25"/>
      <c r="E377" s="25"/>
      <c r="F377" s="25"/>
      <c r="G377" s="25"/>
      <c r="H377" s="25"/>
    </row>
    <row r="378">
      <c r="A378" s="25"/>
      <c r="B378" s="25"/>
      <c r="C378" s="25"/>
      <c r="D378" s="25"/>
      <c r="E378" s="25"/>
      <c r="F378" s="25"/>
      <c r="G378" s="25"/>
      <c r="H378" s="25"/>
    </row>
    <row r="379">
      <c r="A379" s="25"/>
      <c r="B379" s="25"/>
      <c r="C379" s="25"/>
      <c r="D379" s="25"/>
      <c r="E379" s="25"/>
      <c r="F379" s="25"/>
      <c r="G379" s="25"/>
      <c r="H379" s="25"/>
    </row>
    <row r="380">
      <c r="A380" s="25"/>
      <c r="B380" s="25"/>
      <c r="C380" s="25"/>
      <c r="D380" s="25"/>
      <c r="E380" s="25"/>
      <c r="F380" s="25"/>
      <c r="G380" s="25"/>
      <c r="H380" s="25"/>
    </row>
    <row r="381">
      <c r="A381" s="25"/>
      <c r="B381" s="25"/>
      <c r="C381" s="25"/>
      <c r="D381" s="25"/>
      <c r="E381" s="25"/>
      <c r="F381" s="25"/>
      <c r="G381" s="25"/>
      <c r="H381" s="25"/>
    </row>
    <row r="382">
      <c r="A382" s="25"/>
      <c r="B382" s="25"/>
      <c r="C382" s="25"/>
      <c r="D382" s="25"/>
      <c r="E382" s="25"/>
      <c r="F382" s="25"/>
      <c r="G382" s="25"/>
      <c r="H382" s="25"/>
    </row>
    <row r="383">
      <c r="A383" s="25"/>
      <c r="B383" s="25"/>
      <c r="C383" s="25"/>
      <c r="D383" s="25"/>
      <c r="E383" s="25"/>
      <c r="F383" s="25"/>
      <c r="G383" s="25"/>
      <c r="H383" s="25"/>
    </row>
    <row r="384">
      <c r="A384" s="25"/>
      <c r="B384" s="25"/>
      <c r="C384" s="25"/>
      <c r="D384" s="25"/>
      <c r="E384" s="25"/>
      <c r="F384" s="25"/>
      <c r="G384" s="25"/>
      <c r="H384" s="25"/>
    </row>
    <row r="385">
      <c r="A385" s="25"/>
      <c r="B385" s="25"/>
      <c r="C385" s="25"/>
      <c r="D385" s="25"/>
      <c r="E385" s="25"/>
      <c r="F385" s="25"/>
      <c r="G385" s="25"/>
      <c r="H385" s="25"/>
    </row>
    <row r="386">
      <c r="A386" s="25"/>
      <c r="B386" s="25"/>
      <c r="C386" s="25"/>
      <c r="D386" s="25"/>
      <c r="E386" s="25"/>
      <c r="F386" s="25"/>
      <c r="G386" s="25"/>
      <c r="H386" s="25"/>
    </row>
    <row r="387">
      <c r="A387" s="25"/>
      <c r="B387" s="25"/>
      <c r="C387" s="25"/>
      <c r="D387" s="25"/>
      <c r="E387" s="25"/>
      <c r="F387" s="25"/>
      <c r="G387" s="25"/>
      <c r="H387" s="25"/>
    </row>
    <row r="388">
      <c r="A388" s="25"/>
      <c r="B388" s="25"/>
      <c r="C388" s="25"/>
      <c r="D388" s="25"/>
      <c r="E388" s="25"/>
      <c r="F388" s="25"/>
      <c r="G388" s="25"/>
      <c r="H388" s="25"/>
    </row>
    <row r="389">
      <c r="A389" s="25"/>
      <c r="B389" s="25"/>
      <c r="C389" s="25"/>
      <c r="D389" s="25"/>
      <c r="E389" s="25"/>
      <c r="F389" s="25"/>
      <c r="G389" s="25"/>
      <c r="H389" s="25"/>
    </row>
    <row r="390">
      <c r="A390" s="25"/>
      <c r="B390" s="25"/>
      <c r="C390" s="25"/>
      <c r="D390" s="25"/>
      <c r="E390" s="25"/>
      <c r="F390" s="25"/>
      <c r="G390" s="25"/>
      <c r="H390" s="25"/>
    </row>
    <row r="391">
      <c r="A391" s="25"/>
      <c r="B391" s="25"/>
      <c r="C391" s="25"/>
      <c r="D391" s="25"/>
      <c r="E391" s="25"/>
      <c r="F391" s="25"/>
      <c r="G391" s="25"/>
      <c r="H391" s="25"/>
    </row>
    <row r="392">
      <c r="A392" s="25"/>
      <c r="B392" s="25"/>
      <c r="C392" s="25"/>
      <c r="D392" s="25"/>
      <c r="E392" s="25"/>
      <c r="F392" s="25"/>
      <c r="G392" s="25"/>
      <c r="H392" s="25"/>
    </row>
    <row r="393">
      <c r="A393" s="25"/>
      <c r="B393" s="25"/>
      <c r="C393" s="25"/>
      <c r="D393" s="25"/>
      <c r="E393" s="25"/>
      <c r="F393" s="25"/>
      <c r="G393" s="25"/>
      <c r="H393" s="25"/>
    </row>
    <row r="394">
      <c r="A394" s="25"/>
      <c r="B394" s="25"/>
      <c r="C394" s="25"/>
      <c r="D394" s="25"/>
      <c r="E394" s="25"/>
      <c r="F394" s="25"/>
      <c r="G394" s="25"/>
      <c r="H394" s="25"/>
    </row>
    <row r="395">
      <c r="A395" s="25"/>
      <c r="B395" s="25"/>
      <c r="C395" s="25"/>
      <c r="D395" s="25"/>
      <c r="E395" s="25"/>
      <c r="F395" s="25"/>
      <c r="G395" s="25"/>
      <c r="H395" s="25"/>
    </row>
    <row r="396">
      <c r="A396" s="25"/>
      <c r="B396" s="25"/>
      <c r="C396" s="25"/>
      <c r="D396" s="25"/>
      <c r="E396" s="25"/>
      <c r="F396" s="25"/>
      <c r="G396" s="25"/>
      <c r="H396" s="25"/>
    </row>
    <row r="397">
      <c r="A397" s="25"/>
      <c r="B397" s="25"/>
      <c r="C397" s="25"/>
      <c r="D397" s="25"/>
      <c r="E397" s="25"/>
      <c r="F397" s="25"/>
      <c r="G397" s="25"/>
      <c r="H397" s="25"/>
    </row>
    <row r="398">
      <c r="A398" s="25"/>
      <c r="B398" s="25"/>
      <c r="C398" s="25"/>
      <c r="D398" s="25"/>
      <c r="E398" s="25"/>
      <c r="F398" s="25"/>
      <c r="G398" s="25"/>
      <c r="H398" s="25"/>
    </row>
    <row r="399">
      <c r="A399" s="25"/>
      <c r="B399" s="25"/>
      <c r="C399" s="25"/>
      <c r="D399" s="25"/>
      <c r="E399" s="25"/>
      <c r="F399" s="25"/>
      <c r="G399" s="25"/>
      <c r="H399" s="25"/>
    </row>
    <row r="400">
      <c r="A400" s="25"/>
      <c r="B400" s="25"/>
      <c r="C400" s="25"/>
      <c r="D400" s="25"/>
      <c r="E400" s="25"/>
      <c r="F400" s="25"/>
      <c r="G400" s="25"/>
      <c r="H400" s="25"/>
    </row>
    <row r="401">
      <c r="A401" s="25"/>
      <c r="B401" s="25"/>
      <c r="C401" s="25"/>
      <c r="D401" s="25"/>
      <c r="E401" s="25"/>
      <c r="F401" s="25"/>
      <c r="G401" s="25"/>
      <c r="H401" s="25"/>
    </row>
    <row r="402">
      <c r="A402" s="25"/>
      <c r="B402" s="25"/>
      <c r="C402" s="25"/>
      <c r="D402" s="25"/>
      <c r="E402" s="25"/>
      <c r="F402" s="25"/>
      <c r="G402" s="25"/>
      <c r="H402" s="25"/>
    </row>
    <row r="403">
      <c r="A403" s="25"/>
      <c r="B403" s="25"/>
      <c r="C403" s="25"/>
      <c r="D403" s="25"/>
      <c r="E403" s="25"/>
      <c r="F403" s="25"/>
      <c r="G403" s="25"/>
      <c r="H403" s="25"/>
    </row>
    <row r="404">
      <c r="A404" s="25"/>
      <c r="B404" s="25"/>
      <c r="C404" s="25"/>
      <c r="D404" s="25"/>
      <c r="E404" s="25"/>
      <c r="F404" s="25"/>
      <c r="G404" s="25"/>
      <c r="H404" s="25"/>
    </row>
    <row r="405">
      <c r="A405" s="25"/>
      <c r="B405" s="25"/>
      <c r="C405" s="25"/>
      <c r="D405" s="25"/>
      <c r="E405" s="25"/>
      <c r="F405" s="25"/>
      <c r="G405" s="25"/>
      <c r="H405" s="25"/>
    </row>
    <row r="406">
      <c r="A406" s="25"/>
      <c r="B406" s="25"/>
      <c r="C406" s="25"/>
      <c r="D406" s="25"/>
      <c r="E406" s="25"/>
      <c r="F406" s="25"/>
      <c r="G406" s="25"/>
      <c r="H406" s="25"/>
    </row>
    <row r="407">
      <c r="A407" s="25"/>
      <c r="B407" s="25"/>
      <c r="C407" s="25"/>
      <c r="D407" s="25"/>
      <c r="E407" s="25"/>
      <c r="F407" s="25"/>
      <c r="G407" s="25"/>
      <c r="H407" s="25"/>
    </row>
    <row r="408">
      <c r="A408" s="25"/>
      <c r="B408" s="25"/>
      <c r="C408" s="25"/>
      <c r="D408" s="25"/>
      <c r="E408" s="25"/>
      <c r="F408" s="25"/>
      <c r="G408" s="25"/>
      <c r="H408" s="25"/>
    </row>
    <row r="409">
      <c r="A409" s="25"/>
      <c r="B409" s="25"/>
      <c r="C409" s="25"/>
      <c r="D409" s="25"/>
      <c r="E409" s="25"/>
      <c r="F409" s="25"/>
      <c r="G409" s="25"/>
      <c r="H409" s="25"/>
    </row>
    <row r="410">
      <c r="A410" s="25"/>
      <c r="B410" s="25"/>
      <c r="C410" s="25"/>
      <c r="D410" s="25"/>
      <c r="E410" s="25"/>
      <c r="F410" s="25"/>
      <c r="G410" s="25"/>
      <c r="H410" s="25"/>
    </row>
    <row r="411">
      <c r="A411" s="25"/>
      <c r="B411" s="25"/>
      <c r="C411" s="25"/>
      <c r="D411" s="25"/>
      <c r="E411" s="25"/>
      <c r="F411" s="25"/>
      <c r="G411" s="25"/>
      <c r="H411" s="25"/>
    </row>
    <row r="412">
      <c r="A412" s="25"/>
      <c r="B412" s="25"/>
      <c r="C412" s="25"/>
      <c r="D412" s="25"/>
      <c r="E412" s="25"/>
      <c r="F412" s="25"/>
      <c r="G412" s="25"/>
      <c r="H412" s="25"/>
    </row>
    <row r="413">
      <c r="A413" s="25"/>
      <c r="B413" s="25"/>
      <c r="C413" s="25"/>
      <c r="D413" s="25"/>
      <c r="E413" s="25"/>
      <c r="F413" s="25"/>
      <c r="G413" s="25"/>
      <c r="H413" s="25"/>
    </row>
    <row r="414">
      <c r="A414" s="25"/>
      <c r="B414" s="25"/>
      <c r="C414" s="25"/>
      <c r="D414" s="25"/>
      <c r="E414" s="25"/>
      <c r="F414" s="25"/>
      <c r="G414" s="25"/>
      <c r="H414" s="25"/>
    </row>
    <row r="415">
      <c r="A415" s="25"/>
      <c r="B415" s="25"/>
      <c r="C415" s="25"/>
      <c r="D415" s="25"/>
      <c r="E415" s="25"/>
      <c r="F415" s="25"/>
      <c r="G415" s="25"/>
      <c r="H415" s="25"/>
    </row>
    <row r="416">
      <c r="A416" s="25"/>
      <c r="B416" s="25"/>
      <c r="C416" s="25"/>
      <c r="D416" s="25"/>
      <c r="E416" s="25"/>
      <c r="F416" s="25"/>
      <c r="G416" s="25"/>
      <c r="H416" s="25"/>
    </row>
    <row r="417">
      <c r="A417" s="25"/>
      <c r="B417" s="25"/>
      <c r="C417" s="25"/>
      <c r="D417" s="25"/>
      <c r="E417" s="25"/>
      <c r="F417" s="25"/>
      <c r="G417" s="25"/>
      <c r="H417" s="25"/>
    </row>
    <row r="418">
      <c r="A418" s="25"/>
      <c r="B418" s="25"/>
      <c r="C418" s="25"/>
      <c r="D418" s="25"/>
      <c r="E418" s="25"/>
      <c r="F418" s="25"/>
      <c r="G418" s="25"/>
      <c r="H418" s="25"/>
    </row>
    <row r="419">
      <c r="A419" s="25"/>
      <c r="B419" s="25"/>
      <c r="C419" s="25"/>
      <c r="D419" s="25"/>
      <c r="E419" s="25"/>
      <c r="F419" s="25"/>
      <c r="G419" s="25"/>
      <c r="H419" s="25"/>
    </row>
    <row r="420">
      <c r="A420" s="25"/>
      <c r="B420" s="25"/>
      <c r="C420" s="25"/>
      <c r="D420" s="25"/>
      <c r="E420" s="25"/>
      <c r="F420" s="25"/>
      <c r="G420" s="25"/>
      <c r="H420" s="25"/>
    </row>
    <row r="421">
      <c r="A421" s="25"/>
      <c r="B421" s="25"/>
      <c r="C421" s="25"/>
      <c r="D421" s="25"/>
      <c r="E421" s="25"/>
      <c r="F421" s="25"/>
      <c r="G421" s="25"/>
      <c r="H421" s="25"/>
    </row>
    <row r="422">
      <c r="A422" s="25"/>
      <c r="B422" s="25"/>
      <c r="C422" s="25"/>
      <c r="D422" s="25"/>
      <c r="E422" s="25"/>
      <c r="F422" s="25"/>
      <c r="G422" s="25"/>
      <c r="H422" s="25"/>
    </row>
    <row r="423">
      <c r="A423" s="25"/>
      <c r="B423" s="25"/>
      <c r="C423" s="25"/>
      <c r="D423" s="25"/>
      <c r="E423" s="25"/>
      <c r="F423" s="25"/>
      <c r="G423" s="25"/>
      <c r="H423" s="25"/>
    </row>
    <row r="424">
      <c r="A424" s="25"/>
      <c r="B424" s="25"/>
      <c r="C424" s="25"/>
      <c r="D424" s="25"/>
      <c r="E424" s="25"/>
      <c r="F424" s="25"/>
      <c r="G424" s="25"/>
      <c r="H424" s="25"/>
    </row>
    <row r="425">
      <c r="A425" s="25"/>
      <c r="B425" s="25"/>
      <c r="C425" s="25"/>
      <c r="D425" s="25"/>
      <c r="E425" s="25"/>
      <c r="F425" s="25"/>
      <c r="G425" s="25"/>
      <c r="H425" s="25"/>
    </row>
    <row r="426">
      <c r="A426" s="25"/>
      <c r="B426" s="25"/>
      <c r="C426" s="25"/>
      <c r="D426" s="25"/>
      <c r="E426" s="25"/>
      <c r="F426" s="25"/>
      <c r="G426" s="25"/>
      <c r="H426" s="25"/>
    </row>
    <row r="427">
      <c r="A427" s="25"/>
      <c r="B427" s="25"/>
      <c r="C427" s="25"/>
      <c r="D427" s="25"/>
      <c r="E427" s="25"/>
      <c r="F427" s="25"/>
      <c r="G427" s="25"/>
      <c r="H427" s="25"/>
    </row>
    <row r="428">
      <c r="A428" s="25"/>
      <c r="B428" s="25"/>
      <c r="C428" s="25"/>
      <c r="D428" s="25"/>
      <c r="E428" s="25"/>
      <c r="F428" s="25"/>
      <c r="G428" s="25"/>
      <c r="H428" s="25"/>
    </row>
    <row r="429">
      <c r="A429" s="25"/>
      <c r="B429" s="25"/>
      <c r="C429" s="25"/>
      <c r="D429" s="25"/>
      <c r="E429" s="25"/>
      <c r="F429" s="25"/>
      <c r="G429" s="25"/>
      <c r="H429" s="25"/>
    </row>
    <row r="430">
      <c r="A430" s="25"/>
      <c r="B430" s="25"/>
      <c r="C430" s="25"/>
      <c r="D430" s="25"/>
      <c r="E430" s="25"/>
      <c r="F430" s="25"/>
      <c r="G430" s="25"/>
      <c r="H430" s="25"/>
    </row>
    <row r="431">
      <c r="A431" s="25"/>
      <c r="B431" s="25"/>
      <c r="C431" s="25"/>
      <c r="D431" s="25"/>
      <c r="E431" s="25"/>
      <c r="F431" s="25"/>
      <c r="G431" s="25"/>
      <c r="H431" s="25"/>
    </row>
    <row r="432">
      <c r="A432" s="25"/>
      <c r="B432" s="25"/>
      <c r="C432" s="25"/>
      <c r="D432" s="25"/>
      <c r="E432" s="25"/>
      <c r="F432" s="25"/>
      <c r="G432" s="25"/>
      <c r="H432" s="25"/>
    </row>
    <row r="433">
      <c r="A433" s="25"/>
      <c r="B433" s="25"/>
      <c r="C433" s="25"/>
      <c r="D433" s="25"/>
      <c r="E433" s="25"/>
      <c r="F433" s="25"/>
      <c r="G433" s="25"/>
      <c r="H433" s="25"/>
    </row>
    <row r="434">
      <c r="A434" s="25"/>
      <c r="B434" s="25"/>
      <c r="C434" s="25"/>
      <c r="D434" s="25"/>
      <c r="E434" s="25"/>
      <c r="F434" s="25"/>
      <c r="G434" s="25"/>
      <c r="H434" s="25"/>
    </row>
    <row r="435">
      <c r="A435" s="25"/>
      <c r="B435" s="25"/>
      <c r="C435" s="25"/>
      <c r="D435" s="25"/>
      <c r="E435" s="25"/>
      <c r="F435" s="25"/>
      <c r="G435" s="25"/>
      <c r="H435" s="25"/>
    </row>
    <row r="436">
      <c r="A436" s="25"/>
      <c r="B436" s="25"/>
      <c r="C436" s="25"/>
      <c r="D436" s="25"/>
      <c r="E436" s="25"/>
      <c r="F436" s="25"/>
      <c r="G436" s="25"/>
      <c r="H436" s="25"/>
    </row>
    <row r="437">
      <c r="A437" s="25"/>
      <c r="B437" s="25"/>
      <c r="C437" s="25"/>
      <c r="D437" s="25"/>
      <c r="E437" s="25"/>
      <c r="F437" s="25"/>
      <c r="G437" s="25"/>
      <c r="H437" s="25"/>
    </row>
    <row r="438">
      <c r="A438" s="25"/>
      <c r="B438" s="25"/>
      <c r="C438" s="25"/>
      <c r="D438" s="25"/>
      <c r="E438" s="25"/>
      <c r="F438" s="25"/>
      <c r="G438" s="25"/>
      <c r="H438" s="25"/>
    </row>
    <row r="439">
      <c r="A439" s="25"/>
      <c r="B439" s="25"/>
      <c r="C439" s="25"/>
      <c r="D439" s="25"/>
      <c r="E439" s="25"/>
      <c r="F439" s="25"/>
      <c r="G439" s="25"/>
      <c r="H439" s="25"/>
    </row>
    <row r="440">
      <c r="A440" s="25"/>
      <c r="B440" s="25"/>
      <c r="C440" s="25"/>
      <c r="D440" s="25"/>
      <c r="E440" s="25"/>
      <c r="F440" s="25"/>
      <c r="G440" s="25"/>
      <c r="H440" s="25"/>
    </row>
    <row r="441">
      <c r="A441" s="25"/>
      <c r="B441" s="25"/>
      <c r="C441" s="25"/>
      <c r="D441" s="25"/>
      <c r="E441" s="25"/>
      <c r="F441" s="25"/>
      <c r="G441" s="25"/>
      <c r="H441" s="25"/>
    </row>
    <row r="442">
      <c r="A442" s="25"/>
      <c r="B442" s="25"/>
      <c r="C442" s="25"/>
      <c r="D442" s="25"/>
      <c r="E442" s="25"/>
      <c r="F442" s="25"/>
      <c r="G442" s="25"/>
      <c r="H442" s="25"/>
    </row>
    <row r="443">
      <c r="A443" s="25"/>
      <c r="B443" s="25"/>
      <c r="C443" s="25"/>
      <c r="D443" s="25"/>
      <c r="E443" s="25"/>
      <c r="F443" s="25"/>
      <c r="G443" s="25"/>
      <c r="H443" s="25"/>
    </row>
    <row r="444">
      <c r="A444" s="25"/>
      <c r="B444" s="25"/>
      <c r="C444" s="25"/>
      <c r="D444" s="25"/>
      <c r="E444" s="25"/>
      <c r="F444" s="25"/>
      <c r="G444" s="25"/>
      <c r="H444" s="25"/>
    </row>
    <row r="445">
      <c r="A445" s="25"/>
      <c r="B445" s="25"/>
      <c r="C445" s="25"/>
      <c r="D445" s="25"/>
      <c r="E445" s="25"/>
      <c r="F445" s="25"/>
      <c r="G445" s="25"/>
      <c r="H445" s="25"/>
    </row>
    <row r="446">
      <c r="A446" s="25"/>
      <c r="B446" s="25"/>
      <c r="C446" s="25"/>
      <c r="D446" s="25"/>
      <c r="E446" s="25"/>
      <c r="F446" s="25"/>
      <c r="G446" s="25"/>
      <c r="H446" s="25"/>
    </row>
    <row r="447">
      <c r="A447" s="25"/>
      <c r="B447" s="25"/>
      <c r="C447" s="25"/>
      <c r="D447" s="25"/>
      <c r="E447" s="25"/>
      <c r="F447" s="25"/>
      <c r="G447" s="25"/>
      <c r="H447" s="25"/>
    </row>
    <row r="448">
      <c r="A448" s="25"/>
      <c r="B448" s="25"/>
      <c r="C448" s="25"/>
      <c r="D448" s="25"/>
      <c r="E448" s="25"/>
      <c r="F448" s="25"/>
      <c r="G448" s="25"/>
      <c r="H448" s="25"/>
    </row>
    <row r="449">
      <c r="A449" s="25"/>
      <c r="B449" s="25"/>
      <c r="C449" s="25"/>
      <c r="D449" s="25"/>
      <c r="E449" s="25"/>
      <c r="F449" s="25"/>
      <c r="G449" s="25"/>
      <c r="H449" s="25"/>
    </row>
    <row r="450">
      <c r="A450" s="25"/>
      <c r="B450" s="25"/>
      <c r="C450" s="25"/>
      <c r="D450" s="25"/>
      <c r="E450" s="25"/>
      <c r="F450" s="25"/>
      <c r="G450" s="25"/>
      <c r="H450" s="25"/>
    </row>
    <row r="451">
      <c r="A451" s="25"/>
      <c r="B451" s="25"/>
      <c r="C451" s="25"/>
      <c r="D451" s="25"/>
      <c r="E451" s="25"/>
      <c r="F451" s="25"/>
      <c r="G451" s="25"/>
      <c r="H451" s="25"/>
    </row>
    <row r="452">
      <c r="A452" s="25"/>
      <c r="B452" s="25"/>
      <c r="C452" s="25"/>
      <c r="D452" s="25"/>
      <c r="E452" s="25"/>
      <c r="F452" s="25"/>
      <c r="G452" s="25"/>
      <c r="H452" s="25"/>
    </row>
    <row r="453">
      <c r="A453" s="25"/>
      <c r="B453" s="25"/>
      <c r="C453" s="25"/>
      <c r="D453" s="25"/>
      <c r="E453" s="25"/>
      <c r="F453" s="25"/>
      <c r="G453" s="25"/>
      <c r="H453" s="25"/>
    </row>
    <row r="454">
      <c r="A454" s="25"/>
      <c r="B454" s="25"/>
      <c r="C454" s="25"/>
      <c r="D454" s="25"/>
      <c r="E454" s="25"/>
      <c r="F454" s="25"/>
      <c r="G454" s="25"/>
      <c r="H454" s="25"/>
    </row>
    <row r="455">
      <c r="A455" s="25"/>
      <c r="B455" s="25"/>
      <c r="C455" s="25"/>
      <c r="D455" s="25"/>
      <c r="E455" s="25"/>
      <c r="F455" s="25"/>
      <c r="G455" s="25"/>
      <c r="H455" s="25"/>
    </row>
    <row r="456">
      <c r="A456" s="25"/>
      <c r="B456" s="25"/>
      <c r="C456" s="25"/>
      <c r="D456" s="25"/>
      <c r="E456" s="25"/>
      <c r="F456" s="25"/>
      <c r="G456" s="25"/>
      <c r="H456" s="25"/>
    </row>
    <row r="457">
      <c r="A457" s="25"/>
      <c r="B457" s="25"/>
      <c r="C457" s="25"/>
      <c r="D457" s="25"/>
      <c r="E457" s="25"/>
      <c r="F457" s="25"/>
      <c r="G457" s="25"/>
      <c r="H457" s="25"/>
    </row>
    <row r="458">
      <c r="A458" s="25"/>
      <c r="B458" s="25"/>
      <c r="C458" s="25"/>
      <c r="D458" s="25"/>
      <c r="E458" s="25"/>
      <c r="F458" s="25"/>
      <c r="G458" s="25"/>
      <c r="H458" s="25"/>
    </row>
    <row r="459">
      <c r="A459" s="25"/>
      <c r="B459" s="25"/>
      <c r="C459" s="25"/>
      <c r="D459" s="25"/>
      <c r="E459" s="25"/>
      <c r="F459" s="25"/>
      <c r="G459" s="25"/>
      <c r="H459" s="25"/>
    </row>
    <row r="460">
      <c r="A460" s="25"/>
      <c r="B460" s="25"/>
      <c r="C460" s="25"/>
      <c r="D460" s="25"/>
      <c r="E460" s="25"/>
      <c r="F460" s="25"/>
      <c r="G460" s="25"/>
      <c r="H460" s="25"/>
    </row>
    <row r="461">
      <c r="A461" s="25"/>
      <c r="B461" s="25"/>
      <c r="C461" s="25"/>
      <c r="D461" s="25"/>
      <c r="E461" s="25"/>
      <c r="F461" s="25"/>
      <c r="G461" s="25"/>
      <c r="H461" s="25"/>
    </row>
    <row r="462">
      <c r="A462" s="25"/>
      <c r="B462" s="25"/>
      <c r="C462" s="25"/>
      <c r="D462" s="25"/>
      <c r="E462" s="25"/>
      <c r="F462" s="25"/>
      <c r="G462" s="25"/>
      <c r="H462" s="25"/>
    </row>
    <row r="463">
      <c r="A463" s="25"/>
      <c r="B463" s="25"/>
      <c r="C463" s="25"/>
      <c r="D463" s="25"/>
      <c r="E463" s="25"/>
      <c r="F463" s="25"/>
      <c r="G463" s="25"/>
      <c r="H463" s="25"/>
    </row>
    <row r="464">
      <c r="A464" s="25"/>
      <c r="B464" s="25"/>
      <c r="C464" s="25"/>
      <c r="D464" s="25"/>
      <c r="E464" s="25"/>
      <c r="F464" s="25"/>
      <c r="G464" s="25"/>
      <c r="H464" s="25"/>
    </row>
    <row r="465">
      <c r="A465" s="25"/>
      <c r="B465" s="25"/>
      <c r="C465" s="25"/>
      <c r="D465" s="25"/>
      <c r="E465" s="25"/>
      <c r="F465" s="25"/>
      <c r="G465" s="25"/>
      <c r="H465" s="25"/>
    </row>
    <row r="466">
      <c r="A466" s="25"/>
      <c r="B466" s="25"/>
      <c r="C466" s="25"/>
      <c r="D466" s="25"/>
      <c r="E466" s="25"/>
      <c r="F466" s="25"/>
      <c r="G466" s="25"/>
      <c r="H466" s="25"/>
    </row>
    <row r="467">
      <c r="A467" s="25"/>
      <c r="B467" s="25"/>
      <c r="C467" s="25"/>
      <c r="D467" s="25"/>
      <c r="E467" s="25"/>
      <c r="F467" s="25"/>
      <c r="G467" s="25"/>
      <c r="H467" s="25"/>
    </row>
    <row r="468">
      <c r="A468" s="25"/>
      <c r="B468" s="25"/>
      <c r="C468" s="25"/>
      <c r="D468" s="25"/>
      <c r="E468" s="25"/>
      <c r="F468" s="25"/>
      <c r="G468" s="25"/>
      <c r="H468" s="25"/>
    </row>
    <row r="469">
      <c r="A469" s="25"/>
      <c r="B469" s="25"/>
      <c r="C469" s="25"/>
      <c r="D469" s="25"/>
      <c r="E469" s="25"/>
      <c r="F469" s="25"/>
      <c r="G469" s="25"/>
      <c r="H469" s="25"/>
    </row>
    <row r="470">
      <c r="A470" s="25"/>
      <c r="B470" s="25"/>
      <c r="C470" s="25"/>
      <c r="D470" s="25"/>
      <c r="E470" s="25"/>
      <c r="F470" s="25"/>
      <c r="G470" s="25"/>
      <c r="H470" s="25"/>
    </row>
    <row r="471">
      <c r="A471" s="25"/>
      <c r="B471" s="25"/>
      <c r="C471" s="25"/>
      <c r="D471" s="25"/>
      <c r="E471" s="25"/>
      <c r="F471" s="25"/>
      <c r="G471" s="25"/>
      <c r="H471" s="25"/>
    </row>
    <row r="472">
      <c r="A472" s="25"/>
      <c r="B472" s="25"/>
      <c r="C472" s="25"/>
      <c r="D472" s="25"/>
      <c r="E472" s="25"/>
      <c r="F472" s="25"/>
      <c r="G472" s="25"/>
      <c r="H472" s="25"/>
    </row>
    <row r="473">
      <c r="A473" s="25"/>
      <c r="B473" s="25"/>
      <c r="C473" s="25"/>
      <c r="D473" s="25"/>
      <c r="E473" s="25"/>
      <c r="F473" s="25"/>
      <c r="G473" s="25"/>
      <c r="H473" s="25"/>
    </row>
    <row r="474">
      <c r="A474" s="25"/>
      <c r="B474" s="25"/>
      <c r="C474" s="25"/>
      <c r="D474" s="25"/>
      <c r="E474" s="25"/>
      <c r="F474" s="25"/>
      <c r="G474" s="25"/>
      <c r="H474" s="25"/>
    </row>
    <row r="475">
      <c r="A475" s="25"/>
      <c r="B475" s="25"/>
      <c r="C475" s="25"/>
      <c r="D475" s="25"/>
      <c r="E475" s="25"/>
      <c r="F475" s="25"/>
      <c r="G475" s="25"/>
      <c r="H475" s="25"/>
    </row>
    <row r="476">
      <c r="A476" s="25"/>
      <c r="B476" s="25"/>
      <c r="C476" s="25"/>
      <c r="D476" s="25"/>
      <c r="E476" s="25"/>
      <c r="F476" s="25"/>
      <c r="G476" s="25"/>
      <c r="H476" s="25"/>
    </row>
    <row r="477">
      <c r="A477" s="25"/>
      <c r="B477" s="25"/>
      <c r="C477" s="25"/>
      <c r="D477" s="25"/>
      <c r="E477" s="25"/>
      <c r="F477" s="25"/>
      <c r="G477" s="25"/>
      <c r="H477" s="25"/>
    </row>
    <row r="478">
      <c r="A478" s="25"/>
      <c r="B478" s="25"/>
      <c r="C478" s="25"/>
      <c r="D478" s="25"/>
      <c r="E478" s="25"/>
      <c r="F478" s="25"/>
      <c r="G478" s="25"/>
      <c r="H478" s="25"/>
    </row>
    <row r="479">
      <c r="A479" s="25"/>
      <c r="B479" s="25"/>
      <c r="C479" s="25"/>
      <c r="D479" s="25"/>
      <c r="E479" s="25"/>
      <c r="F479" s="25"/>
      <c r="G479" s="25"/>
      <c r="H479" s="25"/>
    </row>
    <row r="480">
      <c r="A480" s="25"/>
      <c r="B480" s="25"/>
      <c r="C480" s="25"/>
      <c r="D480" s="25"/>
      <c r="E480" s="25"/>
      <c r="F480" s="25"/>
      <c r="G480" s="25"/>
      <c r="H480" s="25"/>
    </row>
    <row r="481">
      <c r="A481" s="25"/>
      <c r="B481" s="25"/>
      <c r="C481" s="25"/>
      <c r="D481" s="25"/>
      <c r="E481" s="25"/>
      <c r="F481" s="25"/>
      <c r="G481" s="25"/>
      <c r="H481" s="25"/>
    </row>
    <row r="482">
      <c r="A482" s="25"/>
      <c r="B482" s="25"/>
      <c r="C482" s="25"/>
      <c r="D482" s="25"/>
      <c r="E482" s="25"/>
      <c r="F482" s="25"/>
      <c r="G482" s="25"/>
      <c r="H482" s="25"/>
    </row>
    <row r="483">
      <c r="A483" s="25"/>
      <c r="B483" s="25"/>
      <c r="C483" s="25"/>
      <c r="D483" s="25"/>
      <c r="E483" s="25"/>
      <c r="F483" s="25"/>
      <c r="G483" s="25"/>
      <c r="H483" s="25"/>
    </row>
    <row r="484">
      <c r="A484" s="25"/>
      <c r="B484" s="25"/>
      <c r="C484" s="25"/>
      <c r="D484" s="25"/>
      <c r="E484" s="25"/>
      <c r="F484" s="25"/>
      <c r="G484" s="25"/>
      <c r="H484" s="25"/>
    </row>
    <row r="485">
      <c r="A485" s="25"/>
      <c r="B485" s="25"/>
      <c r="C485" s="25"/>
      <c r="D485" s="25"/>
      <c r="E485" s="25"/>
      <c r="F485" s="25"/>
      <c r="G485" s="25"/>
      <c r="H485" s="25"/>
    </row>
    <row r="486">
      <c r="A486" s="25"/>
      <c r="B486" s="25"/>
      <c r="C486" s="25"/>
      <c r="D486" s="25"/>
      <c r="E486" s="25"/>
      <c r="F486" s="25"/>
      <c r="G486" s="25"/>
      <c r="H486" s="25"/>
    </row>
    <row r="487">
      <c r="A487" s="25"/>
      <c r="B487" s="25"/>
      <c r="C487" s="25"/>
      <c r="D487" s="25"/>
      <c r="E487" s="25"/>
      <c r="F487" s="25"/>
      <c r="G487" s="25"/>
      <c r="H487" s="25"/>
    </row>
    <row r="488">
      <c r="A488" s="25"/>
      <c r="B488" s="25"/>
      <c r="C488" s="25"/>
      <c r="D488" s="25"/>
      <c r="E488" s="25"/>
      <c r="F488" s="25"/>
      <c r="G488" s="25"/>
      <c r="H488" s="25"/>
    </row>
    <row r="489">
      <c r="A489" s="25"/>
      <c r="B489" s="25"/>
      <c r="C489" s="25"/>
      <c r="D489" s="25"/>
      <c r="E489" s="25"/>
      <c r="F489" s="25"/>
      <c r="G489" s="25"/>
      <c r="H489" s="25"/>
    </row>
    <row r="490">
      <c r="A490" s="25"/>
      <c r="B490" s="25"/>
      <c r="C490" s="25"/>
      <c r="D490" s="25"/>
      <c r="E490" s="25"/>
      <c r="F490" s="25"/>
      <c r="G490" s="25"/>
      <c r="H490" s="25"/>
    </row>
    <row r="491">
      <c r="A491" s="25"/>
      <c r="B491" s="25"/>
      <c r="C491" s="25"/>
      <c r="D491" s="25"/>
      <c r="E491" s="25"/>
      <c r="F491" s="25"/>
      <c r="G491" s="25"/>
      <c r="H491" s="25"/>
    </row>
    <row r="492">
      <c r="A492" s="25"/>
      <c r="B492" s="25"/>
      <c r="C492" s="25"/>
      <c r="D492" s="25"/>
      <c r="E492" s="25"/>
      <c r="F492" s="25"/>
      <c r="G492" s="25"/>
      <c r="H492" s="25"/>
    </row>
    <row r="493">
      <c r="A493" s="25"/>
      <c r="B493" s="25"/>
      <c r="C493" s="25"/>
      <c r="D493" s="25"/>
      <c r="E493" s="25"/>
      <c r="F493" s="25"/>
      <c r="G493" s="25"/>
      <c r="H493" s="25"/>
    </row>
    <row r="494">
      <c r="A494" s="25"/>
      <c r="B494" s="25"/>
      <c r="C494" s="25"/>
      <c r="D494" s="25"/>
      <c r="E494" s="25"/>
      <c r="F494" s="25"/>
      <c r="G494" s="25"/>
      <c r="H494" s="25"/>
    </row>
    <row r="495">
      <c r="A495" s="25"/>
      <c r="B495" s="25"/>
      <c r="C495" s="25"/>
      <c r="D495" s="25"/>
      <c r="E495" s="25"/>
      <c r="F495" s="25"/>
      <c r="G495" s="25"/>
      <c r="H495" s="25"/>
    </row>
    <row r="496">
      <c r="A496" s="25"/>
      <c r="B496" s="25"/>
      <c r="C496" s="25"/>
      <c r="D496" s="25"/>
      <c r="E496" s="25"/>
      <c r="F496" s="25"/>
      <c r="G496" s="25"/>
      <c r="H496" s="25"/>
    </row>
    <row r="497">
      <c r="A497" s="25"/>
      <c r="B497" s="25"/>
      <c r="C497" s="25"/>
      <c r="D497" s="25"/>
      <c r="E497" s="25"/>
      <c r="F497" s="25"/>
      <c r="G497" s="25"/>
      <c r="H497" s="25"/>
    </row>
    <row r="498">
      <c r="A498" s="25"/>
      <c r="B498" s="25"/>
      <c r="C498" s="25"/>
      <c r="D498" s="25"/>
      <c r="E498" s="25"/>
      <c r="F498" s="25"/>
      <c r="G498" s="25"/>
      <c r="H498" s="25"/>
    </row>
    <row r="499">
      <c r="A499" s="25"/>
      <c r="B499" s="25"/>
      <c r="C499" s="25"/>
      <c r="D499" s="25"/>
      <c r="E499" s="25"/>
      <c r="F499" s="25"/>
      <c r="G499" s="25"/>
      <c r="H499" s="25"/>
    </row>
    <row r="500">
      <c r="A500" s="25"/>
      <c r="B500" s="25"/>
      <c r="C500" s="25"/>
      <c r="D500" s="25"/>
      <c r="E500" s="25"/>
      <c r="F500" s="25"/>
      <c r="G500" s="25"/>
      <c r="H500" s="25"/>
    </row>
    <row r="501">
      <c r="A501" s="25"/>
      <c r="B501" s="25"/>
      <c r="C501" s="25"/>
      <c r="D501" s="25"/>
      <c r="E501" s="25"/>
      <c r="F501" s="25"/>
      <c r="G501" s="25"/>
      <c r="H501" s="25"/>
    </row>
    <row r="502">
      <c r="A502" s="25"/>
      <c r="B502" s="25"/>
      <c r="C502" s="25"/>
      <c r="D502" s="25"/>
      <c r="E502" s="25"/>
      <c r="F502" s="25"/>
      <c r="G502" s="25"/>
      <c r="H502" s="25"/>
    </row>
    <row r="503">
      <c r="A503" s="25"/>
      <c r="B503" s="25"/>
      <c r="C503" s="25"/>
      <c r="D503" s="25"/>
      <c r="E503" s="25"/>
      <c r="F503" s="25"/>
      <c r="G503" s="25"/>
      <c r="H503" s="25"/>
    </row>
    <row r="504">
      <c r="A504" s="25"/>
      <c r="B504" s="25"/>
      <c r="C504" s="25"/>
      <c r="D504" s="25"/>
      <c r="E504" s="25"/>
      <c r="F504" s="25"/>
      <c r="G504" s="25"/>
      <c r="H504" s="25"/>
    </row>
    <row r="505">
      <c r="A505" s="25"/>
      <c r="B505" s="25"/>
      <c r="C505" s="25"/>
      <c r="D505" s="25"/>
      <c r="E505" s="25"/>
      <c r="F505" s="25"/>
      <c r="G505" s="25"/>
      <c r="H505" s="25"/>
    </row>
    <row r="506">
      <c r="A506" s="25"/>
      <c r="B506" s="25"/>
      <c r="C506" s="25"/>
      <c r="D506" s="25"/>
      <c r="E506" s="25"/>
      <c r="F506" s="25"/>
      <c r="G506" s="25"/>
      <c r="H506" s="25"/>
    </row>
    <row r="507">
      <c r="A507" s="25"/>
      <c r="B507" s="25"/>
      <c r="C507" s="25"/>
      <c r="D507" s="25"/>
      <c r="E507" s="25"/>
      <c r="F507" s="25"/>
      <c r="G507" s="25"/>
      <c r="H507" s="25"/>
    </row>
    <row r="508">
      <c r="A508" s="25"/>
      <c r="B508" s="25"/>
      <c r="C508" s="25"/>
      <c r="D508" s="25"/>
      <c r="E508" s="25"/>
      <c r="F508" s="25"/>
      <c r="G508" s="25"/>
      <c r="H508" s="25"/>
    </row>
    <row r="509">
      <c r="A509" s="25"/>
      <c r="B509" s="25"/>
      <c r="C509" s="25"/>
      <c r="D509" s="25"/>
      <c r="E509" s="25"/>
      <c r="F509" s="25"/>
      <c r="G509" s="25"/>
      <c r="H509" s="25"/>
    </row>
    <row r="510">
      <c r="A510" s="25"/>
      <c r="B510" s="25"/>
      <c r="C510" s="25"/>
      <c r="D510" s="25"/>
      <c r="E510" s="25"/>
      <c r="F510" s="25"/>
      <c r="G510" s="25"/>
      <c r="H510" s="25"/>
    </row>
    <row r="511">
      <c r="A511" s="25"/>
      <c r="B511" s="25"/>
      <c r="C511" s="25"/>
      <c r="D511" s="25"/>
      <c r="E511" s="25"/>
      <c r="F511" s="25"/>
      <c r="G511" s="25"/>
      <c r="H511" s="25"/>
    </row>
    <row r="512">
      <c r="A512" s="25"/>
      <c r="B512" s="25"/>
      <c r="C512" s="25"/>
      <c r="D512" s="25"/>
      <c r="E512" s="25"/>
      <c r="F512" s="25"/>
      <c r="G512" s="25"/>
      <c r="H512" s="25"/>
    </row>
    <row r="513">
      <c r="A513" s="25"/>
      <c r="B513" s="25"/>
      <c r="C513" s="25"/>
      <c r="D513" s="25"/>
      <c r="E513" s="25"/>
      <c r="F513" s="25"/>
      <c r="G513" s="25"/>
      <c r="H513" s="25"/>
    </row>
    <row r="514">
      <c r="A514" s="25"/>
      <c r="B514" s="25"/>
      <c r="C514" s="25"/>
      <c r="D514" s="25"/>
      <c r="E514" s="25"/>
      <c r="F514" s="25"/>
      <c r="G514" s="25"/>
      <c r="H514" s="25"/>
    </row>
    <row r="515">
      <c r="A515" s="25"/>
      <c r="B515" s="25"/>
      <c r="C515" s="25"/>
      <c r="D515" s="25"/>
      <c r="E515" s="25"/>
      <c r="F515" s="25"/>
      <c r="G515" s="25"/>
      <c r="H515" s="25"/>
    </row>
    <row r="516">
      <c r="A516" s="25"/>
      <c r="B516" s="25"/>
      <c r="C516" s="25"/>
      <c r="D516" s="25"/>
      <c r="E516" s="25"/>
      <c r="F516" s="25"/>
      <c r="G516" s="25"/>
      <c r="H516" s="25"/>
    </row>
    <row r="517">
      <c r="A517" s="25"/>
      <c r="B517" s="25"/>
      <c r="C517" s="25"/>
      <c r="D517" s="25"/>
      <c r="E517" s="25"/>
      <c r="F517" s="25"/>
      <c r="G517" s="25"/>
      <c r="H517" s="25"/>
    </row>
    <row r="518">
      <c r="A518" s="25"/>
      <c r="B518" s="25"/>
      <c r="C518" s="25"/>
      <c r="D518" s="25"/>
      <c r="E518" s="25"/>
      <c r="F518" s="25"/>
      <c r="G518" s="25"/>
      <c r="H518" s="25"/>
    </row>
    <row r="519">
      <c r="A519" s="25"/>
      <c r="B519" s="25"/>
      <c r="C519" s="25"/>
      <c r="D519" s="25"/>
      <c r="E519" s="25"/>
      <c r="F519" s="25"/>
      <c r="G519" s="25"/>
      <c r="H519" s="25"/>
    </row>
    <row r="520">
      <c r="A520" s="25"/>
      <c r="B520" s="25"/>
      <c r="C520" s="25"/>
      <c r="D520" s="25"/>
      <c r="E520" s="25"/>
      <c r="F520" s="25"/>
      <c r="G520" s="25"/>
      <c r="H520" s="25"/>
    </row>
    <row r="521">
      <c r="A521" s="25"/>
      <c r="B521" s="25"/>
      <c r="C521" s="25"/>
      <c r="D521" s="25"/>
      <c r="E521" s="25"/>
      <c r="F521" s="25"/>
      <c r="G521" s="25"/>
      <c r="H521" s="25"/>
    </row>
    <row r="522">
      <c r="A522" s="25"/>
      <c r="B522" s="25"/>
      <c r="C522" s="25"/>
      <c r="D522" s="25"/>
      <c r="E522" s="25"/>
      <c r="F522" s="25"/>
      <c r="G522" s="25"/>
      <c r="H522" s="25"/>
    </row>
    <row r="523">
      <c r="A523" s="25"/>
      <c r="B523" s="25"/>
      <c r="C523" s="25"/>
      <c r="D523" s="25"/>
      <c r="E523" s="25"/>
      <c r="F523" s="25"/>
      <c r="G523" s="25"/>
      <c r="H523" s="25"/>
    </row>
    <row r="524">
      <c r="A524" s="25"/>
      <c r="B524" s="25"/>
      <c r="C524" s="25"/>
      <c r="D524" s="25"/>
      <c r="E524" s="25"/>
      <c r="F524" s="25"/>
      <c r="G524" s="25"/>
      <c r="H524" s="25"/>
    </row>
    <row r="525">
      <c r="A525" s="25"/>
      <c r="B525" s="25"/>
      <c r="C525" s="25"/>
      <c r="D525" s="25"/>
      <c r="E525" s="25"/>
      <c r="F525" s="25"/>
      <c r="G525" s="25"/>
      <c r="H525" s="25"/>
    </row>
    <row r="526">
      <c r="A526" s="25"/>
      <c r="B526" s="25"/>
      <c r="C526" s="25"/>
      <c r="D526" s="25"/>
      <c r="E526" s="25"/>
      <c r="F526" s="25"/>
      <c r="G526" s="25"/>
      <c r="H526" s="25"/>
    </row>
    <row r="527">
      <c r="A527" s="25"/>
      <c r="B527" s="25"/>
      <c r="C527" s="25"/>
      <c r="D527" s="25"/>
      <c r="E527" s="25"/>
      <c r="F527" s="25"/>
      <c r="G527" s="25"/>
      <c r="H527" s="25"/>
    </row>
    <row r="528">
      <c r="A528" s="25"/>
      <c r="B528" s="25"/>
      <c r="C528" s="25"/>
      <c r="D528" s="25"/>
      <c r="E528" s="25"/>
      <c r="F528" s="25"/>
      <c r="G528" s="25"/>
      <c r="H528" s="25"/>
    </row>
    <row r="529">
      <c r="A529" s="25"/>
      <c r="B529" s="25"/>
      <c r="C529" s="25"/>
      <c r="D529" s="25"/>
      <c r="E529" s="25"/>
      <c r="F529" s="25"/>
      <c r="G529" s="25"/>
      <c r="H529" s="25"/>
    </row>
    <row r="530">
      <c r="A530" s="25"/>
      <c r="B530" s="25"/>
      <c r="C530" s="25"/>
      <c r="D530" s="25"/>
      <c r="E530" s="25"/>
      <c r="F530" s="25"/>
      <c r="G530" s="25"/>
      <c r="H530" s="25"/>
    </row>
    <row r="531">
      <c r="A531" s="25"/>
      <c r="B531" s="25"/>
      <c r="C531" s="25"/>
      <c r="D531" s="25"/>
      <c r="E531" s="25"/>
      <c r="F531" s="25"/>
      <c r="G531" s="25"/>
      <c r="H531" s="25"/>
    </row>
    <row r="532">
      <c r="A532" s="25"/>
      <c r="B532" s="25"/>
      <c r="C532" s="25"/>
      <c r="D532" s="25"/>
      <c r="E532" s="25"/>
      <c r="F532" s="25"/>
      <c r="G532" s="25"/>
      <c r="H532" s="25"/>
    </row>
    <row r="533">
      <c r="A533" s="25"/>
      <c r="B533" s="25"/>
      <c r="C533" s="25"/>
      <c r="D533" s="25"/>
      <c r="E533" s="25"/>
      <c r="F533" s="25"/>
      <c r="G533" s="25"/>
      <c r="H533" s="25"/>
    </row>
    <row r="534">
      <c r="A534" s="25"/>
      <c r="B534" s="25"/>
      <c r="C534" s="25"/>
      <c r="D534" s="25"/>
      <c r="E534" s="25"/>
      <c r="F534" s="25"/>
      <c r="G534" s="25"/>
      <c r="H534" s="25"/>
    </row>
    <row r="535">
      <c r="A535" s="25"/>
      <c r="B535" s="25"/>
      <c r="C535" s="25"/>
      <c r="D535" s="25"/>
      <c r="E535" s="25"/>
      <c r="F535" s="25"/>
      <c r="G535" s="25"/>
      <c r="H535" s="25"/>
    </row>
    <row r="536">
      <c r="A536" s="25"/>
      <c r="B536" s="25"/>
      <c r="C536" s="25"/>
      <c r="D536" s="25"/>
      <c r="E536" s="25"/>
      <c r="F536" s="25"/>
      <c r="G536" s="25"/>
      <c r="H536" s="25"/>
    </row>
    <row r="537">
      <c r="A537" s="25"/>
      <c r="B537" s="25"/>
      <c r="C537" s="25"/>
      <c r="D537" s="25"/>
      <c r="E537" s="25"/>
      <c r="F537" s="25"/>
      <c r="G537" s="25"/>
      <c r="H537" s="25"/>
    </row>
    <row r="538">
      <c r="A538" s="25"/>
      <c r="B538" s="25"/>
      <c r="C538" s="25"/>
      <c r="D538" s="25"/>
      <c r="E538" s="25"/>
      <c r="F538" s="25"/>
      <c r="G538" s="25"/>
      <c r="H538" s="25"/>
    </row>
    <row r="539">
      <c r="A539" s="25"/>
      <c r="B539" s="25"/>
      <c r="C539" s="25"/>
      <c r="D539" s="25"/>
      <c r="E539" s="25"/>
      <c r="F539" s="25"/>
      <c r="G539" s="25"/>
      <c r="H539" s="25"/>
    </row>
    <row r="540">
      <c r="A540" s="25"/>
      <c r="B540" s="25"/>
      <c r="C540" s="25"/>
      <c r="D540" s="25"/>
      <c r="E540" s="25"/>
      <c r="F540" s="25"/>
      <c r="G540" s="25"/>
      <c r="H540" s="25"/>
    </row>
    <row r="541">
      <c r="A541" s="25"/>
      <c r="B541" s="25"/>
      <c r="C541" s="25"/>
      <c r="D541" s="25"/>
      <c r="E541" s="25"/>
      <c r="F541" s="25"/>
      <c r="G541" s="25"/>
      <c r="H541" s="25"/>
    </row>
    <row r="542">
      <c r="A542" s="25"/>
      <c r="B542" s="25"/>
      <c r="C542" s="25"/>
      <c r="D542" s="25"/>
      <c r="E542" s="25"/>
      <c r="F542" s="25"/>
      <c r="G542" s="25"/>
      <c r="H542" s="25"/>
    </row>
    <row r="543">
      <c r="A543" s="25"/>
      <c r="B543" s="25"/>
      <c r="C543" s="25"/>
      <c r="D543" s="25"/>
      <c r="E543" s="25"/>
      <c r="F543" s="25"/>
      <c r="G543" s="25"/>
      <c r="H543" s="25"/>
    </row>
    <row r="544">
      <c r="A544" s="25"/>
      <c r="B544" s="25"/>
      <c r="C544" s="25"/>
      <c r="D544" s="25"/>
      <c r="E544" s="25"/>
      <c r="F544" s="25"/>
      <c r="G544" s="25"/>
      <c r="H544" s="25"/>
    </row>
    <row r="545">
      <c r="A545" s="25"/>
      <c r="B545" s="25"/>
      <c r="C545" s="25"/>
      <c r="D545" s="25"/>
      <c r="E545" s="25"/>
      <c r="F545" s="25"/>
      <c r="G545" s="25"/>
      <c r="H545" s="25"/>
    </row>
    <row r="546">
      <c r="A546" s="25"/>
      <c r="B546" s="25"/>
      <c r="C546" s="25"/>
      <c r="D546" s="25"/>
      <c r="E546" s="25"/>
      <c r="F546" s="25"/>
      <c r="G546" s="25"/>
      <c r="H546" s="25"/>
    </row>
    <row r="547">
      <c r="A547" s="25"/>
      <c r="B547" s="25"/>
      <c r="C547" s="25"/>
      <c r="D547" s="25"/>
      <c r="E547" s="25"/>
      <c r="F547" s="25"/>
      <c r="G547" s="25"/>
      <c r="H547" s="25"/>
    </row>
    <row r="548">
      <c r="A548" s="25"/>
      <c r="B548" s="25"/>
      <c r="C548" s="25"/>
      <c r="D548" s="25"/>
      <c r="E548" s="25"/>
      <c r="F548" s="25"/>
      <c r="G548" s="25"/>
      <c r="H548" s="25"/>
    </row>
    <row r="549">
      <c r="A549" s="25"/>
      <c r="B549" s="25"/>
      <c r="C549" s="25"/>
      <c r="D549" s="25"/>
      <c r="E549" s="25"/>
      <c r="F549" s="25"/>
      <c r="G549" s="25"/>
      <c r="H549" s="25"/>
    </row>
    <row r="550">
      <c r="A550" s="25"/>
      <c r="B550" s="25"/>
      <c r="C550" s="25"/>
      <c r="D550" s="25"/>
      <c r="E550" s="25"/>
      <c r="F550" s="25"/>
      <c r="G550" s="25"/>
      <c r="H550" s="25"/>
    </row>
    <row r="551">
      <c r="A551" s="25"/>
      <c r="B551" s="25"/>
      <c r="C551" s="25"/>
      <c r="D551" s="25"/>
      <c r="E551" s="25"/>
      <c r="F551" s="25"/>
      <c r="G551" s="25"/>
      <c r="H551" s="25"/>
    </row>
    <row r="552">
      <c r="A552" s="25"/>
      <c r="B552" s="25"/>
      <c r="C552" s="25"/>
      <c r="D552" s="25"/>
      <c r="E552" s="25"/>
      <c r="F552" s="25"/>
      <c r="G552" s="25"/>
      <c r="H552" s="25"/>
    </row>
    <row r="553">
      <c r="A553" s="25"/>
      <c r="B553" s="25"/>
      <c r="C553" s="25"/>
      <c r="D553" s="25"/>
      <c r="E553" s="25"/>
      <c r="F553" s="25"/>
      <c r="G553" s="25"/>
      <c r="H553" s="25"/>
    </row>
    <row r="554">
      <c r="A554" s="25"/>
      <c r="B554" s="25"/>
      <c r="C554" s="25"/>
      <c r="D554" s="25"/>
      <c r="E554" s="25"/>
      <c r="F554" s="25"/>
      <c r="G554" s="25"/>
      <c r="H554" s="25"/>
    </row>
    <row r="555">
      <c r="A555" s="25"/>
      <c r="B555" s="25"/>
      <c r="C555" s="25"/>
      <c r="D555" s="25"/>
      <c r="E555" s="25"/>
      <c r="F555" s="25"/>
      <c r="G555" s="25"/>
      <c r="H555" s="25"/>
    </row>
    <row r="556">
      <c r="A556" s="25"/>
      <c r="B556" s="25"/>
      <c r="C556" s="25"/>
      <c r="D556" s="25"/>
      <c r="E556" s="25"/>
      <c r="F556" s="25"/>
      <c r="G556" s="25"/>
      <c r="H556" s="25"/>
    </row>
    <row r="557">
      <c r="A557" s="25"/>
      <c r="B557" s="25"/>
      <c r="C557" s="25"/>
      <c r="D557" s="25"/>
      <c r="E557" s="25"/>
      <c r="F557" s="25"/>
      <c r="G557" s="25"/>
      <c r="H557" s="25"/>
    </row>
    <row r="558">
      <c r="A558" s="25"/>
      <c r="B558" s="25"/>
      <c r="C558" s="25"/>
      <c r="D558" s="25"/>
      <c r="E558" s="25"/>
      <c r="F558" s="25"/>
      <c r="G558" s="25"/>
      <c r="H558" s="25"/>
    </row>
    <row r="559">
      <c r="A559" s="25"/>
      <c r="B559" s="25"/>
      <c r="C559" s="25"/>
      <c r="D559" s="25"/>
      <c r="E559" s="25"/>
      <c r="F559" s="25"/>
      <c r="G559" s="25"/>
      <c r="H559" s="25"/>
    </row>
    <row r="560">
      <c r="A560" s="25"/>
      <c r="B560" s="25"/>
      <c r="C560" s="25"/>
      <c r="D560" s="25"/>
      <c r="E560" s="25"/>
      <c r="F560" s="25"/>
      <c r="G560" s="25"/>
      <c r="H560" s="25"/>
    </row>
    <row r="561">
      <c r="A561" s="25"/>
      <c r="B561" s="25"/>
      <c r="C561" s="25"/>
      <c r="D561" s="25"/>
      <c r="E561" s="25"/>
      <c r="F561" s="25"/>
      <c r="G561" s="25"/>
      <c r="H561" s="25"/>
    </row>
    <row r="562">
      <c r="A562" s="25"/>
      <c r="B562" s="25"/>
      <c r="C562" s="25"/>
      <c r="D562" s="25"/>
      <c r="E562" s="25"/>
      <c r="F562" s="25"/>
      <c r="G562" s="25"/>
      <c r="H562" s="25"/>
    </row>
    <row r="563">
      <c r="A563" s="25"/>
      <c r="B563" s="25"/>
      <c r="C563" s="25"/>
      <c r="D563" s="25"/>
      <c r="E563" s="25"/>
      <c r="F563" s="25"/>
      <c r="G563" s="25"/>
      <c r="H563" s="25"/>
    </row>
    <row r="564">
      <c r="A564" s="25"/>
      <c r="B564" s="25"/>
      <c r="C564" s="25"/>
      <c r="D564" s="25"/>
      <c r="E564" s="25"/>
      <c r="F564" s="25"/>
      <c r="G564" s="25"/>
      <c r="H564" s="25"/>
    </row>
    <row r="565">
      <c r="A565" s="25"/>
      <c r="B565" s="25"/>
      <c r="C565" s="25"/>
      <c r="D565" s="25"/>
      <c r="E565" s="25"/>
      <c r="F565" s="25"/>
      <c r="G565" s="25"/>
      <c r="H565" s="25"/>
    </row>
    <row r="566">
      <c r="A566" s="25"/>
      <c r="B566" s="25"/>
      <c r="C566" s="25"/>
      <c r="D566" s="25"/>
      <c r="E566" s="25"/>
      <c r="F566" s="25"/>
      <c r="G566" s="25"/>
      <c r="H566" s="25"/>
    </row>
    <row r="567">
      <c r="A567" s="25"/>
      <c r="B567" s="25"/>
      <c r="C567" s="25"/>
      <c r="D567" s="25"/>
      <c r="E567" s="25"/>
      <c r="F567" s="25"/>
      <c r="G567" s="25"/>
      <c r="H567" s="25"/>
    </row>
    <row r="568">
      <c r="A568" s="25"/>
      <c r="B568" s="25"/>
      <c r="C568" s="25"/>
      <c r="D568" s="25"/>
      <c r="E568" s="25"/>
      <c r="F568" s="25"/>
      <c r="G568" s="25"/>
      <c r="H568" s="25"/>
    </row>
    <row r="569">
      <c r="A569" s="25"/>
      <c r="B569" s="25"/>
      <c r="C569" s="25"/>
      <c r="D569" s="25"/>
      <c r="E569" s="25"/>
      <c r="F569" s="25"/>
      <c r="G569" s="25"/>
      <c r="H569" s="25"/>
    </row>
    <row r="570">
      <c r="A570" s="25"/>
      <c r="B570" s="25"/>
      <c r="C570" s="25"/>
      <c r="D570" s="25"/>
      <c r="E570" s="25"/>
      <c r="F570" s="25"/>
      <c r="G570" s="25"/>
      <c r="H570" s="25"/>
    </row>
    <row r="571">
      <c r="A571" s="25"/>
      <c r="B571" s="25"/>
      <c r="C571" s="25"/>
      <c r="D571" s="25"/>
      <c r="E571" s="25"/>
      <c r="F571" s="25"/>
      <c r="G571" s="25"/>
      <c r="H571" s="25"/>
    </row>
    <row r="572">
      <c r="A572" s="25"/>
      <c r="B572" s="25"/>
      <c r="C572" s="25"/>
      <c r="D572" s="25"/>
      <c r="E572" s="25"/>
      <c r="F572" s="25"/>
      <c r="G572" s="25"/>
      <c r="H572" s="25"/>
    </row>
    <row r="573">
      <c r="A573" s="25"/>
      <c r="B573" s="25"/>
      <c r="C573" s="25"/>
      <c r="D573" s="25"/>
      <c r="E573" s="25"/>
      <c r="F573" s="25"/>
      <c r="G573" s="25"/>
      <c r="H573" s="25"/>
    </row>
    <row r="574">
      <c r="A574" s="25"/>
      <c r="B574" s="25"/>
      <c r="C574" s="25"/>
      <c r="D574" s="25"/>
      <c r="E574" s="25"/>
      <c r="F574" s="25"/>
      <c r="G574" s="25"/>
      <c r="H574" s="25"/>
    </row>
    <row r="575">
      <c r="A575" s="25"/>
      <c r="B575" s="25"/>
      <c r="C575" s="25"/>
      <c r="D575" s="25"/>
      <c r="E575" s="25"/>
      <c r="F575" s="25"/>
      <c r="G575" s="25"/>
      <c r="H575" s="25"/>
    </row>
    <row r="576">
      <c r="A576" s="25"/>
      <c r="B576" s="25"/>
      <c r="C576" s="25"/>
      <c r="D576" s="25"/>
      <c r="E576" s="25"/>
      <c r="F576" s="25"/>
      <c r="G576" s="25"/>
      <c r="H576" s="25"/>
    </row>
    <row r="577">
      <c r="A577" s="25"/>
      <c r="B577" s="25"/>
      <c r="C577" s="25"/>
      <c r="D577" s="25"/>
      <c r="E577" s="25"/>
      <c r="F577" s="25"/>
      <c r="G577" s="25"/>
      <c r="H577" s="25"/>
    </row>
    <row r="578">
      <c r="A578" s="25"/>
      <c r="B578" s="25"/>
      <c r="C578" s="25"/>
      <c r="D578" s="25"/>
      <c r="E578" s="25"/>
      <c r="F578" s="25"/>
      <c r="G578" s="25"/>
      <c r="H578" s="25"/>
    </row>
    <row r="579">
      <c r="A579" s="25"/>
      <c r="B579" s="25"/>
      <c r="C579" s="25"/>
      <c r="D579" s="25"/>
      <c r="E579" s="25"/>
      <c r="F579" s="25"/>
      <c r="G579" s="25"/>
      <c r="H579" s="25"/>
    </row>
    <row r="580">
      <c r="A580" s="25"/>
      <c r="B580" s="25"/>
      <c r="C580" s="25"/>
      <c r="D580" s="25"/>
      <c r="E580" s="25"/>
      <c r="F580" s="25"/>
      <c r="G580" s="25"/>
      <c r="H580" s="25"/>
    </row>
    <row r="581">
      <c r="A581" s="25"/>
      <c r="B581" s="25"/>
      <c r="C581" s="25"/>
      <c r="D581" s="25"/>
      <c r="E581" s="25"/>
      <c r="F581" s="25"/>
      <c r="G581" s="25"/>
      <c r="H581" s="25"/>
    </row>
    <row r="582">
      <c r="A582" s="25"/>
      <c r="B582" s="25"/>
      <c r="C582" s="25"/>
      <c r="D582" s="25"/>
      <c r="E582" s="25"/>
      <c r="F582" s="25"/>
      <c r="G582" s="25"/>
      <c r="H582" s="25"/>
    </row>
    <row r="583">
      <c r="A583" s="25"/>
      <c r="B583" s="25"/>
      <c r="C583" s="25"/>
      <c r="D583" s="25"/>
      <c r="E583" s="25"/>
      <c r="F583" s="25"/>
      <c r="G583" s="25"/>
      <c r="H583" s="25"/>
    </row>
    <row r="584">
      <c r="A584" s="25"/>
      <c r="B584" s="25"/>
      <c r="C584" s="25"/>
      <c r="D584" s="25"/>
      <c r="E584" s="25"/>
      <c r="F584" s="25"/>
      <c r="G584" s="25"/>
      <c r="H584" s="25"/>
    </row>
    <row r="585">
      <c r="A585" s="25"/>
      <c r="B585" s="25"/>
      <c r="C585" s="25"/>
      <c r="D585" s="25"/>
      <c r="E585" s="25"/>
      <c r="F585" s="25"/>
      <c r="G585" s="25"/>
      <c r="H585" s="25"/>
    </row>
    <row r="586">
      <c r="A586" s="25"/>
      <c r="B586" s="25"/>
      <c r="C586" s="25"/>
      <c r="D586" s="25"/>
      <c r="E586" s="25"/>
      <c r="F586" s="25"/>
      <c r="G586" s="25"/>
      <c r="H586" s="25"/>
    </row>
    <row r="587">
      <c r="A587" s="25"/>
      <c r="B587" s="25"/>
      <c r="C587" s="25"/>
      <c r="D587" s="25"/>
      <c r="E587" s="25"/>
      <c r="F587" s="25"/>
      <c r="G587" s="25"/>
      <c r="H587" s="25"/>
    </row>
    <row r="588">
      <c r="A588" s="25"/>
      <c r="B588" s="25"/>
      <c r="C588" s="25"/>
      <c r="D588" s="25"/>
      <c r="E588" s="25"/>
      <c r="F588" s="25"/>
      <c r="G588" s="25"/>
      <c r="H588" s="25"/>
    </row>
    <row r="589">
      <c r="A589" s="25"/>
      <c r="B589" s="25"/>
      <c r="C589" s="25"/>
      <c r="D589" s="25"/>
      <c r="E589" s="25"/>
      <c r="F589" s="25"/>
      <c r="G589" s="25"/>
      <c r="H589" s="25"/>
    </row>
    <row r="590">
      <c r="A590" s="25"/>
      <c r="B590" s="25"/>
      <c r="C590" s="25"/>
      <c r="D590" s="25"/>
      <c r="E590" s="25"/>
      <c r="F590" s="25"/>
      <c r="G590" s="25"/>
      <c r="H590" s="25"/>
    </row>
    <row r="591">
      <c r="A591" s="25"/>
      <c r="B591" s="25"/>
      <c r="C591" s="25"/>
      <c r="D591" s="25"/>
      <c r="E591" s="25"/>
      <c r="F591" s="25"/>
      <c r="G591" s="25"/>
      <c r="H591" s="25"/>
    </row>
    <row r="592">
      <c r="A592" s="25"/>
      <c r="B592" s="25"/>
      <c r="C592" s="25"/>
      <c r="D592" s="25"/>
      <c r="E592" s="25"/>
      <c r="F592" s="25"/>
      <c r="G592" s="25"/>
      <c r="H592" s="25"/>
    </row>
    <row r="593">
      <c r="A593" s="25"/>
      <c r="B593" s="25"/>
      <c r="C593" s="25"/>
      <c r="D593" s="25"/>
      <c r="E593" s="25"/>
      <c r="F593" s="25"/>
      <c r="G593" s="25"/>
      <c r="H593" s="25"/>
    </row>
    <row r="594">
      <c r="A594" s="25"/>
      <c r="B594" s="25"/>
      <c r="C594" s="25"/>
      <c r="D594" s="25"/>
      <c r="E594" s="25"/>
      <c r="F594" s="25"/>
      <c r="G594" s="25"/>
      <c r="H594" s="25"/>
    </row>
    <row r="595">
      <c r="A595" s="25"/>
      <c r="B595" s="25"/>
      <c r="C595" s="25"/>
      <c r="D595" s="25"/>
      <c r="E595" s="25"/>
      <c r="F595" s="25"/>
      <c r="G595" s="25"/>
      <c r="H595" s="25"/>
    </row>
    <row r="596">
      <c r="A596" s="25"/>
      <c r="B596" s="25"/>
      <c r="C596" s="25"/>
      <c r="D596" s="25"/>
      <c r="E596" s="25"/>
      <c r="F596" s="25"/>
      <c r="G596" s="25"/>
      <c r="H596" s="25"/>
    </row>
    <row r="597">
      <c r="A597" s="25"/>
      <c r="B597" s="25"/>
      <c r="C597" s="25"/>
      <c r="D597" s="25"/>
      <c r="E597" s="25"/>
      <c r="F597" s="25"/>
      <c r="G597" s="25"/>
      <c r="H597" s="25"/>
    </row>
    <row r="598">
      <c r="A598" s="25"/>
      <c r="B598" s="25"/>
      <c r="C598" s="25"/>
      <c r="D598" s="25"/>
      <c r="E598" s="25"/>
      <c r="F598" s="25"/>
      <c r="G598" s="25"/>
      <c r="H598" s="25"/>
    </row>
    <row r="599">
      <c r="A599" s="25"/>
      <c r="B599" s="25"/>
      <c r="C599" s="25"/>
      <c r="D599" s="25"/>
      <c r="E599" s="25"/>
      <c r="F599" s="25"/>
      <c r="G599" s="25"/>
      <c r="H599" s="25"/>
    </row>
    <row r="600">
      <c r="A600" s="25"/>
      <c r="B600" s="25"/>
      <c r="C600" s="25"/>
      <c r="D600" s="25"/>
      <c r="E600" s="25"/>
      <c r="F600" s="25"/>
      <c r="G600" s="25"/>
      <c r="H600" s="25"/>
    </row>
    <row r="601">
      <c r="A601" s="25"/>
      <c r="B601" s="25"/>
      <c r="C601" s="25"/>
      <c r="D601" s="25"/>
      <c r="E601" s="25"/>
      <c r="F601" s="25"/>
      <c r="G601" s="25"/>
      <c r="H601" s="25"/>
    </row>
    <row r="602">
      <c r="A602" s="25"/>
      <c r="B602" s="25"/>
      <c r="C602" s="25"/>
      <c r="D602" s="25"/>
      <c r="E602" s="25"/>
      <c r="F602" s="25"/>
      <c r="G602" s="25"/>
      <c r="H602" s="25"/>
    </row>
    <row r="603">
      <c r="A603" s="25"/>
      <c r="B603" s="25"/>
      <c r="C603" s="25"/>
      <c r="D603" s="25"/>
      <c r="E603" s="25"/>
      <c r="F603" s="25"/>
      <c r="G603" s="25"/>
      <c r="H603" s="25"/>
    </row>
    <row r="604">
      <c r="A604" s="25"/>
      <c r="B604" s="25"/>
      <c r="C604" s="25"/>
      <c r="D604" s="25"/>
      <c r="E604" s="25"/>
      <c r="F604" s="25"/>
      <c r="G604" s="25"/>
      <c r="H604" s="25"/>
    </row>
    <row r="605">
      <c r="A605" s="25"/>
      <c r="B605" s="25"/>
      <c r="C605" s="25"/>
      <c r="D605" s="25"/>
      <c r="E605" s="25"/>
      <c r="F605" s="25"/>
      <c r="G605" s="25"/>
      <c r="H605" s="25"/>
    </row>
    <row r="606">
      <c r="A606" s="25"/>
      <c r="B606" s="25"/>
      <c r="C606" s="25"/>
      <c r="D606" s="25"/>
      <c r="E606" s="25"/>
      <c r="F606" s="25"/>
      <c r="G606" s="25"/>
      <c r="H606" s="25"/>
    </row>
    <row r="607">
      <c r="A607" s="25"/>
      <c r="B607" s="25"/>
      <c r="C607" s="25"/>
      <c r="D607" s="25"/>
      <c r="E607" s="25"/>
      <c r="F607" s="25"/>
      <c r="G607" s="25"/>
      <c r="H607" s="25"/>
    </row>
    <row r="608">
      <c r="A608" s="25"/>
      <c r="B608" s="25"/>
      <c r="C608" s="25"/>
      <c r="D608" s="25"/>
      <c r="E608" s="25"/>
      <c r="F608" s="25"/>
      <c r="G608" s="25"/>
      <c r="H608" s="25"/>
    </row>
    <row r="609">
      <c r="A609" s="25"/>
      <c r="B609" s="25"/>
      <c r="C609" s="25"/>
      <c r="D609" s="25"/>
      <c r="E609" s="25"/>
      <c r="F609" s="25"/>
      <c r="G609" s="25"/>
      <c r="H609" s="25"/>
    </row>
    <row r="610">
      <c r="A610" s="25"/>
      <c r="B610" s="25"/>
      <c r="C610" s="25"/>
      <c r="D610" s="25"/>
      <c r="E610" s="25"/>
      <c r="F610" s="25"/>
      <c r="G610" s="25"/>
      <c r="H610" s="25"/>
    </row>
    <row r="611">
      <c r="A611" s="25"/>
      <c r="B611" s="25"/>
      <c r="C611" s="25"/>
      <c r="D611" s="25"/>
      <c r="E611" s="25"/>
      <c r="F611" s="25"/>
      <c r="G611" s="25"/>
      <c r="H611" s="25"/>
    </row>
    <row r="612">
      <c r="A612" s="25"/>
      <c r="B612" s="25"/>
      <c r="C612" s="25"/>
      <c r="D612" s="25"/>
      <c r="E612" s="25"/>
      <c r="F612" s="25"/>
      <c r="G612" s="25"/>
      <c r="H612" s="25"/>
    </row>
    <row r="613">
      <c r="A613" s="25"/>
      <c r="B613" s="25"/>
      <c r="C613" s="25"/>
      <c r="D613" s="25"/>
      <c r="E613" s="25"/>
      <c r="F613" s="25"/>
      <c r="G613" s="25"/>
      <c r="H613" s="25"/>
    </row>
    <row r="614">
      <c r="A614" s="25"/>
      <c r="B614" s="25"/>
      <c r="C614" s="25"/>
      <c r="D614" s="25"/>
      <c r="E614" s="25"/>
      <c r="F614" s="25"/>
      <c r="G614" s="25"/>
      <c r="H614" s="25"/>
    </row>
    <row r="615">
      <c r="A615" s="25"/>
      <c r="B615" s="25"/>
      <c r="C615" s="25"/>
      <c r="D615" s="25"/>
      <c r="E615" s="25"/>
      <c r="F615" s="25"/>
      <c r="G615" s="25"/>
      <c r="H615" s="25"/>
    </row>
    <row r="616">
      <c r="A616" s="25"/>
      <c r="B616" s="25"/>
      <c r="C616" s="25"/>
      <c r="D616" s="25"/>
      <c r="E616" s="25"/>
      <c r="F616" s="25"/>
      <c r="G616" s="25"/>
      <c r="H616" s="25"/>
    </row>
    <row r="617">
      <c r="A617" s="25"/>
      <c r="B617" s="25"/>
      <c r="C617" s="25"/>
      <c r="D617" s="25"/>
      <c r="E617" s="25"/>
      <c r="F617" s="25"/>
      <c r="G617" s="25"/>
      <c r="H617" s="25"/>
    </row>
    <row r="618">
      <c r="A618" s="25"/>
      <c r="B618" s="25"/>
      <c r="C618" s="25"/>
      <c r="D618" s="25"/>
      <c r="E618" s="25"/>
      <c r="F618" s="25"/>
      <c r="G618" s="25"/>
      <c r="H618" s="25"/>
    </row>
    <row r="619">
      <c r="A619" s="25"/>
      <c r="B619" s="25"/>
      <c r="C619" s="25"/>
      <c r="D619" s="25"/>
      <c r="E619" s="25"/>
      <c r="F619" s="25"/>
      <c r="G619" s="25"/>
      <c r="H619" s="25"/>
    </row>
    <row r="620">
      <c r="A620" s="25"/>
      <c r="B620" s="25"/>
      <c r="C620" s="25"/>
      <c r="D620" s="25"/>
      <c r="E620" s="25"/>
      <c r="F620" s="25"/>
      <c r="G620" s="25"/>
      <c r="H620" s="25"/>
    </row>
    <row r="621">
      <c r="A621" s="25"/>
      <c r="B621" s="25"/>
      <c r="C621" s="25"/>
      <c r="D621" s="25"/>
      <c r="E621" s="25"/>
      <c r="F621" s="25"/>
      <c r="G621" s="25"/>
      <c r="H621" s="25"/>
    </row>
    <row r="622">
      <c r="A622" s="25"/>
      <c r="B622" s="25"/>
      <c r="C622" s="25"/>
      <c r="D622" s="25"/>
      <c r="E622" s="25"/>
      <c r="F622" s="25"/>
      <c r="G622" s="25"/>
      <c r="H622" s="25"/>
    </row>
    <row r="623">
      <c r="A623" s="25"/>
      <c r="B623" s="25"/>
      <c r="C623" s="25"/>
      <c r="D623" s="25"/>
      <c r="E623" s="25"/>
      <c r="F623" s="25"/>
      <c r="G623" s="25"/>
      <c r="H623" s="25"/>
    </row>
    <row r="624">
      <c r="A624" s="25"/>
      <c r="B624" s="25"/>
      <c r="C624" s="25"/>
      <c r="D624" s="25"/>
      <c r="E624" s="25"/>
      <c r="F624" s="25"/>
      <c r="G624" s="25"/>
      <c r="H624" s="25"/>
    </row>
    <row r="625">
      <c r="A625" s="25"/>
      <c r="B625" s="25"/>
      <c r="C625" s="25"/>
      <c r="D625" s="25"/>
      <c r="E625" s="25"/>
      <c r="F625" s="25"/>
      <c r="G625" s="25"/>
      <c r="H625" s="25"/>
    </row>
    <row r="626">
      <c r="A626" s="25"/>
      <c r="B626" s="25"/>
      <c r="C626" s="25"/>
      <c r="D626" s="25"/>
      <c r="E626" s="25"/>
      <c r="F626" s="25"/>
      <c r="G626" s="25"/>
      <c r="H626" s="25"/>
    </row>
    <row r="627">
      <c r="A627" s="25"/>
      <c r="B627" s="25"/>
      <c r="C627" s="25"/>
      <c r="D627" s="25"/>
      <c r="E627" s="25"/>
      <c r="F627" s="25"/>
      <c r="G627" s="25"/>
      <c r="H627" s="25"/>
    </row>
    <row r="628">
      <c r="A628" s="25"/>
      <c r="B628" s="25"/>
      <c r="C628" s="25"/>
      <c r="D628" s="25"/>
      <c r="E628" s="25"/>
      <c r="F628" s="25"/>
      <c r="G628" s="25"/>
      <c r="H628" s="25"/>
    </row>
    <row r="629">
      <c r="A629" s="25"/>
      <c r="B629" s="25"/>
      <c r="C629" s="25"/>
      <c r="D629" s="25"/>
      <c r="E629" s="25"/>
      <c r="F629" s="25"/>
      <c r="G629" s="25"/>
      <c r="H629" s="25"/>
    </row>
    <row r="630">
      <c r="A630" s="25"/>
      <c r="B630" s="25"/>
      <c r="C630" s="25"/>
      <c r="D630" s="25"/>
      <c r="E630" s="25"/>
      <c r="F630" s="25"/>
      <c r="G630" s="25"/>
      <c r="H630" s="25"/>
    </row>
    <row r="631">
      <c r="A631" s="25"/>
      <c r="B631" s="25"/>
      <c r="C631" s="25"/>
      <c r="D631" s="25"/>
      <c r="E631" s="25"/>
      <c r="F631" s="25"/>
      <c r="G631" s="25"/>
      <c r="H631" s="25"/>
    </row>
    <row r="632">
      <c r="A632" s="25"/>
      <c r="B632" s="25"/>
      <c r="C632" s="25"/>
      <c r="D632" s="25"/>
      <c r="E632" s="25"/>
      <c r="F632" s="25"/>
      <c r="G632" s="25"/>
      <c r="H632" s="25"/>
    </row>
    <row r="633">
      <c r="A633" s="25"/>
      <c r="B633" s="25"/>
      <c r="C633" s="25"/>
      <c r="D633" s="25"/>
      <c r="E633" s="25"/>
      <c r="F633" s="25"/>
      <c r="G633" s="25"/>
      <c r="H633" s="25"/>
    </row>
    <row r="634">
      <c r="A634" s="25"/>
      <c r="B634" s="25"/>
      <c r="C634" s="25"/>
      <c r="D634" s="25"/>
      <c r="E634" s="25"/>
      <c r="F634" s="25"/>
      <c r="G634" s="25"/>
      <c r="H634" s="25"/>
    </row>
    <row r="635">
      <c r="A635" s="25"/>
      <c r="B635" s="25"/>
      <c r="C635" s="25"/>
      <c r="D635" s="25"/>
      <c r="E635" s="25"/>
      <c r="F635" s="25"/>
      <c r="G635" s="25"/>
      <c r="H635" s="25"/>
    </row>
    <row r="636">
      <c r="A636" s="25"/>
      <c r="B636" s="25"/>
      <c r="C636" s="25"/>
      <c r="D636" s="25"/>
      <c r="E636" s="25"/>
      <c r="F636" s="25"/>
      <c r="G636" s="25"/>
      <c r="H636" s="25"/>
    </row>
    <row r="637">
      <c r="A637" s="25"/>
      <c r="B637" s="25"/>
      <c r="C637" s="25"/>
      <c r="D637" s="25"/>
      <c r="E637" s="25"/>
      <c r="F637" s="25"/>
      <c r="G637" s="25"/>
      <c r="H637" s="25"/>
    </row>
    <row r="638">
      <c r="A638" s="25"/>
      <c r="B638" s="25"/>
      <c r="C638" s="25"/>
      <c r="D638" s="25"/>
      <c r="E638" s="25"/>
      <c r="F638" s="25"/>
      <c r="G638" s="25"/>
      <c r="H638" s="25"/>
    </row>
    <row r="639">
      <c r="A639" s="25"/>
      <c r="B639" s="25"/>
      <c r="C639" s="25"/>
      <c r="D639" s="25"/>
      <c r="E639" s="25"/>
      <c r="F639" s="25"/>
      <c r="G639" s="25"/>
      <c r="H639" s="25"/>
    </row>
    <row r="640">
      <c r="A640" s="25"/>
      <c r="B640" s="25"/>
      <c r="C640" s="25"/>
      <c r="D640" s="25"/>
      <c r="E640" s="25"/>
      <c r="F640" s="25"/>
      <c r="G640" s="25"/>
      <c r="H640" s="25"/>
    </row>
    <row r="641">
      <c r="A641" s="25"/>
      <c r="B641" s="25"/>
      <c r="C641" s="25"/>
      <c r="D641" s="25"/>
      <c r="E641" s="25"/>
      <c r="F641" s="25"/>
      <c r="G641" s="25"/>
      <c r="H641" s="25"/>
    </row>
    <row r="642">
      <c r="A642" s="25"/>
      <c r="B642" s="25"/>
      <c r="C642" s="25"/>
      <c r="D642" s="25"/>
      <c r="E642" s="25"/>
      <c r="F642" s="25"/>
      <c r="G642" s="25"/>
      <c r="H642" s="25"/>
    </row>
    <row r="643">
      <c r="A643" s="25"/>
      <c r="B643" s="25"/>
      <c r="C643" s="25"/>
      <c r="D643" s="25"/>
      <c r="E643" s="25"/>
      <c r="F643" s="25"/>
      <c r="G643" s="25"/>
      <c r="H643" s="25"/>
    </row>
    <row r="644">
      <c r="A644" s="25"/>
      <c r="B644" s="25"/>
      <c r="C644" s="25"/>
      <c r="D644" s="25"/>
      <c r="E644" s="25"/>
      <c r="F644" s="25"/>
      <c r="G644" s="25"/>
      <c r="H644" s="25"/>
    </row>
    <row r="645">
      <c r="A645" s="25"/>
      <c r="B645" s="25"/>
      <c r="C645" s="25"/>
      <c r="D645" s="25"/>
      <c r="E645" s="25"/>
      <c r="F645" s="25"/>
      <c r="G645" s="25"/>
      <c r="H645" s="25"/>
    </row>
    <row r="646">
      <c r="A646" s="25"/>
      <c r="B646" s="25"/>
      <c r="C646" s="25"/>
      <c r="D646" s="25"/>
      <c r="E646" s="25"/>
      <c r="F646" s="25"/>
      <c r="G646" s="25"/>
      <c r="H646" s="25"/>
    </row>
    <row r="647">
      <c r="A647" s="25"/>
      <c r="B647" s="25"/>
      <c r="C647" s="25"/>
      <c r="D647" s="25"/>
      <c r="E647" s="25"/>
      <c r="F647" s="25"/>
      <c r="G647" s="25"/>
      <c r="H647" s="25"/>
    </row>
    <row r="648">
      <c r="A648" s="25"/>
      <c r="B648" s="25"/>
      <c r="C648" s="25"/>
      <c r="D648" s="25"/>
      <c r="E648" s="25"/>
      <c r="F648" s="25"/>
      <c r="G648" s="25"/>
      <c r="H648" s="25"/>
    </row>
    <row r="649">
      <c r="A649" s="25"/>
      <c r="B649" s="25"/>
      <c r="C649" s="25"/>
      <c r="D649" s="25"/>
      <c r="E649" s="25"/>
      <c r="F649" s="25"/>
      <c r="G649" s="25"/>
      <c r="H649" s="25"/>
    </row>
    <row r="650">
      <c r="A650" s="25"/>
      <c r="B650" s="25"/>
      <c r="C650" s="25"/>
      <c r="D650" s="25"/>
      <c r="E650" s="25"/>
      <c r="F650" s="25"/>
      <c r="G650" s="25"/>
      <c r="H650" s="25"/>
    </row>
    <row r="651">
      <c r="A651" s="25"/>
      <c r="B651" s="25"/>
      <c r="C651" s="25"/>
      <c r="D651" s="25"/>
      <c r="E651" s="25"/>
      <c r="F651" s="25"/>
      <c r="G651" s="25"/>
      <c r="H651" s="25"/>
    </row>
    <row r="652">
      <c r="A652" s="25"/>
      <c r="B652" s="25"/>
      <c r="C652" s="25"/>
      <c r="D652" s="25"/>
      <c r="E652" s="25"/>
      <c r="F652" s="25"/>
      <c r="G652" s="25"/>
      <c r="H652" s="25"/>
    </row>
    <row r="653">
      <c r="A653" s="25"/>
      <c r="B653" s="25"/>
      <c r="C653" s="25"/>
      <c r="D653" s="25"/>
      <c r="E653" s="25"/>
      <c r="F653" s="25"/>
      <c r="G653" s="25"/>
      <c r="H653" s="25"/>
    </row>
    <row r="654">
      <c r="A654" s="25"/>
      <c r="B654" s="25"/>
      <c r="C654" s="25"/>
      <c r="D654" s="25"/>
      <c r="E654" s="25"/>
      <c r="F654" s="25"/>
      <c r="G654" s="25"/>
      <c r="H654" s="25"/>
    </row>
    <row r="655">
      <c r="A655" s="25"/>
      <c r="B655" s="25"/>
      <c r="C655" s="25"/>
      <c r="D655" s="25"/>
      <c r="E655" s="25"/>
      <c r="F655" s="25"/>
      <c r="G655" s="25"/>
      <c r="H655" s="25"/>
    </row>
    <row r="656">
      <c r="A656" s="25"/>
      <c r="B656" s="25"/>
      <c r="C656" s="25"/>
      <c r="D656" s="25"/>
      <c r="E656" s="25"/>
      <c r="F656" s="25"/>
      <c r="G656" s="25"/>
      <c r="H656" s="25"/>
    </row>
    <row r="657">
      <c r="A657" s="25"/>
      <c r="B657" s="25"/>
      <c r="C657" s="25"/>
      <c r="D657" s="25"/>
      <c r="E657" s="25"/>
      <c r="F657" s="25"/>
      <c r="G657" s="25"/>
      <c r="H657" s="25"/>
    </row>
    <row r="658">
      <c r="A658" s="25"/>
      <c r="B658" s="25"/>
      <c r="C658" s="25"/>
      <c r="D658" s="25"/>
      <c r="E658" s="25"/>
      <c r="F658" s="25"/>
      <c r="G658" s="25"/>
      <c r="H658" s="25"/>
    </row>
    <row r="659">
      <c r="A659" s="25"/>
      <c r="B659" s="25"/>
      <c r="C659" s="25"/>
      <c r="D659" s="25"/>
      <c r="E659" s="25"/>
      <c r="F659" s="25"/>
      <c r="G659" s="25"/>
      <c r="H659" s="25"/>
    </row>
    <row r="660">
      <c r="A660" s="25"/>
      <c r="B660" s="25"/>
      <c r="C660" s="25"/>
      <c r="D660" s="25"/>
      <c r="E660" s="25"/>
      <c r="F660" s="25"/>
      <c r="G660" s="25"/>
      <c r="H660" s="25"/>
    </row>
    <row r="661">
      <c r="A661" s="25"/>
      <c r="B661" s="25"/>
      <c r="C661" s="25"/>
      <c r="D661" s="25"/>
      <c r="E661" s="25"/>
      <c r="F661" s="25"/>
      <c r="G661" s="25"/>
      <c r="H661" s="25"/>
    </row>
    <row r="662">
      <c r="A662" s="25"/>
      <c r="B662" s="25"/>
      <c r="C662" s="25"/>
      <c r="D662" s="25"/>
      <c r="E662" s="25"/>
      <c r="F662" s="25"/>
      <c r="G662" s="25"/>
      <c r="H662" s="25"/>
    </row>
    <row r="663">
      <c r="A663" s="25"/>
      <c r="B663" s="25"/>
      <c r="C663" s="25"/>
      <c r="D663" s="25"/>
      <c r="E663" s="25"/>
      <c r="F663" s="25"/>
      <c r="G663" s="25"/>
      <c r="H663" s="25"/>
    </row>
    <row r="664">
      <c r="A664" s="25"/>
      <c r="B664" s="25"/>
      <c r="C664" s="25"/>
      <c r="D664" s="25"/>
      <c r="E664" s="25"/>
      <c r="F664" s="25"/>
      <c r="G664" s="25"/>
      <c r="H664" s="25"/>
    </row>
    <row r="665">
      <c r="A665" s="25"/>
      <c r="B665" s="25"/>
      <c r="C665" s="25"/>
      <c r="D665" s="25"/>
      <c r="E665" s="25"/>
      <c r="F665" s="25"/>
      <c r="G665" s="25"/>
      <c r="H665" s="25"/>
    </row>
    <row r="666">
      <c r="A666" s="25"/>
      <c r="B666" s="25"/>
      <c r="C666" s="25"/>
      <c r="D666" s="25"/>
      <c r="E666" s="25"/>
      <c r="F666" s="25"/>
      <c r="G666" s="25"/>
      <c r="H666" s="25"/>
    </row>
    <row r="667">
      <c r="A667" s="25"/>
      <c r="B667" s="25"/>
      <c r="C667" s="25"/>
      <c r="D667" s="25"/>
      <c r="E667" s="25"/>
      <c r="F667" s="25"/>
      <c r="G667" s="25"/>
      <c r="H667" s="25"/>
    </row>
    <row r="668">
      <c r="A668" s="25"/>
      <c r="B668" s="25"/>
      <c r="C668" s="25"/>
      <c r="D668" s="25"/>
      <c r="E668" s="25"/>
      <c r="F668" s="25"/>
      <c r="G668" s="25"/>
      <c r="H668" s="25"/>
    </row>
    <row r="669">
      <c r="A669" s="25"/>
      <c r="B669" s="25"/>
      <c r="C669" s="25"/>
      <c r="D669" s="25"/>
      <c r="E669" s="25"/>
      <c r="F669" s="25"/>
      <c r="G669" s="25"/>
      <c r="H669" s="25"/>
    </row>
    <row r="670">
      <c r="A670" s="25"/>
      <c r="B670" s="25"/>
      <c r="C670" s="25"/>
      <c r="D670" s="25"/>
      <c r="E670" s="25"/>
      <c r="F670" s="25"/>
      <c r="G670" s="25"/>
      <c r="H670" s="25"/>
    </row>
    <row r="671">
      <c r="A671" s="25"/>
      <c r="B671" s="25"/>
      <c r="C671" s="25"/>
      <c r="D671" s="25"/>
      <c r="E671" s="25"/>
      <c r="F671" s="25"/>
      <c r="G671" s="25"/>
      <c r="H671" s="25"/>
    </row>
    <row r="672">
      <c r="A672" s="25"/>
      <c r="B672" s="25"/>
      <c r="C672" s="25"/>
      <c r="D672" s="25"/>
      <c r="E672" s="25"/>
      <c r="F672" s="25"/>
      <c r="G672" s="25"/>
      <c r="H672" s="25"/>
    </row>
    <row r="673">
      <c r="A673" s="25"/>
      <c r="B673" s="25"/>
      <c r="C673" s="25"/>
      <c r="D673" s="25"/>
      <c r="E673" s="25"/>
      <c r="F673" s="25"/>
      <c r="G673" s="25"/>
      <c r="H673" s="25"/>
    </row>
    <row r="674">
      <c r="A674" s="25"/>
      <c r="B674" s="25"/>
      <c r="C674" s="25"/>
      <c r="D674" s="25"/>
      <c r="E674" s="25"/>
      <c r="F674" s="25"/>
      <c r="G674" s="25"/>
      <c r="H674" s="25"/>
    </row>
    <row r="675">
      <c r="A675" s="25"/>
      <c r="B675" s="25"/>
      <c r="C675" s="25"/>
      <c r="D675" s="25"/>
      <c r="E675" s="25"/>
      <c r="F675" s="25"/>
      <c r="G675" s="25"/>
      <c r="H675" s="25"/>
    </row>
    <row r="676">
      <c r="A676" s="25"/>
      <c r="B676" s="25"/>
      <c r="C676" s="25"/>
      <c r="D676" s="25"/>
      <c r="E676" s="25"/>
      <c r="F676" s="25"/>
      <c r="G676" s="25"/>
      <c r="H676" s="25"/>
    </row>
    <row r="677">
      <c r="A677" s="25"/>
      <c r="B677" s="25"/>
      <c r="C677" s="25"/>
      <c r="D677" s="25"/>
      <c r="E677" s="25"/>
      <c r="F677" s="25"/>
      <c r="G677" s="25"/>
      <c r="H677" s="25"/>
    </row>
    <row r="678">
      <c r="A678" s="25"/>
      <c r="B678" s="25"/>
      <c r="C678" s="25"/>
      <c r="D678" s="25"/>
      <c r="E678" s="25"/>
      <c r="F678" s="25"/>
      <c r="G678" s="25"/>
      <c r="H678" s="25"/>
    </row>
    <row r="679">
      <c r="A679" s="25"/>
      <c r="B679" s="25"/>
      <c r="C679" s="25"/>
      <c r="D679" s="25"/>
      <c r="E679" s="25"/>
      <c r="F679" s="25"/>
      <c r="G679" s="25"/>
      <c r="H679" s="25"/>
    </row>
    <row r="680">
      <c r="A680" s="25"/>
      <c r="B680" s="25"/>
      <c r="C680" s="25"/>
      <c r="D680" s="25"/>
      <c r="E680" s="25"/>
      <c r="F680" s="25"/>
      <c r="G680" s="25"/>
      <c r="H680" s="25"/>
    </row>
    <row r="681">
      <c r="A681" s="25"/>
      <c r="B681" s="25"/>
      <c r="C681" s="25"/>
      <c r="D681" s="25"/>
      <c r="E681" s="25"/>
      <c r="F681" s="25"/>
      <c r="G681" s="25"/>
      <c r="H681" s="25"/>
    </row>
    <row r="682">
      <c r="A682" s="25"/>
      <c r="B682" s="25"/>
      <c r="C682" s="25"/>
      <c r="D682" s="25"/>
      <c r="E682" s="25"/>
      <c r="F682" s="25"/>
      <c r="G682" s="25"/>
      <c r="H682" s="25"/>
    </row>
    <row r="683">
      <c r="A683" s="25"/>
      <c r="B683" s="25"/>
      <c r="C683" s="25"/>
      <c r="D683" s="25"/>
      <c r="E683" s="25"/>
      <c r="F683" s="25"/>
      <c r="G683" s="25"/>
      <c r="H683" s="25"/>
    </row>
    <row r="684">
      <c r="A684" s="25"/>
      <c r="B684" s="25"/>
      <c r="C684" s="25"/>
      <c r="D684" s="25"/>
      <c r="E684" s="25"/>
      <c r="F684" s="25"/>
      <c r="G684" s="25"/>
      <c r="H684" s="25"/>
    </row>
    <row r="685">
      <c r="A685" s="25"/>
      <c r="B685" s="25"/>
      <c r="C685" s="25"/>
      <c r="D685" s="25"/>
      <c r="E685" s="25"/>
      <c r="F685" s="25"/>
      <c r="G685" s="25"/>
      <c r="H685" s="25"/>
    </row>
    <row r="686">
      <c r="A686" s="25"/>
      <c r="B686" s="25"/>
      <c r="C686" s="25"/>
      <c r="D686" s="25"/>
      <c r="E686" s="25"/>
      <c r="F686" s="25"/>
      <c r="G686" s="25"/>
      <c r="H686" s="25"/>
    </row>
    <row r="687">
      <c r="A687" s="25"/>
      <c r="B687" s="25"/>
      <c r="C687" s="25"/>
      <c r="D687" s="25"/>
      <c r="E687" s="25"/>
      <c r="F687" s="25"/>
      <c r="G687" s="25"/>
      <c r="H687" s="25"/>
    </row>
    <row r="688">
      <c r="A688" s="25"/>
      <c r="B688" s="25"/>
      <c r="C688" s="25"/>
      <c r="D688" s="25"/>
      <c r="E688" s="25"/>
      <c r="F688" s="25"/>
      <c r="G688" s="25"/>
      <c r="H688" s="25"/>
    </row>
    <row r="689">
      <c r="A689" s="25"/>
      <c r="B689" s="25"/>
      <c r="C689" s="25"/>
      <c r="D689" s="25"/>
      <c r="E689" s="25"/>
      <c r="F689" s="25"/>
      <c r="G689" s="25"/>
      <c r="H689" s="25"/>
    </row>
    <row r="690">
      <c r="A690" s="25"/>
      <c r="B690" s="25"/>
      <c r="C690" s="25"/>
      <c r="D690" s="25"/>
      <c r="E690" s="25"/>
      <c r="F690" s="25"/>
      <c r="G690" s="25"/>
      <c r="H690" s="25"/>
    </row>
    <row r="691">
      <c r="A691" s="25"/>
      <c r="B691" s="25"/>
      <c r="C691" s="25"/>
      <c r="D691" s="25"/>
      <c r="E691" s="25"/>
      <c r="F691" s="25"/>
      <c r="G691" s="25"/>
      <c r="H691" s="25"/>
    </row>
    <row r="692">
      <c r="A692" s="25"/>
      <c r="B692" s="25"/>
      <c r="C692" s="25"/>
      <c r="D692" s="25"/>
      <c r="E692" s="25"/>
      <c r="F692" s="25"/>
      <c r="G692" s="25"/>
      <c r="H692" s="25"/>
    </row>
    <row r="693">
      <c r="A693" s="25"/>
      <c r="B693" s="25"/>
      <c r="C693" s="25"/>
      <c r="D693" s="25"/>
      <c r="E693" s="25"/>
      <c r="F693" s="25"/>
      <c r="G693" s="25"/>
      <c r="H693" s="25"/>
    </row>
    <row r="694">
      <c r="A694" s="25"/>
      <c r="B694" s="25"/>
      <c r="C694" s="25"/>
      <c r="D694" s="25"/>
      <c r="E694" s="25"/>
      <c r="F694" s="25"/>
      <c r="G694" s="25"/>
      <c r="H694" s="25"/>
    </row>
    <row r="695">
      <c r="A695" s="25"/>
      <c r="B695" s="25"/>
      <c r="C695" s="25"/>
      <c r="D695" s="25"/>
      <c r="E695" s="25"/>
      <c r="F695" s="25"/>
      <c r="G695" s="25"/>
      <c r="H695" s="25"/>
    </row>
    <row r="696">
      <c r="A696" s="25"/>
      <c r="B696" s="25"/>
      <c r="C696" s="25"/>
      <c r="D696" s="25"/>
      <c r="E696" s="25"/>
      <c r="F696" s="25"/>
      <c r="G696" s="25"/>
      <c r="H696" s="25"/>
    </row>
    <row r="697">
      <c r="A697" s="25"/>
      <c r="B697" s="25"/>
      <c r="C697" s="25"/>
      <c r="D697" s="25"/>
      <c r="E697" s="25"/>
      <c r="F697" s="25"/>
      <c r="G697" s="25"/>
      <c r="H697" s="25"/>
    </row>
    <row r="698">
      <c r="A698" s="25"/>
      <c r="B698" s="25"/>
      <c r="C698" s="25"/>
      <c r="D698" s="25"/>
      <c r="E698" s="25"/>
      <c r="F698" s="25"/>
      <c r="G698" s="25"/>
      <c r="H698" s="25"/>
    </row>
    <row r="699">
      <c r="A699" s="25"/>
      <c r="B699" s="25"/>
      <c r="C699" s="25"/>
      <c r="D699" s="25"/>
      <c r="E699" s="25"/>
      <c r="F699" s="25"/>
      <c r="G699" s="25"/>
      <c r="H699" s="25"/>
    </row>
    <row r="700">
      <c r="A700" s="25"/>
      <c r="B700" s="25"/>
      <c r="C700" s="25"/>
      <c r="D700" s="25"/>
      <c r="E700" s="25"/>
      <c r="F700" s="25"/>
      <c r="G700" s="25"/>
      <c r="H700" s="25"/>
    </row>
    <row r="701">
      <c r="A701" s="25"/>
      <c r="B701" s="25"/>
      <c r="C701" s="25"/>
      <c r="D701" s="25"/>
      <c r="E701" s="25"/>
      <c r="F701" s="25"/>
      <c r="G701" s="25"/>
      <c r="H701" s="25"/>
    </row>
    <row r="702">
      <c r="A702" s="25"/>
      <c r="B702" s="25"/>
      <c r="C702" s="25"/>
      <c r="D702" s="25"/>
      <c r="E702" s="25"/>
      <c r="F702" s="25"/>
      <c r="G702" s="25"/>
      <c r="H702" s="25"/>
    </row>
    <row r="703">
      <c r="A703" s="25"/>
      <c r="B703" s="25"/>
      <c r="C703" s="25"/>
      <c r="D703" s="25"/>
      <c r="E703" s="25"/>
      <c r="F703" s="25"/>
      <c r="G703" s="25"/>
      <c r="H703" s="25"/>
    </row>
    <row r="704">
      <c r="A704" s="25"/>
      <c r="B704" s="25"/>
      <c r="C704" s="25"/>
      <c r="D704" s="25"/>
      <c r="E704" s="25"/>
      <c r="F704" s="25"/>
      <c r="G704" s="25"/>
      <c r="H704" s="25"/>
    </row>
    <row r="705">
      <c r="A705" s="25"/>
      <c r="B705" s="25"/>
      <c r="C705" s="25"/>
      <c r="D705" s="25"/>
      <c r="E705" s="25"/>
      <c r="F705" s="25"/>
      <c r="G705" s="25"/>
      <c r="H705" s="25"/>
    </row>
    <row r="706">
      <c r="A706" s="25"/>
      <c r="B706" s="25"/>
      <c r="C706" s="25"/>
      <c r="D706" s="25"/>
      <c r="E706" s="25"/>
      <c r="F706" s="25"/>
      <c r="G706" s="25"/>
      <c r="H706" s="25"/>
    </row>
    <row r="707">
      <c r="A707" s="25"/>
      <c r="B707" s="25"/>
      <c r="C707" s="25"/>
      <c r="D707" s="25"/>
      <c r="E707" s="25"/>
      <c r="F707" s="25"/>
      <c r="G707" s="25"/>
      <c r="H707" s="25"/>
    </row>
    <row r="708">
      <c r="A708" s="25"/>
      <c r="B708" s="25"/>
      <c r="C708" s="25"/>
      <c r="D708" s="25"/>
      <c r="E708" s="25"/>
      <c r="F708" s="25"/>
      <c r="G708" s="25"/>
      <c r="H708" s="25"/>
    </row>
    <row r="709">
      <c r="A709" s="25"/>
      <c r="B709" s="25"/>
      <c r="C709" s="25"/>
      <c r="D709" s="25"/>
      <c r="E709" s="25"/>
      <c r="F709" s="25"/>
      <c r="G709" s="25"/>
      <c r="H709" s="25"/>
    </row>
    <row r="710">
      <c r="A710" s="25"/>
      <c r="B710" s="25"/>
      <c r="C710" s="25"/>
      <c r="D710" s="25"/>
      <c r="E710" s="25"/>
      <c r="F710" s="25"/>
      <c r="G710" s="25"/>
      <c r="H710" s="25"/>
    </row>
    <row r="711">
      <c r="A711" s="25"/>
      <c r="B711" s="25"/>
      <c r="C711" s="25"/>
      <c r="D711" s="25"/>
      <c r="E711" s="25"/>
      <c r="F711" s="25"/>
      <c r="G711" s="25"/>
      <c r="H711" s="25"/>
    </row>
    <row r="712">
      <c r="A712" s="25"/>
      <c r="B712" s="25"/>
      <c r="C712" s="25"/>
      <c r="D712" s="25"/>
      <c r="E712" s="25"/>
      <c r="F712" s="25"/>
      <c r="G712" s="25"/>
      <c r="H712" s="25"/>
    </row>
    <row r="713">
      <c r="A713" s="25"/>
      <c r="B713" s="25"/>
      <c r="C713" s="25"/>
      <c r="D713" s="25"/>
      <c r="E713" s="25"/>
      <c r="F713" s="25"/>
      <c r="G713" s="25"/>
      <c r="H713" s="25"/>
    </row>
    <row r="714">
      <c r="A714" s="25"/>
      <c r="B714" s="25"/>
      <c r="C714" s="25"/>
      <c r="D714" s="25"/>
      <c r="E714" s="25"/>
      <c r="F714" s="25"/>
      <c r="G714" s="25"/>
      <c r="H714" s="25"/>
    </row>
    <row r="715">
      <c r="A715" s="25"/>
      <c r="B715" s="25"/>
      <c r="C715" s="25"/>
      <c r="D715" s="25"/>
      <c r="E715" s="25"/>
      <c r="F715" s="25"/>
      <c r="G715" s="25"/>
      <c r="H715" s="25"/>
    </row>
    <row r="716">
      <c r="A716" s="25"/>
      <c r="B716" s="25"/>
      <c r="C716" s="25"/>
      <c r="D716" s="25"/>
      <c r="E716" s="25"/>
      <c r="F716" s="25"/>
      <c r="G716" s="25"/>
      <c r="H716" s="25"/>
    </row>
    <row r="717">
      <c r="A717" s="25"/>
      <c r="B717" s="25"/>
      <c r="C717" s="25"/>
      <c r="D717" s="25"/>
      <c r="E717" s="25"/>
      <c r="F717" s="25"/>
      <c r="G717" s="25"/>
      <c r="H717" s="25"/>
    </row>
    <row r="718">
      <c r="A718" s="25"/>
      <c r="B718" s="25"/>
      <c r="C718" s="25"/>
      <c r="D718" s="25"/>
      <c r="E718" s="25"/>
      <c r="F718" s="25"/>
      <c r="G718" s="25"/>
      <c r="H718" s="25"/>
    </row>
    <row r="719">
      <c r="A719" s="25"/>
      <c r="B719" s="25"/>
      <c r="C719" s="25"/>
      <c r="D719" s="25"/>
      <c r="E719" s="25"/>
      <c r="F719" s="25"/>
      <c r="G719" s="25"/>
      <c r="H719" s="25"/>
    </row>
    <row r="720">
      <c r="A720" s="25"/>
      <c r="B720" s="25"/>
      <c r="C720" s="25"/>
      <c r="D720" s="25"/>
      <c r="E720" s="25"/>
      <c r="F720" s="25"/>
      <c r="G720" s="25"/>
      <c r="H720" s="25"/>
    </row>
    <row r="721">
      <c r="A721" s="25"/>
      <c r="B721" s="25"/>
      <c r="C721" s="25"/>
      <c r="D721" s="25"/>
      <c r="E721" s="25"/>
      <c r="F721" s="25"/>
      <c r="G721" s="25"/>
      <c r="H721" s="25"/>
    </row>
    <row r="722">
      <c r="A722" s="25"/>
      <c r="B722" s="25"/>
      <c r="C722" s="25"/>
      <c r="D722" s="25"/>
      <c r="E722" s="25"/>
      <c r="F722" s="25"/>
      <c r="G722" s="25"/>
      <c r="H722" s="25"/>
    </row>
    <row r="723">
      <c r="A723" s="25"/>
      <c r="B723" s="25"/>
      <c r="C723" s="25"/>
      <c r="D723" s="25"/>
      <c r="E723" s="25"/>
      <c r="F723" s="25"/>
      <c r="G723" s="25"/>
      <c r="H723" s="25"/>
    </row>
    <row r="724">
      <c r="A724" s="25"/>
      <c r="B724" s="25"/>
      <c r="C724" s="25"/>
      <c r="D724" s="25"/>
      <c r="E724" s="25"/>
      <c r="F724" s="25"/>
      <c r="G724" s="25"/>
      <c r="H724" s="25"/>
    </row>
    <row r="725">
      <c r="A725" s="25"/>
      <c r="B725" s="25"/>
      <c r="C725" s="25"/>
      <c r="D725" s="25"/>
      <c r="E725" s="25"/>
      <c r="F725" s="25"/>
      <c r="G725" s="25"/>
      <c r="H725" s="25"/>
    </row>
    <row r="726">
      <c r="A726" s="25"/>
      <c r="B726" s="25"/>
      <c r="C726" s="25"/>
      <c r="D726" s="25"/>
      <c r="E726" s="25"/>
      <c r="F726" s="25"/>
      <c r="G726" s="25"/>
      <c r="H726" s="25"/>
    </row>
    <row r="727">
      <c r="A727" s="25"/>
      <c r="B727" s="25"/>
      <c r="C727" s="25"/>
      <c r="D727" s="25"/>
      <c r="E727" s="25"/>
      <c r="F727" s="25"/>
      <c r="G727" s="25"/>
      <c r="H727" s="25"/>
    </row>
    <row r="728">
      <c r="A728" s="25"/>
      <c r="B728" s="25"/>
      <c r="C728" s="25"/>
      <c r="D728" s="25"/>
      <c r="E728" s="25"/>
      <c r="F728" s="25"/>
      <c r="G728" s="25"/>
      <c r="H728" s="25"/>
    </row>
    <row r="729">
      <c r="A729" s="25"/>
      <c r="B729" s="25"/>
      <c r="C729" s="25"/>
      <c r="D729" s="25"/>
      <c r="E729" s="25"/>
      <c r="F729" s="25"/>
      <c r="G729" s="25"/>
      <c r="H729" s="25"/>
    </row>
    <row r="730">
      <c r="A730" s="25"/>
      <c r="B730" s="25"/>
      <c r="C730" s="25"/>
      <c r="D730" s="25"/>
      <c r="E730" s="25"/>
      <c r="F730" s="25"/>
      <c r="G730" s="25"/>
      <c r="H730" s="25"/>
    </row>
    <row r="731">
      <c r="A731" s="25"/>
      <c r="B731" s="25"/>
      <c r="C731" s="25"/>
      <c r="D731" s="25"/>
      <c r="E731" s="25"/>
      <c r="F731" s="25"/>
      <c r="G731" s="25"/>
      <c r="H731" s="25"/>
    </row>
    <row r="732">
      <c r="A732" s="25"/>
      <c r="B732" s="25"/>
      <c r="C732" s="25"/>
      <c r="D732" s="25"/>
      <c r="E732" s="25"/>
      <c r="F732" s="25"/>
      <c r="G732" s="25"/>
      <c r="H732" s="25"/>
    </row>
    <row r="733">
      <c r="A733" s="25"/>
      <c r="B733" s="25"/>
      <c r="C733" s="25"/>
      <c r="D733" s="25"/>
      <c r="E733" s="25"/>
      <c r="F733" s="25"/>
      <c r="G733" s="25"/>
      <c r="H733" s="25"/>
    </row>
    <row r="734">
      <c r="A734" s="25"/>
      <c r="B734" s="25"/>
      <c r="C734" s="25"/>
      <c r="D734" s="25"/>
      <c r="E734" s="25"/>
      <c r="F734" s="25"/>
      <c r="G734" s="25"/>
      <c r="H734" s="25"/>
    </row>
    <row r="735">
      <c r="A735" s="25"/>
      <c r="B735" s="25"/>
      <c r="C735" s="25"/>
      <c r="D735" s="25"/>
      <c r="E735" s="25"/>
      <c r="F735" s="25"/>
      <c r="G735" s="25"/>
      <c r="H735" s="25"/>
    </row>
    <row r="736">
      <c r="A736" s="25"/>
      <c r="B736" s="25"/>
      <c r="C736" s="25"/>
      <c r="D736" s="25"/>
      <c r="E736" s="25"/>
      <c r="F736" s="25"/>
      <c r="G736" s="25"/>
      <c r="H736" s="25"/>
    </row>
    <row r="737">
      <c r="A737" s="25"/>
      <c r="B737" s="25"/>
      <c r="C737" s="25"/>
      <c r="D737" s="25"/>
      <c r="E737" s="25"/>
      <c r="F737" s="25"/>
      <c r="G737" s="25"/>
      <c r="H737" s="25"/>
    </row>
    <row r="738">
      <c r="A738" s="25"/>
      <c r="B738" s="25"/>
      <c r="C738" s="25"/>
      <c r="D738" s="25"/>
      <c r="E738" s="25"/>
      <c r="F738" s="25"/>
      <c r="G738" s="25"/>
      <c r="H738" s="25"/>
    </row>
    <row r="739">
      <c r="A739" s="25"/>
      <c r="B739" s="25"/>
      <c r="C739" s="25"/>
      <c r="D739" s="25"/>
      <c r="E739" s="25"/>
      <c r="F739" s="25"/>
      <c r="G739" s="25"/>
      <c r="H739" s="25"/>
    </row>
    <row r="740">
      <c r="A740" s="25"/>
      <c r="B740" s="25"/>
      <c r="C740" s="25"/>
      <c r="D740" s="25"/>
      <c r="E740" s="25"/>
      <c r="F740" s="25"/>
      <c r="G740" s="25"/>
      <c r="H740" s="25"/>
    </row>
    <row r="741">
      <c r="A741" s="25"/>
      <c r="B741" s="25"/>
      <c r="C741" s="25"/>
      <c r="D741" s="25"/>
      <c r="E741" s="25"/>
      <c r="F741" s="25"/>
      <c r="G741" s="25"/>
      <c r="H741" s="25"/>
    </row>
    <row r="742">
      <c r="A742" s="25"/>
      <c r="B742" s="25"/>
      <c r="C742" s="25"/>
      <c r="D742" s="25"/>
      <c r="E742" s="25"/>
      <c r="F742" s="25"/>
      <c r="G742" s="25"/>
      <c r="H742" s="25"/>
    </row>
    <row r="743">
      <c r="A743" s="25"/>
      <c r="B743" s="25"/>
      <c r="C743" s="25"/>
      <c r="D743" s="25"/>
      <c r="E743" s="25"/>
      <c r="F743" s="25"/>
      <c r="G743" s="25"/>
      <c r="H743" s="25"/>
    </row>
    <row r="744">
      <c r="A744" s="25"/>
      <c r="B744" s="25"/>
      <c r="C744" s="25"/>
      <c r="D744" s="25"/>
      <c r="E744" s="25"/>
      <c r="F744" s="25"/>
      <c r="G744" s="25"/>
      <c r="H744" s="25"/>
    </row>
    <row r="745">
      <c r="A745" s="25"/>
      <c r="B745" s="25"/>
      <c r="C745" s="25"/>
      <c r="D745" s="25"/>
      <c r="E745" s="25"/>
      <c r="F745" s="25"/>
      <c r="G745" s="25"/>
      <c r="H745" s="25"/>
    </row>
    <row r="746">
      <c r="A746" s="25"/>
      <c r="B746" s="25"/>
      <c r="C746" s="25"/>
      <c r="D746" s="25"/>
      <c r="E746" s="25"/>
      <c r="F746" s="25"/>
      <c r="G746" s="25"/>
      <c r="H746" s="25"/>
    </row>
    <row r="747">
      <c r="A747" s="25"/>
      <c r="B747" s="25"/>
      <c r="C747" s="25"/>
      <c r="D747" s="25"/>
      <c r="E747" s="25"/>
      <c r="F747" s="25"/>
      <c r="G747" s="25"/>
      <c r="H747" s="25"/>
    </row>
    <row r="748">
      <c r="A748" s="25"/>
      <c r="B748" s="25"/>
      <c r="C748" s="25"/>
      <c r="D748" s="25"/>
      <c r="E748" s="25"/>
      <c r="F748" s="25"/>
      <c r="G748" s="25"/>
      <c r="H748" s="25"/>
    </row>
    <row r="749">
      <c r="A749" s="25"/>
      <c r="B749" s="25"/>
      <c r="C749" s="25"/>
      <c r="D749" s="25"/>
      <c r="E749" s="25"/>
      <c r="F749" s="25"/>
      <c r="G749" s="25"/>
      <c r="H749" s="25"/>
    </row>
    <row r="750">
      <c r="A750" s="25"/>
      <c r="B750" s="25"/>
      <c r="C750" s="25"/>
      <c r="D750" s="25"/>
      <c r="E750" s="25"/>
      <c r="F750" s="25"/>
      <c r="G750" s="25"/>
      <c r="H750" s="25"/>
    </row>
    <row r="751">
      <c r="A751" s="25"/>
      <c r="B751" s="25"/>
      <c r="C751" s="25"/>
      <c r="D751" s="25"/>
      <c r="E751" s="25"/>
      <c r="F751" s="25"/>
      <c r="G751" s="25"/>
      <c r="H751" s="25"/>
    </row>
    <row r="752">
      <c r="A752" s="25"/>
      <c r="B752" s="25"/>
      <c r="C752" s="25"/>
      <c r="D752" s="25"/>
      <c r="E752" s="25"/>
      <c r="F752" s="25"/>
      <c r="G752" s="25"/>
      <c r="H752" s="25"/>
    </row>
    <row r="753">
      <c r="A753" s="25"/>
      <c r="B753" s="25"/>
      <c r="C753" s="25"/>
      <c r="D753" s="25"/>
      <c r="E753" s="25"/>
      <c r="F753" s="25"/>
      <c r="G753" s="25"/>
      <c r="H753" s="25"/>
    </row>
    <row r="754">
      <c r="A754" s="25"/>
      <c r="B754" s="25"/>
      <c r="C754" s="25"/>
      <c r="D754" s="25"/>
      <c r="E754" s="25"/>
      <c r="F754" s="25"/>
      <c r="G754" s="25"/>
      <c r="H754" s="25"/>
    </row>
    <row r="755">
      <c r="A755" s="25"/>
      <c r="B755" s="25"/>
      <c r="C755" s="25"/>
      <c r="D755" s="25"/>
      <c r="E755" s="25"/>
      <c r="F755" s="25"/>
      <c r="G755" s="25"/>
      <c r="H755" s="25"/>
    </row>
    <row r="756">
      <c r="A756" s="25"/>
      <c r="B756" s="25"/>
      <c r="C756" s="25"/>
      <c r="D756" s="25"/>
      <c r="E756" s="25"/>
      <c r="F756" s="25"/>
      <c r="G756" s="25"/>
      <c r="H756" s="25"/>
    </row>
    <row r="757">
      <c r="A757" s="25"/>
      <c r="B757" s="25"/>
      <c r="C757" s="25"/>
      <c r="D757" s="25"/>
      <c r="E757" s="25"/>
      <c r="F757" s="25"/>
      <c r="G757" s="25"/>
      <c r="H757" s="25"/>
    </row>
    <row r="758">
      <c r="A758" s="25"/>
      <c r="B758" s="25"/>
      <c r="C758" s="25"/>
      <c r="D758" s="25"/>
      <c r="E758" s="25"/>
      <c r="F758" s="25"/>
      <c r="G758" s="25"/>
      <c r="H758" s="25"/>
    </row>
    <row r="759">
      <c r="A759" s="25"/>
      <c r="B759" s="25"/>
      <c r="C759" s="25"/>
      <c r="D759" s="25"/>
      <c r="E759" s="25"/>
      <c r="F759" s="25"/>
      <c r="G759" s="25"/>
      <c r="H759" s="25"/>
    </row>
    <row r="760">
      <c r="A760" s="25"/>
      <c r="B760" s="25"/>
      <c r="C760" s="25"/>
      <c r="D760" s="25"/>
      <c r="E760" s="25"/>
      <c r="F760" s="25"/>
      <c r="G760" s="25"/>
      <c r="H760" s="25"/>
    </row>
    <row r="761">
      <c r="A761" s="25"/>
      <c r="B761" s="25"/>
      <c r="C761" s="25"/>
      <c r="D761" s="25"/>
      <c r="E761" s="25"/>
      <c r="F761" s="25"/>
      <c r="G761" s="25"/>
      <c r="H761" s="25"/>
    </row>
    <row r="762">
      <c r="A762" s="25"/>
      <c r="B762" s="25"/>
      <c r="C762" s="25"/>
      <c r="D762" s="25"/>
      <c r="E762" s="25"/>
      <c r="F762" s="25"/>
      <c r="G762" s="25"/>
      <c r="H762" s="25"/>
    </row>
    <row r="763">
      <c r="A763" s="25"/>
      <c r="B763" s="25"/>
      <c r="C763" s="25"/>
      <c r="D763" s="25"/>
      <c r="E763" s="25"/>
      <c r="F763" s="25"/>
      <c r="G763" s="25"/>
      <c r="H763" s="25"/>
    </row>
    <row r="764">
      <c r="A764" s="25"/>
      <c r="B764" s="25"/>
      <c r="C764" s="25"/>
      <c r="D764" s="25"/>
      <c r="E764" s="25"/>
      <c r="F764" s="25"/>
      <c r="G764" s="25"/>
      <c r="H764" s="25"/>
    </row>
    <row r="765">
      <c r="A765" s="25"/>
      <c r="B765" s="25"/>
      <c r="C765" s="25"/>
      <c r="D765" s="25"/>
      <c r="E765" s="25"/>
      <c r="F765" s="25"/>
      <c r="G765" s="25"/>
      <c r="H765" s="25"/>
    </row>
    <row r="766">
      <c r="A766" s="25"/>
      <c r="B766" s="25"/>
      <c r="C766" s="25"/>
      <c r="D766" s="25"/>
      <c r="E766" s="25"/>
      <c r="F766" s="25"/>
      <c r="G766" s="25"/>
      <c r="H766" s="25"/>
    </row>
    <row r="767">
      <c r="A767" s="25"/>
      <c r="B767" s="25"/>
      <c r="C767" s="25"/>
      <c r="D767" s="25"/>
      <c r="E767" s="25"/>
      <c r="F767" s="25"/>
      <c r="G767" s="25"/>
      <c r="H767" s="25"/>
    </row>
    <row r="768">
      <c r="A768" s="25"/>
      <c r="B768" s="25"/>
      <c r="C768" s="25"/>
      <c r="D768" s="25"/>
      <c r="E768" s="25"/>
      <c r="F768" s="25"/>
      <c r="G768" s="25"/>
      <c r="H768" s="25"/>
    </row>
    <row r="769">
      <c r="A769" s="25"/>
      <c r="B769" s="25"/>
      <c r="C769" s="25"/>
      <c r="D769" s="25"/>
      <c r="E769" s="25"/>
      <c r="F769" s="25"/>
      <c r="G769" s="25"/>
      <c r="H769" s="25"/>
    </row>
    <row r="770">
      <c r="A770" s="25"/>
      <c r="B770" s="25"/>
      <c r="C770" s="25"/>
      <c r="D770" s="25"/>
      <c r="E770" s="25"/>
      <c r="F770" s="25"/>
      <c r="G770" s="25"/>
      <c r="H770" s="25"/>
    </row>
    <row r="771">
      <c r="A771" s="25"/>
      <c r="B771" s="25"/>
      <c r="C771" s="25"/>
      <c r="D771" s="25"/>
      <c r="E771" s="25"/>
      <c r="F771" s="25"/>
      <c r="G771" s="25"/>
      <c r="H771" s="25"/>
    </row>
    <row r="772">
      <c r="A772" s="25"/>
      <c r="B772" s="25"/>
      <c r="C772" s="25"/>
      <c r="D772" s="25"/>
      <c r="E772" s="25"/>
      <c r="F772" s="25"/>
      <c r="G772" s="25"/>
      <c r="H772" s="25"/>
    </row>
    <row r="773">
      <c r="A773" s="25"/>
      <c r="B773" s="25"/>
      <c r="C773" s="25"/>
      <c r="D773" s="25"/>
      <c r="E773" s="25"/>
      <c r="F773" s="25"/>
      <c r="G773" s="25"/>
      <c r="H773" s="25"/>
    </row>
    <row r="774">
      <c r="A774" s="25"/>
      <c r="B774" s="25"/>
      <c r="C774" s="25"/>
      <c r="D774" s="25"/>
      <c r="E774" s="25"/>
      <c r="F774" s="25"/>
      <c r="G774" s="25"/>
      <c r="H774" s="25"/>
    </row>
    <row r="775">
      <c r="A775" s="25"/>
      <c r="B775" s="25"/>
      <c r="C775" s="25"/>
      <c r="D775" s="25"/>
      <c r="E775" s="25"/>
      <c r="F775" s="25"/>
      <c r="G775" s="25"/>
      <c r="H775" s="25"/>
    </row>
    <row r="776">
      <c r="A776" s="25"/>
      <c r="B776" s="25"/>
      <c r="C776" s="25"/>
      <c r="D776" s="25"/>
      <c r="E776" s="25"/>
      <c r="F776" s="25"/>
      <c r="G776" s="25"/>
      <c r="H776" s="25"/>
    </row>
    <row r="777">
      <c r="A777" s="25"/>
      <c r="B777" s="25"/>
      <c r="C777" s="25"/>
      <c r="D777" s="25"/>
      <c r="E777" s="25"/>
      <c r="F777" s="25"/>
      <c r="G777" s="25"/>
      <c r="H777" s="25"/>
    </row>
    <row r="778">
      <c r="A778" s="25"/>
      <c r="B778" s="25"/>
      <c r="C778" s="25"/>
      <c r="D778" s="25"/>
      <c r="E778" s="25"/>
      <c r="F778" s="25"/>
      <c r="G778" s="25"/>
      <c r="H778" s="25"/>
    </row>
    <row r="779">
      <c r="A779" s="25"/>
      <c r="B779" s="25"/>
      <c r="C779" s="25"/>
      <c r="D779" s="25"/>
      <c r="E779" s="25"/>
      <c r="F779" s="25"/>
      <c r="G779" s="25"/>
      <c r="H779" s="25"/>
    </row>
    <row r="780">
      <c r="A780" s="25"/>
      <c r="B780" s="25"/>
      <c r="C780" s="25"/>
      <c r="D780" s="25"/>
      <c r="E780" s="25"/>
      <c r="F780" s="25"/>
      <c r="G780" s="25"/>
      <c r="H780" s="25"/>
    </row>
    <row r="781">
      <c r="A781" s="25"/>
      <c r="B781" s="25"/>
      <c r="C781" s="25"/>
      <c r="D781" s="25"/>
      <c r="E781" s="25"/>
      <c r="F781" s="25"/>
      <c r="G781" s="25"/>
      <c r="H781" s="25"/>
    </row>
    <row r="782">
      <c r="A782" s="25"/>
      <c r="B782" s="25"/>
      <c r="C782" s="25"/>
      <c r="D782" s="25"/>
      <c r="E782" s="25"/>
      <c r="F782" s="25"/>
      <c r="G782" s="25"/>
      <c r="H782" s="25"/>
    </row>
    <row r="783">
      <c r="A783" s="25"/>
      <c r="B783" s="25"/>
      <c r="C783" s="25"/>
      <c r="D783" s="25"/>
      <c r="E783" s="25"/>
      <c r="F783" s="25"/>
      <c r="G783" s="25"/>
      <c r="H783" s="25"/>
    </row>
    <row r="784">
      <c r="A784" s="25"/>
      <c r="B784" s="25"/>
      <c r="C784" s="25"/>
      <c r="D784" s="25"/>
      <c r="E784" s="25"/>
      <c r="F784" s="25"/>
      <c r="G784" s="25"/>
      <c r="H784" s="25"/>
    </row>
    <row r="785">
      <c r="A785" s="25"/>
      <c r="B785" s="25"/>
      <c r="C785" s="25"/>
      <c r="D785" s="25"/>
      <c r="E785" s="25"/>
      <c r="F785" s="25"/>
      <c r="G785" s="25"/>
      <c r="H785" s="25"/>
    </row>
    <row r="786">
      <c r="A786" s="25"/>
      <c r="B786" s="25"/>
      <c r="C786" s="25"/>
      <c r="D786" s="25"/>
      <c r="E786" s="25"/>
      <c r="F786" s="25"/>
      <c r="G786" s="25"/>
      <c r="H786" s="25"/>
    </row>
    <row r="787">
      <c r="A787" s="25"/>
      <c r="B787" s="25"/>
      <c r="C787" s="25"/>
      <c r="D787" s="25"/>
      <c r="E787" s="25"/>
      <c r="F787" s="25"/>
      <c r="G787" s="25"/>
      <c r="H787" s="25"/>
    </row>
    <row r="788">
      <c r="A788" s="25"/>
      <c r="B788" s="25"/>
      <c r="C788" s="25"/>
      <c r="D788" s="25"/>
      <c r="E788" s="25"/>
      <c r="F788" s="25"/>
      <c r="G788" s="25"/>
      <c r="H788" s="25"/>
    </row>
    <row r="789">
      <c r="A789" s="25"/>
      <c r="B789" s="25"/>
      <c r="C789" s="25"/>
      <c r="D789" s="25"/>
      <c r="E789" s="25"/>
      <c r="F789" s="25"/>
      <c r="G789" s="25"/>
      <c r="H789" s="25"/>
    </row>
    <row r="790">
      <c r="A790" s="25"/>
      <c r="B790" s="25"/>
      <c r="C790" s="25"/>
      <c r="D790" s="25"/>
      <c r="E790" s="25"/>
      <c r="F790" s="25"/>
      <c r="G790" s="25"/>
      <c r="H790" s="25"/>
    </row>
    <row r="791">
      <c r="A791" s="25"/>
      <c r="B791" s="25"/>
      <c r="C791" s="25"/>
      <c r="D791" s="25"/>
      <c r="E791" s="25"/>
      <c r="F791" s="25"/>
      <c r="G791" s="25"/>
      <c r="H791" s="25"/>
    </row>
    <row r="792">
      <c r="A792" s="25"/>
      <c r="B792" s="25"/>
      <c r="C792" s="25"/>
      <c r="D792" s="25"/>
      <c r="E792" s="25"/>
      <c r="F792" s="25"/>
      <c r="G792" s="25"/>
      <c r="H792" s="25"/>
    </row>
    <row r="793">
      <c r="A793" s="25"/>
      <c r="B793" s="25"/>
      <c r="C793" s="25"/>
      <c r="D793" s="25"/>
      <c r="E793" s="25"/>
      <c r="F793" s="25"/>
      <c r="G793" s="25"/>
      <c r="H793" s="25"/>
    </row>
    <row r="794">
      <c r="A794" s="25"/>
      <c r="B794" s="25"/>
      <c r="C794" s="25"/>
      <c r="D794" s="25"/>
      <c r="E794" s="25"/>
      <c r="F794" s="25"/>
      <c r="G794" s="25"/>
      <c r="H794" s="25"/>
    </row>
    <row r="795">
      <c r="A795" s="25"/>
      <c r="B795" s="25"/>
      <c r="C795" s="25"/>
      <c r="D795" s="25"/>
      <c r="E795" s="25"/>
      <c r="F795" s="25"/>
      <c r="G795" s="25"/>
      <c r="H795" s="25"/>
    </row>
    <row r="796">
      <c r="A796" s="25"/>
      <c r="B796" s="25"/>
      <c r="C796" s="25"/>
      <c r="D796" s="25"/>
      <c r="E796" s="25"/>
      <c r="F796" s="25"/>
      <c r="G796" s="25"/>
      <c r="H796" s="25"/>
    </row>
    <row r="797">
      <c r="A797" s="25"/>
      <c r="B797" s="25"/>
      <c r="C797" s="25"/>
      <c r="D797" s="25"/>
      <c r="E797" s="25"/>
      <c r="F797" s="25"/>
      <c r="G797" s="25"/>
      <c r="H797" s="25"/>
    </row>
    <row r="798">
      <c r="A798" s="25"/>
      <c r="B798" s="25"/>
      <c r="C798" s="25"/>
      <c r="D798" s="25"/>
      <c r="E798" s="25"/>
      <c r="F798" s="25"/>
      <c r="G798" s="25"/>
      <c r="H798" s="25"/>
    </row>
    <row r="799">
      <c r="A799" s="25"/>
      <c r="B799" s="25"/>
      <c r="C799" s="25"/>
      <c r="D799" s="25"/>
      <c r="E799" s="25"/>
      <c r="F799" s="25"/>
      <c r="G799" s="25"/>
      <c r="H799" s="25"/>
    </row>
    <row r="800">
      <c r="A800" s="25"/>
      <c r="B800" s="25"/>
      <c r="C800" s="25"/>
      <c r="D800" s="25"/>
      <c r="E800" s="25"/>
      <c r="F800" s="25"/>
      <c r="G800" s="25"/>
      <c r="H800" s="25"/>
    </row>
    <row r="801">
      <c r="A801" s="25"/>
      <c r="B801" s="25"/>
      <c r="C801" s="25"/>
      <c r="D801" s="25"/>
      <c r="E801" s="25"/>
      <c r="F801" s="25"/>
      <c r="G801" s="25"/>
      <c r="H801" s="25"/>
    </row>
    <row r="802">
      <c r="A802" s="25"/>
      <c r="B802" s="25"/>
      <c r="C802" s="25"/>
      <c r="D802" s="25"/>
      <c r="E802" s="25"/>
      <c r="F802" s="25"/>
      <c r="G802" s="25"/>
      <c r="H802" s="25"/>
    </row>
    <row r="803">
      <c r="A803" s="25"/>
      <c r="B803" s="25"/>
      <c r="C803" s="25"/>
      <c r="D803" s="25"/>
      <c r="E803" s="25"/>
      <c r="F803" s="25"/>
      <c r="G803" s="25"/>
      <c r="H803" s="25"/>
    </row>
    <row r="804">
      <c r="A804" s="25"/>
      <c r="B804" s="25"/>
      <c r="C804" s="25"/>
      <c r="D804" s="25"/>
      <c r="E804" s="25"/>
      <c r="F804" s="25"/>
      <c r="G804" s="25"/>
      <c r="H804" s="25"/>
    </row>
    <row r="805">
      <c r="A805" s="25"/>
      <c r="B805" s="25"/>
      <c r="C805" s="25"/>
      <c r="D805" s="25"/>
      <c r="E805" s="25"/>
      <c r="F805" s="25"/>
      <c r="G805" s="25"/>
      <c r="H805" s="25"/>
    </row>
    <row r="806">
      <c r="A806" s="25"/>
      <c r="B806" s="25"/>
      <c r="C806" s="25"/>
      <c r="D806" s="25"/>
      <c r="E806" s="25"/>
      <c r="F806" s="25"/>
      <c r="G806" s="25"/>
      <c r="H806" s="25"/>
    </row>
    <row r="807">
      <c r="A807" s="25"/>
      <c r="B807" s="25"/>
      <c r="C807" s="25"/>
      <c r="D807" s="25"/>
      <c r="E807" s="25"/>
      <c r="F807" s="25"/>
      <c r="G807" s="25"/>
      <c r="H807" s="25"/>
    </row>
    <row r="808">
      <c r="A808" s="25"/>
      <c r="B808" s="25"/>
      <c r="C808" s="25"/>
      <c r="D808" s="25"/>
      <c r="E808" s="25"/>
      <c r="F808" s="25"/>
      <c r="G808" s="25"/>
      <c r="H808" s="25"/>
    </row>
    <row r="809">
      <c r="A809" s="25"/>
      <c r="B809" s="25"/>
      <c r="C809" s="25"/>
      <c r="D809" s="25"/>
      <c r="E809" s="25"/>
      <c r="F809" s="25"/>
      <c r="G809" s="25"/>
      <c r="H809" s="25"/>
    </row>
    <row r="810">
      <c r="A810" s="25"/>
      <c r="B810" s="25"/>
      <c r="C810" s="25"/>
      <c r="D810" s="25"/>
      <c r="E810" s="25"/>
      <c r="F810" s="25"/>
      <c r="G810" s="25"/>
      <c r="H810" s="25"/>
    </row>
    <row r="811">
      <c r="A811" s="25"/>
      <c r="B811" s="25"/>
      <c r="C811" s="25"/>
      <c r="D811" s="25"/>
      <c r="E811" s="25"/>
      <c r="F811" s="25"/>
      <c r="G811" s="25"/>
      <c r="H811" s="25"/>
    </row>
    <row r="812">
      <c r="A812" s="25"/>
      <c r="B812" s="25"/>
      <c r="C812" s="25"/>
      <c r="D812" s="25"/>
      <c r="E812" s="25"/>
      <c r="F812" s="25"/>
      <c r="G812" s="25"/>
      <c r="H812" s="25"/>
    </row>
    <row r="813">
      <c r="A813" s="25"/>
      <c r="B813" s="25"/>
      <c r="C813" s="25"/>
      <c r="D813" s="25"/>
      <c r="E813" s="25"/>
      <c r="F813" s="25"/>
      <c r="G813" s="25"/>
      <c r="H813" s="25"/>
    </row>
    <row r="814">
      <c r="A814" s="25"/>
      <c r="B814" s="25"/>
      <c r="C814" s="25"/>
      <c r="D814" s="25"/>
      <c r="E814" s="25"/>
      <c r="F814" s="25"/>
      <c r="G814" s="25"/>
      <c r="H814" s="25"/>
    </row>
    <row r="815">
      <c r="A815" s="25"/>
      <c r="B815" s="25"/>
      <c r="C815" s="25"/>
      <c r="D815" s="25"/>
      <c r="E815" s="25"/>
      <c r="F815" s="25"/>
      <c r="G815" s="25"/>
      <c r="H815" s="25"/>
    </row>
    <row r="816">
      <c r="A816" s="25"/>
      <c r="B816" s="25"/>
      <c r="C816" s="25"/>
      <c r="D816" s="25"/>
      <c r="E816" s="25"/>
      <c r="F816" s="25"/>
      <c r="G816" s="25"/>
      <c r="H816" s="25"/>
    </row>
    <row r="817">
      <c r="A817" s="25"/>
      <c r="B817" s="25"/>
      <c r="C817" s="25"/>
      <c r="D817" s="25"/>
      <c r="E817" s="25"/>
      <c r="F817" s="25"/>
      <c r="G817" s="25"/>
      <c r="H817" s="25"/>
    </row>
    <row r="818">
      <c r="A818" s="25"/>
      <c r="B818" s="25"/>
      <c r="C818" s="25"/>
      <c r="D818" s="25"/>
      <c r="E818" s="25"/>
      <c r="F818" s="25"/>
      <c r="G818" s="25"/>
      <c r="H818" s="25"/>
    </row>
    <row r="819">
      <c r="A819" s="25"/>
      <c r="B819" s="25"/>
      <c r="C819" s="25"/>
      <c r="D819" s="25"/>
      <c r="E819" s="25"/>
      <c r="F819" s="25"/>
      <c r="G819" s="25"/>
      <c r="H819" s="25"/>
    </row>
    <row r="820">
      <c r="A820" s="25"/>
      <c r="B820" s="25"/>
      <c r="C820" s="25"/>
      <c r="D820" s="25"/>
      <c r="E820" s="25"/>
      <c r="F820" s="25"/>
      <c r="G820" s="25"/>
      <c r="H820" s="25"/>
    </row>
    <row r="821">
      <c r="A821" s="25"/>
      <c r="B821" s="25"/>
      <c r="C821" s="25"/>
      <c r="D821" s="25"/>
      <c r="E821" s="25"/>
      <c r="F821" s="25"/>
      <c r="G821" s="25"/>
      <c r="H821" s="25"/>
    </row>
    <row r="822">
      <c r="A822" s="25"/>
      <c r="B822" s="25"/>
      <c r="C822" s="25"/>
      <c r="D822" s="25"/>
      <c r="E822" s="25"/>
      <c r="F822" s="25"/>
      <c r="G822" s="25"/>
      <c r="H822" s="25"/>
    </row>
    <row r="823">
      <c r="A823" s="25"/>
      <c r="B823" s="25"/>
      <c r="C823" s="25"/>
      <c r="D823" s="25"/>
      <c r="E823" s="25"/>
      <c r="F823" s="25"/>
      <c r="G823" s="25"/>
      <c r="H823" s="25"/>
    </row>
    <row r="824">
      <c r="A824" s="25"/>
      <c r="B824" s="25"/>
      <c r="C824" s="25"/>
      <c r="D824" s="25"/>
      <c r="E824" s="25"/>
      <c r="F824" s="25"/>
      <c r="G824" s="25"/>
      <c r="H824" s="25"/>
    </row>
    <row r="825">
      <c r="A825" s="25"/>
      <c r="B825" s="25"/>
      <c r="C825" s="25"/>
      <c r="D825" s="25"/>
      <c r="E825" s="25"/>
      <c r="F825" s="25"/>
      <c r="G825" s="25"/>
      <c r="H825" s="25"/>
    </row>
    <row r="826">
      <c r="A826" s="25"/>
      <c r="B826" s="25"/>
      <c r="C826" s="25"/>
      <c r="D826" s="25"/>
      <c r="E826" s="25"/>
      <c r="F826" s="25"/>
      <c r="G826" s="25"/>
      <c r="H826" s="25"/>
    </row>
    <row r="827">
      <c r="A827" s="25"/>
      <c r="B827" s="25"/>
      <c r="C827" s="25"/>
      <c r="D827" s="25"/>
      <c r="E827" s="25"/>
      <c r="F827" s="25"/>
      <c r="G827" s="25"/>
      <c r="H827" s="25"/>
    </row>
    <row r="828">
      <c r="A828" s="25"/>
      <c r="B828" s="25"/>
      <c r="C828" s="25"/>
      <c r="D828" s="25"/>
      <c r="E828" s="25"/>
      <c r="F828" s="25"/>
      <c r="G828" s="25"/>
      <c r="H828" s="25"/>
    </row>
    <row r="829">
      <c r="A829" s="25"/>
      <c r="B829" s="25"/>
      <c r="C829" s="25"/>
      <c r="D829" s="25"/>
      <c r="E829" s="25"/>
      <c r="F829" s="25"/>
      <c r="G829" s="25"/>
      <c r="H829" s="25"/>
    </row>
    <row r="830">
      <c r="A830" s="25"/>
      <c r="B830" s="25"/>
      <c r="C830" s="25"/>
      <c r="D830" s="25"/>
      <c r="E830" s="25"/>
      <c r="F830" s="25"/>
      <c r="G830" s="25"/>
      <c r="H830" s="25"/>
    </row>
    <row r="831">
      <c r="A831" s="25"/>
      <c r="B831" s="25"/>
      <c r="C831" s="25"/>
      <c r="D831" s="25"/>
      <c r="E831" s="25"/>
      <c r="F831" s="25"/>
      <c r="G831" s="25"/>
      <c r="H831" s="25"/>
    </row>
    <row r="832">
      <c r="A832" s="25"/>
      <c r="B832" s="25"/>
      <c r="C832" s="25"/>
      <c r="D832" s="25"/>
      <c r="E832" s="25"/>
      <c r="F832" s="25"/>
      <c r="G832" s="25"/>
      <c r="H832" s="25"/>
    </row>
    <row r="833">
      <c r="A833" s="25"/>
      <c r="B833" s="25"/>
      <c r="C833" s="25"/>
      <c r="D833" s="25"/>
      <c r="E833" s="25"/>
      <c r="F833" s="25"/>
      <c r="G833" s="25"/>
      <c r="H833" s="25"/>
    </row>
    <row r="834">
      <c r="A834" s="25"/>
      <c r="B834" s="25"/>
      <c r="C834" s="25"/>
      <c r="D834" s="25"/>
      <c r="E834" s="25"/>
      <c r="F834" s="25"/>
      <c r="G834" s="25"/>
      <c r="H834" s="25"/>
    </row>
    <row r="835">
      <c r="A835" s="25"/>
      <c r="B835" s="25"/>
      <c r="C835" s="25"/>
      <c r="D835" s="25"/>
      <c r="E835" s="25"/>
      <c r="F835" s="25"/>
      <c r="G835" s="25"/>
      <c r="H835" s="25"/>
    </row>
    <row r="836">
      <c r="A836" s="25"/>
      <c r="B836" s="25"/>
      <c r="C836" s="25"/>
      <c r="D836" s="25"/>
      <c r="E836" s="25"/>
      <c r="F836" s="25"/>
      <c r="G836" s="25"/>
      <c r="H836" s="25"/>
    </row>
    <row r="837">
      <c r="A837" s="25"/>
      <c r="B837" s="25"/>
      <c r="C837" s="25"/>
      <c r="D837" s="25"/>
      <c r="E837" s="25"/>
      <c r="F837" s="25"/>
      <c r="G837" s="25"/>
      <c r="H837" s="25"/>
    </row>
    <row r="838">
      <c r="A838" s="25"/>
      <c r="B838" s="25"/>
      <c r="C838" s="25"/>
      <c r="D838" s="25"/>
      <c r="E838" s="25"/>
      <c r="F838" s="25"/>
      <c r="G838" s="25"/>
      <c r="H838" s="25"/>
    </row>
    <row r="839">
      <c r="A839" s="25"/>
      <c r="B839" s="25"/>
      <c r="C839" s="25"/>
      <c r="D839" s="25"/>
      <c r="E839" s="25"/>
      <c r="F839" s="25"/>
      <c r="G839" s="25"/>
      <c r="H839" s="25"/>
    </row>
    <row r="840">
      <c r="A840" s="25"/>
      <c r="B840" s="25"/>
      <c r="C840" s="25"/>
      <c r="D840" s="25"/>
      <c r="E840" s="25"/>
      <c r="F840" s="25"/>
      <c r="G840" s="25"/>
      <c r="H840" s="25"/>
    </row>
    <row r="841">
      <c r="A841" s="25"/>
      <c r="B841" s="25"/>
      <c r="C841" s="25"/>
      <c r="D841" s="25"/>
      <c r="E841" s="25"/>
      <c r="F841" s="25"/>
      <c r="G841" s="25"/>
      <c r="H841" s="25"/>
    </row>
    <row r="842">
      <c r="A842" s="25"/>
      <c r="B842" s="25"/>
      <c r="C842" s="25"/>
      <c r="D842" s="25"/>
      <c r="E842" s="25"/>
      <c r="F842" s="25"/>
      <c r="G842" s="25"/>
      <c r="H842" s="25"/>
    </row>
    <row r="843">
      <c r="A843" s="25"/>
      <c r="B843" s="25"/>
      <c r="C843" s="25"/>
      <c r="D843" s="25"/>
      <c r="E843" s="25"/>
      <c r="F843" s="25"/>
      <c r="G843" s="25"/>
      <c r="H843" s="25"/>
    </row>
    <row r="844">
      <c r="A844" s="25"/>
      <c r="B844" s="25"/>
      <c r="C844" s="25"/>
      <c r="D844" s="25"/>
      <c r="E844" s="25"/>
      <c r="F844" s="25"/>
      <c r="G844" s="25"/>
      <c r="H844" s="25"/>
    </row>
    <row r="845">
      <c r="A845" s="25"/>
      <c r="B845" s="25"/>
      <c r="C845" s="25"/>
      <c r="D845" s="25"/>
      <c r="E845" s="25"/>
      <c r="F845" s="25"/>
      <c r="G845" s="25"/>
      <c r="H845" s="25"/>
    </row>
    <row r="846">
      <c r="A846" s="25"/>
      <c r="B846" s="25"/>
      <c r="C846" s="25"/>
      <c r="D846" s="25"/>
      <c r="E846" s="25"/>
      <c r="F846" s="25"/>
      <c r="G846" s="25"/>
      <c r="H846" s="25"/>
    </row>
    <row r="847">
      <c r="A847" s="25"/>
      <c r="B847" s="25"/>
      <c r="C847" s="25"/>
      <c r="D847" s="25"/>
      <c r="E847" s="25"/>
      <c r="F847" s="25"/>
      <c r="G847" s="25"/>
      <c r="H847" s="25"/>
    </row>
    <row r="848">
      <c r="A848" s="25"/>
      <c r="B848" s="25"/>
      <c r="C848" s="25"/>
      <c r="D848" s="25"/>
      <c r="E848" s="25"/>
      <c r="F848" s="25"/>
      <c r="G848" s="25"/>
      <c r="H848" s="25"/>
    </row>
    <row r="849">
      <c r="A849" s="25"/>
      <c r="B849" s="25"/>
      <c r="C849" s="25"/>
      <c r="D849" s="25"/>
      <c r="E849" s="25"/>
      <c r="F849" s="25"/>
      <c r="G849" s="25"/>
      <c r="H849" s="25"/>
    </row>
    <row r="850">
      <c r="A850" s="25"/>
      <c r="B850" s="25"/>
      <c r="C850" s="25"/>
      <c r="D850" s="25"/>
      <c r="E850" s="25"/>
      <c r="F850" s="25"/>
      <c r="G850" s="25"/>
      <c r="H850" s="25"/>
    </row>
    <row r="851">
      <c r="A851" s="25"/>
      <c r="B851" s="25"/>
      <c r="C851" s="25"/>
      <c r="D851" s="25"/>
      <c r="E851" s="25"/>
      <c r="F851" s="25"/>
      <c r="G851" s="25"/>
      <c r="H851" s="25"/>
    </row>
    <row r="852">
      <c r="A852" s="25"/>
      <c r="B852" s="25"/>
      <c r="C852" s="25"/>
      <c r="D852" s="25"/>
      <c r="E852" s="25"/>
      <c r="F852" s="25"/>
      <c r="G852" s="25"/>
      <c r="H852" s="25"/>
    </row>
    <row r="853">
      <c r="A853" s="25"/>
      <c r="B853" s="25"/>
      <c r="C853" s="25"/>
      <c r="D853" s="25"/>
      <c r="E853" s="25"/>
      <c r="F853" s="25"/>
      <c r="G853" s="25"/>
      <c r="H853" s="25"/>
    </row>
    <row r="854">
      <c r="A854" s="25"/>
      <c r="B854" s="25"/>
      <c r="C854" s="25"/>
      <c r="D854" s="25"/>
      <c r="E854" s="25"/>
      <c r="F854" s="25"/>
      <c r="G854" s="25"/>
      <c r="H854" s="25"/>
    </row>
    <row r="855">
      <c r="A855" s="25"/>
      <c r="B855" s="25"/>
      <c r="C855" s="25"/>
      <c r="D855" s="25"/>
      <c r="E855" s="25"/>
      <c r="F855" s="25"/>
      <c r="G855" s="25"/>
      <c r="H855" s="25"/>
    </row>
    <row r="856">
      <c r="A856" s="25"/>
      <c r="B856" s="25"/>
      <c r="C856" s="25"/>
      <c r="D856" s="25"/>
      <c r="E856" s="25"/>
      <c r="F856" s="25"/>
      <c r="G856" s="25"/>
      <c r="H856" s="25"/>
    </row>
    <row r="857">
      <c r="A857" s="25"/>
      <c r="B857" s="25"/>
      <c r="C857" s="25"/>
      <c r="D857" s="25"/>
      <c r="E857" s="25"/>
      <c r="F857" s="25"/>
      <c r="G857" s="25"/>
      <c r="H857" s="25"/>
    </row>
    <row r="858">
      <c r="A858" s="25"/>
      <c r="B858" s="25"/>
      <c r="C858" s="25"/>
      <c r="D858" s="25"/>
      <c r="E858" s="25"/>
      <c r="F858" s="25"/>
      <c r="G858" s="25"/>
      <c r="H858" s="25"/>
    </row>
    <row r="859">
      <c r="A859" s="25"/>
      <c r="B859" s="25"/>
      <c r="C859" s="25"/>
      <c r="D859" s="25"/>
      <c r="E859" s="25"/>
      <c r="F859" s="25"/>
      <c r="G859" s="25"/>
      <c r="H859" s="25"/>
    </row>
    <row r="860">
      <c r="A860" s="25"/>
      <c r="B860" s="25"/>
      <c r="C860" s="25"/>
      <c r="D860" s="25"/>
      <c r="E860" s="25"/>
      <c r="F860" s="25"/>
      <c r="G860" s="25"/>
      <c r="H860" s="25"/>
    </row>
    <row r="861">
      <c r="A861" s="25"/>
      <c r="B861" s="25"/>
      <c r="C861" s="25"/>
      <c r="D861" s="25"/>
      <c r="E861" s="25"/>
      <c r="F861" s="25"/>
      <c r="G861" s="25"/>
      <c r="H861" s="25"/>
    </row>
    <row r="862">
      <c r="A862" s="25"/>
      <c r="B862" s="25"/>
      <c r="C862" s="25"/>
      <c r="D862" s="25"/>
      <c r="E862" s="25"/>
      <c r="F862" s="25"/>
      <c r="G862" s="25"/>
      <c r="H862" s="25"/>
    </row>
    <row r="863">
      <c r="A863" s="25"/>
      <c r="B863" s="25"/>
      <c r="C863" s="25"/>
      <c r="D863" s="25"/>
      <c r="E863" s="25"/>
      <c r="F863" s="25"/>
      <c r="G863" s="25"/>
      <c r="H863" s="25"/>
    </row>
    <row r="864">
      <c r="A864" s="25"/>
      <c r="B864" s="25"/>
      <c r="C864" s="25"/>
      <c r="D864" s="25"/>
      <c r="E864" s="25"/>
      <c r="F864" s="25"/>
      <c r="G864" s="25"/>
      <c r="H864" s="25"/>
    </row>
    <row r="865">
      <c r="A865" s="25"/>
      <c r="B865" s="25"/>
      <c r="C865" s="25"/>
      <c r="D865" s="25"/>
      <c r="E865" s="25"/>
      <c r="F865" s="25"/>
      <c r="G865" s="25"/>
      <c r="H865" s="25"/>
    </row>
    <row r="866">
      <c r="A866" s="25"/>
      <c r="B866" s="25"/>
      <c r="C866" s="25"/>
      <c r="D866" s="25"/>
      <c r="E866" s="25"/>
      <c r="F866" s="25"/>
      <c r="G866" s="25"/>
      <c r="H866" s="25"/>
    </row>
    <row r="867">
      <c r="A867" s="25"/>
      <c r="B867" s="25"/>
      <c r="C867" s="25"/>
      <c r="D867" s="25"/>
      <c r="E867" s="25"/>
      <c r="F867" s="25"/>
      <c r="G867" s="25"/>
      <c r="H867" s="25"/>
    </row>
    <row r="868">
      <c r="A868" s="25"/>
      <c r="B868" s="25"/>
      <c r="C868" s="25"/>
      <c r="D868" s="25"/>
      <c r="E868" s="25"/>
      <c r="F868" s="25"/>
      <c r="G868" s="25"/>
      <c r="H868" s="25"/>
    </row>
    <row r="869">
      <c r="A869" s="25"/>
      <c r="B869" s="25"/>
      <c r="C869" s="25"/>
      <c r="D869" s="25"/>
      <c r="E869" s="25"/>
      <c r="F869" s="25"/>
      <c r="G869" s="25"/>
      <c r="H869" s="25"/>
    </row>
    <row r="870">
      <c r="A870" s="25"/>
      <c r="B870" s="25"/>
      <c r="C870" s="25"/>
      <c r="D870" s="25"/>
      <c r="E870" s="25"/>
      <c r="F870" s="25"/>
      <c r="G870" s="25"/>
      <c r="H870" s="25"/>
    </row>
    <row r="871">
      <c r="A871" s="25"/>
      <c r="B871" s="25"/>
      <c r="C871" s="25"/>
      <c r="D871" s="25"/>
      <c r="E871" s="25"/>
      <c r="F871" s="25"/>
      <c r="G871" s="25"/>
      <c r="H871" s="25"/>
    </row>
    <row r="872">
      <c r="A872" s="25"/>
      <c r="B872" s="25"/>
      <c r="C872" s="25"/>
      <c r="D872" s="25"/>
      <c r="E872" s="25"/>
      <c r="F872" s="25"/>
      <c r="G872" s="25"/>
      <c r="H872" s="25"/>
    </row>
    <row r="873">
      <c r="A873" s="25"/>
      <c r="B873" s="25"/>
      <c r="C873" s="25"/>
      <c r="D873" s="25"/>
      <c r="E873" s="25"/>
      <c r="F873" s="25"/>
      <c r="G873" s="25"/>
      <c r="H873" s="25"/>
    </row>
    <row r="874">
      <c r="A874" s="25"/>
      <c r="B874" s="25"/>
      <c r="C874" s="25"/>
      <c r="D874" s="25"/>
      <c r="E874" s="25"/>
      <c r="F874" s="25"/>
      <c r="G874" s="25"/>
      <c r="H874" s="25"/>
    </row>
    <row r="875">
      <c r="A875" s="25"/>
      <c r="B875" s="25"/>
      <c r="C875" s="25"/>
      <c r="D875" s="25"/>
      <c r="E875" s="25"/>
      <c r="F875" s="25"/>
      <c r="G875" s="25"/>
      <c r="H875" s="25"/>
    </row>
    <row r="876">
      <c r="A876" s="25"/>
      <c r="B876" s="25"/>
      <c r="C876" s="25"/>
      <c r="D876" s="25"/>
      <c r="E876" s="25"/>
      <c r="F876" s="25"/>
      <c r="G876" s="25"/>
      <c r="H876" s="25"/>
    </row>
    <row r="877">
      <c r="A877" s="25"/>
      <c r="B877" s="25"/>
      <c r="C877" s="25"/>
      <c r="D877" s="25"/>
      <c r="E877" s="25"/>
      <c r="F877" s="25"/>
      <c r="G877" s="25"/>
      <c r="H877" s="25"/>
    </row>
    <row r="878">
      <c r="A878" s="25"/>
      <c r="B878" s="25"/>
      <c r="C878" s="25"/>
      <c r="D878" s="25"/>
      <c r="E878" s="25"/>
      <c r="F878" s="25"/>
      <c r="G878" s="25"/>
      <c r="H878" s="25"/>
    </row>
    <row r="879">
      <c r="A879" s="25"/>
      <c r="B879" s="25"/>
      <c r="C879" s="25"/>
      <c r="D879" s="25"/>
      <c r="E879" s="25"/>
      <c r="F879" s="25"/>
      <c r="G879" s="25"/>
      <c r="H879" s="25"/>
    </row>
    <row r="880">
      <c r="A880" s="25"/>
      <c r="B880" s="25"/>
      <c r="C880" s="25"/>
      <c r="D880" s="25"/>
      <c r="E880" s="25"/>
      <c r="F880" s="25"/>
      <c r="G880" s="25"/>
      <c r="H880" s="25"/>
    </row>
    <row r="881">
      <c r="A881" s="25"/>
      <c r="B881" s="25"/>
      <c r="C881" s="25"/>
      <c r="D881" s="25"/>
      <c r="E881" s="25"/>
      <c r="F881" s="25"/>
      <c r="G881" s="25"/>
      <c r="H881" s="25"/>
    </row>
    <row r="882">
      <c r="A882" s="25"/>
      <c r="B882" s="25"/>
      <c r="C882" s="25"/>
      <c r="D882" s="25"/>
      <c r="E882" s="25"/>
      <c r="F882" s="25"/>
      <c r="G882" s="25"/>
      <c r="H882" s="25"/>
    </row>
    <row r="883">
      <c r="A883" s="25"/>
      <c r="B883" s="25"/>
      <c r="C883" s="25"/>
      <c r="D883" s="25"/>
      <c r="E883" s="25"/>
      <c r="F883" s="25"/>
      <c r="G883" s="25"/>
      <c r="H883" s="25"/>
    </row>
    <row r="884">
      <c r="A884" s="25"/>
      <c r="B884" s="25"/>
      <c r="C884" s="25"/>
      <c r="D884" s="25"/>
      <c r="E884" s="25"/>
      <c r="F884" s="25"/>
      <c r="G884" s="25"/>
      <c r="H884" s="25"/>
    </row>
    <row r="885">
      <c r="A885" s="25"/>
      <c r="B885" s="25"/>
      <c r="C885" s="25"/>
      <c r="D885" s="25"/>
      <c r="E885" s="25"/>
      <c r="F885" s="25"/>
      <c r="G885" s="25"/>
      <c r="H885" s="25"/>
    </row>
    <row r="886">
      <c r="A886" s="25"/>
      <c r="B886" s="25"/>
      <c r="C886" s="25"/>
      <c r="D886" s="25"/>
      <c r="E886" s="25"/>
      <c r="F886" s="25"/>
      <c r="G886" s="25"/>
      <c r="H886" s="25"/>
    </row>
    <row r="887">
      <c r="A887" s="25"/>
      <c r="B887" s="25"/>
      <c r="C887" s="25"/>
      <c r="D887" s="25"/>
      <c r="E887" s="25"/>
      <c r="F887" s="25"/>
      <c r="G887" s="25"/>
      <c r="H887" s="25"/>
    </row>
    <row r="888">
      <c r="A888" s="25"/>
      <c r="B888" s="25"/>
      <c r="C888" s="25"/>
      <c r="D888" s="25"/>
      <c r="E888" s="25"/>
      <c r="F888" s="25"/>
      <c r="G888" s="25"/>
      <c r="H888" s="25"/>
    </row>
    <row r="889">
      <c r="A889" s="25"/>
      <c r="B889" s="25"/>
      <c r="C889" s="25"/>
      <c r="D889" s="25"/>
      <c r="E889" s="25"/>
      <c r="F889" s="25"/>
      <c r="G889" s="25"/>
      <c r="H889" s="25"/>
    </row>
    <row r="890">
      <c r="A890" s="25"/>
      <c r="B890" s="25"/>
      <c r="C890" s="25"/>
      <c r="D890" s="25"/>
      <c r="E890" s="25"/>
      <c r="F890" s="25"/>
      <c r="G890" s="25"/>
      <c r="H890" s="25"/>
    </row>
    <row r="891">
      <c r="A891" s="25"/>
      <c r="B891" s="25"/>
      <c r="C891" s="25"/>
      <c r="D891" s="25"/>
      <c r="E891" s="25"/>
      <c r="F891" s="25"/>
      <c r="G891" s="25"/>
      <c r="H891" s="25"/>
    </row>
    <row r="892">
      <c r="A892" s="25"/>
      <c r="B892" s="25"/>
      <c r="C892" s="25"/>
      <c r="D892" s="25"/>
      <c r="E892" s="25"/>
      <c r="F892" s="25"/>
      <c r="G892" s="25"/>
      <c r="H892" s="25"/>
    </row>
    <row r="893">
      <c r="A893" s="25"/>
      <c r="B893" s="25"/>
      <c r="C893" s="25"/>
      <c r="D893" s="25"/>
      <c r="E893" s="25"/>
      <c r="F893" s="25"/>
      <c r="G893" s="25"/>
      <c r="H893" s="25"/>
    </row>
    <row r="894">
      <c r="A894" s="25"/>
      <c r="B894" s="25"/>
      <c r="C894" s="25"/>
      <c r="D894" s="25"/>
      <c r="E894" s="25"/>
      <c r="F894" s="25"/>
      <c r="G894" s="25"/>
      <c r="H894" s="25"/>
    </row>
    <row r="895">
      <c r="A895" s="25"/>
      <c r="B895" s="25"/>
      <c r="C895" s="25"/>
      <c r="D895" s="25"/>
      <c r="E895" s="25"/>
      <c r="F895" s="25"/>
      <c r="G895" s="25"/>
      <c r="H895" s="25"/>
    </row>
    <row r="896">
      <c r="A896" s="25"/>
      <c r="B896" s="25"/>
      <c r="C896" s="25"/>
      <c r="D896" s="25"/>
      <c r="E896" s="25"/>
      <c r="F896" s="25"/>
      <c r="G896" s="25"/>
      <c r="H896" s="25"/>
    </row>
    <row r="897">
      <c r="A897" s="25"/>
      <c r="B897" s="25"/>
      <c r="C897" s="25"/>
      <c r="D897" s="25"/>
      <c r="E897" s="25"/>
      <c r="F897" s="25"/>
      <c r="G897" s="25"/>
      <c r="H897" s="25"/>
    </row>
    <row r="898">
      <c r="A898" s="25"/>
      <c r="B898" s="25"/>
      <c r="C898" s="25"/>
      <c r="D898" s="25"/>
      <c r="E898" s="25"/>
      <c r="F898" s="25"/>
      <c r="G898" s="25"/>
      <c r="H898" s="25"/>
    </row>
    <row r="899">
      <c r="A899" s="25"/>
      <c r="B899" s="25"/>
      <c r="C899" s="25"/>
      <c r="D899" s="25"/>
      <c r="E899" s="25"/>
      <c r="F899" s="25"/>
      <c r="G899" s="25"/>
      <c r="H899" s="25"/>
    </row>
    <row r="900">
      <c r="A900" s="25"/>
      <c r="B900" s="25"/>
      <c r="C900" s="25"/>
      <c r="D900" s="25"/>
      <c r="E900" s="25"/>
      <c r="F900" s="25"/>
      <c r="G900" s="25"/>
      <c r="H900" s="25"/>
    </row>
    <row r="901">
      <c r="A901" s="25"/>
      <c r="B901" s="25"/>
      <c r="C901" s="25"/>
      <c r="D901" s="25"/>
      <c r="E901" s="25"/>
      <c r="F901" s="25"/>
      <c r="G901" s="25"/>
      <c r="H901" s="25"/>
    </row>
    <row r="902">
      <c r="A902" s="25"/>
      <c r="B902" s="25"/>
      <c r="C902" s="25"/>
      <c r="D902" s="25"/>
      <c r="E902" s="25"/>
      <c r="F902" s="25"/>
      <c r="G902" s="25"/>
      <c r="H902" s="25"/>
    </row>
    <row r="903">
      <c r="A903" s="25"/>
      <c r="B903" s="25"/>
      <c r="C903" s="25"/>
      <c r="D903" s="25"/>
      <c r="E903" s="25"/>
      <c r="F903" s="25"/>
      <c r="G903" s="25"/>
      <c r="H903" s="25"/>
    </row>
    <row r="904">
      <c r="A904" s="25"/>
      <c r="B904" s="25"/>
      <c r="C904" s="25"/>
      <c r="D904" s="25"/>
      <c r="E904" s="25"/>
      <c r="F904" s="25"/>
      <c r="G904" s="25"/>
      <c r="H904" s="25"/>
    </row>
    <row r="905">
      <c r="A905" s="25"/>
      <c r="B905" s="25"/>
      <c r="C905" s="25"/>
      <c r="D905" s="25"/>
      <c r="E905" s="25"/>
      <c r="F905" s="25"/>
      <c r="G905" s="25"/>
      <c r="H905" s="25"/>
    </row>
    <row r="906">
      <c r="A906" s="25"/>
      <c r="B906" s="25"/>
      <c r="C906" s="25"/>
      <c r="D906" s="25"/>
      <c r="E906" s="25"/>
      <c r="F906" s="25"/>
      <c r="G906" s="25"/>
      <c r="H906" s="25"/>
    </row>
    <row r="907">
      <c r="A907" s="25"/>
      <c r="B907" s="25"/>
      <c r="C907" s="25"/>
      <c r="D907" s="25"/>
      <c r="E907" s="25"/>
      <c r="F907" s="25"/>
      <c r="G907" s="25"/>
      <c r="H907" s="25"/>
    </row>
    <row r="908">
      <c r="A908" s="25"/>
      <c r="B908" s="25"/>
      <c r="C908" s="25"/>
      <c r="D908" s="25"/>
      <c r="E908" s="25"/>
      <c r="F908" s="25"/>
      <c r="G908" s="25"/>
      <c r="H908" s="25"/>
    </row>
    <row r="909">
      <c r="A909" s="25"/>
      <c r="B909" s="25"/>
      <c r="C909" s="25"/>
      <c r="D909" s="25"/>
      <c r="E909" s="25"/>
      <c r="F909" s="25"/>
      <c r="G909" s="25"/>
      <c r="H909" s="25"/>
    </row>
    <row r="910">
      <c r="A910" s="25"/>
      <c r="B910" s="25"/>
      <c r="C910" s="25"/>
      <c r="D910" s="25"/>
      <c r="E910" s="25"/>
      <c r="F910" s="25"/>
      <c r="G910" s="25"/>
      <c r="H910" s="25"/>
    </row>
    <row r="911">
      <c r="A911" s="25"/>
      <c r="B911" s="25"/>
      <c r="C911" s="25"/>
      <c r="D911" s="25"/>
      <c r="E911" s="25"/>
      <c r="F911" s="25"/>
      <c r="G911" s="25"/>
      <c r="H911" s="25"/>
    </row>
    <row r="912">
      <c r="A912" s="25"/>
      <c r="B912" s="25"/>
      <c r="C912" s="25"/>
      <c r="D912" s="25"/>
      <c r="E912" s="25"/>
      <c r="F912" s="25"/>
      <c r="G912" s="25"/>
      <c r="H912" s="25"/>
    </row>
    <row r="913">
      <c r="A913" s="25"/>
      <c r="B913" s="25"/>
      <c r="C913" s="25"/>
      <c r="D913" s="25"/>
      <c r="E913" s="25"/>
      <c r="F913" s="25"/>
      <c r="G913" s="25"/>
      <c r="H913" s="25"/>
    </row>
    <row r="914">
      <c r="A914" s="25"/>
      <c r="B914" s="25"/>
      <c r="C914" s="25"/>
      <c r="D914" s="25"/>
      <c r="E914" s="25"/>
      <c r="F914" s="25"/>
      <c r="G914" s="25"/>
      <c r="H914" s="25"/>
    </row>
    <row r="915">
      <c r="A915" s="25"/>
      <c r="B915" s="25"/>
      <c r="C915" s="25"/>
      <c r="D915" s="25"/>
      <c r="E915" s="25"/>
      <c r="F915" s="25"/>
      <c r="G915" s="25"/>
      <c r="H915" s="25"/>
    </row>
    <row r="916">
      <c r="A916" s="25"/>
      <c r="B916" s="25"/>
      <c r="C916" s="25"/>
      <c r="D916" s="25"/>
      <c r="E916" s="25"/>
      <c r="F916" s="25"/>
      <c r="G916" s="25"/>
      <c r="H916" s="25"/>
    </row>
    <row r="917">
      <c r="A917" s="25"/>
      <c r="B917" s="25"/>
      <c r="C917" s="25"/>
      <c r="D917" s="25"/>
      <c r="E917" s="25"/>
      <c r="F917" s="25"/>
      <c r="G917" s="25"/>
      <c r="H917" s="25"/>
    </row>
    <row r="918">
      <c r="A918" s="25"/>
      <c r="B918" s="25"/>
      <c r="C918" s="25"/>
      <c r="D918" s="25"/>
      <c r="E918" s="25"/>
      <c r="F918" s="25"/>
      <c r="G918" s="25"/>
      <c r="H918" s="25"/>
    </row>
    <row r="919">
      <c r="A919" s="25"/>
      <c r="B919" s="25"/>
      <c r="C919" s="25"/>
      <c r="D919" s="25"/>
      <c r="E919" s="25"/>
      <c r="F919" s="25"/>
      <c r="G919" s="25"/>
      <c r="H919" s="25"/>
    </row>
    <row r="920">
      <c r="A920" s="25"/>
      <c r="B920" s="25"/>
      <c r="C920" s="25"/>
      <c r="D920" s="25"/>
      <c r="E920" s="25"/>
      <c r="F920" s="25"/>
      <c r="G920" s="25"/>
      <c r="H920" s="25"/>
    </row>
    <row r="921">
      <c r="A921" s="25"/>
      <c r="B921" s="25"/>
      <c r="C921" s="25"/>
      <c r="D921" s="25"/>
      <c r="E921" s="25"/>
      <c r="F921" s="25"/>
      <c r="G921" s="25"/>
      <c r="H921" s="25"/>
    </row>
    <row r="922">
      <c r="A922" s="25"/>
      <c r="B922" s="25"/>
      <c r="C922" s="25"/>
      <c r="D922" s="25"/>
      <c r="E922" s="25"/>
      <c r="F922" s="25"/>
      <c r="G922" s="25"/>
      <c r="H922" s="25"/>
    </row>
    <row r="923">
      <c r="A923" s="25"/>
      <c r="B923" s="25"/>
      <c r="C923" s="25"/>
      <c r="D923" s="25"/>
      <c r="E923" s="25"/>
      <c r="F923" s="25"/>
      <c r="G923" s="25"/>
      <c r="H923" s="25"/>
    </row>
    <row r="924">
      <c r="A924" s="25"/>
      <c r="B924" s="25"/>
      <c r="C924" s="25"/>
      <c r="D924" s="25"/>
      <c r="E924" s="25"/>
      <c r="F924" s="25"/>
      <c r="G924" s="25"/>
      <c r="H924" s="25"/>
    </row>
    <row r="925">
      <c r="A925" s="25"/>
      <c r="B925" s="25"/>
      <c r="C925" s="25"/>
      <c r="D925" s="25"/>
      <c r="E925" s="25"/>
      <c r="F925" s="25"/>
      <c r="G925" s="25"/>
      <c r="H925" s="25"/>
    </row>
    <row r="926">
      <c r="A926" s="25"/>
      <c r="B926" s="25"/>
      <c r="C926" s="25"/>
      <c r="D926" s="25"/>
      <c r="E926" s="25"/>
      <c r="F926" s="25"/>
      <c r="G926" s="25"/>
      <c r="H926" s="25"/>
    </row>
    <row r="927">
      <c r="A927" s="25"/>
      <c r="B927" s="25"/>
      <c r="C927" s="25"/>
      <c r="D927" s="25"/>
      <c r="E927" s="25"/>
      <c r="F927" s="25"/>
      <c r="G927" s="25"/>
      <c r="H927" s="25"/>
    </row>
    <row r="928">
      <c r="A928" s="25"/>
      <c r="B928" s="25"/>
      <c r="C928" s="25"/>
      <c r="D928" s="25"/>
      <c r="E928" s="25"/>
      <c r="F928" s="25"/>
      <c r="G928" s="25"/>
      <c r="H928" s="25"/>
    </row>
    <row r="929">
      <c r="A929" s="25"/>
      <c r="B929" s="25"/>
      <c r="C929" s="25"/>
      <c r="D929" s="25"/>
      <c r="E929" s="25"/>
      <c r="F929" s="25"/>
      <c r="G929" s="25"/>
      <c r="H929" s="25"/>
    </row>
    <row r="930">
      <c r="A930" s="25"/>
      <c r="B930" s="25"/>
      <c r="C930" s="25"/>
      <c r="D930" s="25"/>
      <c r="E930" s="25"/>
      <c r="F930" s="25"/>
      <c r="G930" s="25"/>
      <c r="H930" s="25"/>
    </row>
    <row r="931">
      <c r="A931" s="25"/>
      <c r="B931" s="25"/>
      <c r="C931" s="25"/>
      <c r="D931" s="25"/>
      <c r="E931" s="25"/>
      <c r="F931" s="25"/>
      <c r="G931" s="25"/>
      <c r="H931" s="25"/>
    </row>
    <row r="932">
      <c r="A932" s="25"/>
      <c r="B932" s="25"/>
      <c r="C932" s="25"/>
      <c r="D932" s="25"/>
      <c r="E932" s="25"/>
      <c r="F932" s="25"/>
      <c r="G932" s="25"/>
      <c r="H932" s="25"/>
    </row>
    <row r="933">
      <c r="A933" s="25"/>
      <c r="B933" s="25"/>
      <c r="C933" s="25"/>
      <c r="D933" s="25"/>
      <c r="E933" s="25"/>
      <c r="F933" s="25"/>
      <c r="G933" s="25"/>
      <c r="H933" s="25"/>
    </row>
    <row r="934">
      <c r="A934" s="25"/>
      <c r="B934" s="25"/>
      <c r="C934" s="25"/>
      <c r="D934" s="25"/>
      <c r="E934" s="25"/>
      <c r="F934" s="25"/>
      <c r="G934" s="25"/>
      <c r="H934" s="25"/>
    </row>
    <row r="935">
      <c r="A935" s="25"/>
      <c r="B935" s="25"/>
      <c r="C935" s="25"/>
      <c r="D935" s="25"/>
      <c r="E935" s="25"/>
      <c r="F935" s="25"/>
      <c r="G935" s="25"/>
      <c r="H935" s="25"/>
    </row>
    <row r="936">
      <c r="A936" s="25"/>
      <c r="B936" s="25"/>
      <c r="C936" s="25"/>
      <c r="D936" s="25"/>
      <c r="E936" s="25"/>
      <c r="F936" s="25"/>
      <c r="G936" s="25"/>
      <c r="H936" s="25"/>
    </row>
    <row r="937">
      <c r="A937" s="25"/>
      <c r="B937" s="25"/>
      <c r="C937" s="25"/>
      <c r="D937" s="25"/>
      <c r="E937" s="25"/>
      <c r="F937" s="25"/>
      <c r="G937" s="25"/>
      <c r="H937" s="25"/>
    </row>
    <row r="938">
      <c r="A938" s="25"/>
      <c r="B938" s="25"/>
      <c r="C938" s="25"/>
      <c r="D938" s="25"/>
      <c r="E938" s="25"/>
      <c r="F938" s="25"/>
      <c r="G938" s="25"/>
      <c r="H938" s="25"/>
    </row>
    <row r="939">
      <c r="A939" s="25"/>
      <c r="B939" s="25"/>
      <c r="C939" s="25"/>
      <c r="D939" s="25"/>
      <c r="E939" s="25"/>
      <c r="F939" s="25"/>
      <c r="G939" s="25"/>
      <c r="H939" s="25"/>
    </row>
    <row r="940">
      <c r="A940" s="25"/>
      <c r="B940" s="25"/>
      <c r="C940" s="25"/>
      <c r="D940" s="25"/>
      <c r="E940" s="25"/>
      <c r="F940" s="25"/>
      <c r="G940" s="25"/>
      <c r="H940" s="25"/>
    </row>
    <row r="941">
      <c r="A941" s="25"/>
      <c r="B941" s="25"/>
      <c r="C941" s="25"/>
      <c r="D941" s="25"/>
      <c r="E941" s="25"/>
      <c r="F941" s="25"/>
      <c r="G941" s="25"/>
      <c r="H941" s="25"/>
    </row>
    <row r="942">
      <c r="A942" s="25"/>
      <c r="B942" s="25"/>
      <c r="C942" s="25"/>
      <c r="D942" s="25"/>
      <c r="E942" s="25"/>
      <c r="F942" s="25"/>
      <c r="G942" s="25"/>
      <c r="H942" s="25"/>
    </row>
    <row r="943">
      <c r="A943" s="25"/>
      <c r="B943" s="25"/>
      <c r="C943" s="25"/>
      <c r="D943" s="25"/>
      <c r="E943" s="25"/>
      <c r="F943" s="25"/>
      <c r="G943" s="25"/>
      <c r="H943" s="25"/>
    </row>
    <row r="944">
      <c r="A944" s="25"/>
      <c r="B944" s="25"/>
      <c r="C944" s="25"/>
      <c r="D944" s="25"/>
      <c r="E944" s="25"/>
      <c r="F944" s="25"/>
      <c r="G944" s="25"/>
      <c r="H944" s="25"/>
    </row>
    <row r="945">
      <c r="A945" s="25"/>
      <c r="B945" s="25"/>
      <c r="C945" s="25"/>
      <c r="D945" s="25"/>
      <c r="E945" s="25"/>
      <c r="F945" s="25"/>
      <c r="G945" s="25"/>
      <c r="H945" s="25"/>
    </row>
    <row r="946">
      <c r="A946" s="25"/>
      <c r="B946" s="25"/>
      <c r="C946" s="25"/>
      <c r="D946" s="25"/>
      <c r="E946" s="25"/>
      <c r="F946" s="25"/>
      <c r="G946" s="25"/>
      <c r="H946" s="25"/>
    </row>
    <row r="947">
      <c r="A947" s="25"/>
      <c r="B947" s="25"/>
      <c r="C947" s="25"/>
      <c r="D947" s="25"/>
      <c r="E947" s="25"/>
      <c r="F947" s="25"/>
      <c r="G947" s="25"/>
      <c r="H947" s="25"/>
    </row>
    <row r="948">
      <c r="A948" s="25"/>
      <c r="B948" s="25"/>
      <c r="C948" s="25"/>
      <c r="D948" s="25"/>
      <c r="E948" s="25"/>
      <c r="F948" s="25"/>
      <c r="G948" s="25"/>
      <c r="H948" s="25"/>
    </row>
    <row r="949">
      <c r="A949" s="25"/>
      <c r="B949" s="25"/>
      <c r="C949" s="25"/>
      <c r="D949" s="25"/>
      <c r="E949" s="25"/>
      <c r="F949" s="25"/>
      <c r="G949" s="25"/>
      <c r="H949" s="25"/>
    </row>
    <row r="950">
      <c r="A950" s="25"/>
      <c r="B950" s="25"/>
      <c r="C950" s="25"/>
      <c r="D950" s="25"/>
      <c r="E950" s="25"/>
      <c r="F950" s="25"/>
      <c r="G950" s="25"/>
      <c r="H950" s="25"/>
    </row>
    <row r="951">
      <c r="A951" s="25"/>
      <c r="B951" s="25"/>
      <c r="C951" s="25"/>
      <c r="D951" s="25"/>
      <c r="E951" s="25"/>
      <c r="F951" s="25"/>
      <c r="G951" s="25"/>
      <c r="H951" s="25"/>
    </row>
    <row r="952">
      <c r="A952" s="25"/>
      <c r="B952" s="25"/>
      <c r="C952" s="25"/>
      <c r="D952" s="25"/>
      <c r="E952" s="25"/>
      <c r="F952" s="25"/>
      <c r="G952" s="25"/>
      <c r="H952" s="25"/>
    </row>
    <row r="953">
      <c r="A953" s="25"/>
      <c r="B953" s="25"/>
      <c r="C953" s="25"/>
      <c r="D953" s="25"/>
      <c r="E953" s="25"/>
      <c r="F953" s="25"/>
      <c r="G953" s="25"/>
      <c r="H953" s="25"/>
    </row>
    <row r="954">
      <c r="A954" s="25"/>
      <c r="B954" s="25"/>
      <c r="C954" s="25"/>
      <c r="D954" s="25"/>
      <c r="E954" s="25"/>
      <c r="F954" s="25"/>
      <c r="G954" s="25"/>
      <c r="H954" s="25"/>
    </row>
    <row r="955">
      <c r="A955" s="25"/>
      <c r="B955" s="25"/>
      <c r="C955" s="25"/>
      <c r="D955" s="25"/>
      <c r="E955" s="25"/>
      <c r="F955" s="25"/>
      <c r="G955" s="25"/>
      <c r="H955" s="25"/>
    </row>
    <row r="956">
      <c r="A956" s="25"/>
      <c r="B956" s="25"/>
      <c r="C956" s="25"/>
      <c r="D956" s="25"/>
      <c r="E956" s="25"/>
      <c r="F956" s="25"/>
      <c r="G956" s="25"/>
      <c r="H956" s="25"/>
    </row>
    <row r="957">
      <c r="A957" s="25"/>
      <c r="B957" s="25"/>
      <c r="C957" s="25"/>
      <c r="D957" s="25"/>
      <c r="E957" s="25"/>
      <c r="F957" s="25"/>
      <c r="G957" s="25"/>
      <c r="H957" s="25"/>
    </row>
    <row r="958">
      <c r="A958" s="25"/>
      <c r="B958" s="25"/>
      <c r="C958" s="25"/>
      <c r="D958" s="25"/>
      <c r="E958" s="25"/>
      <c r="F958" s="25"/>
      <c r="G958" s="25"/>
      <c r="H958" s="25"/>
    </row>
    <row r="959">
      <c r="A959" s="25"/>
      <c r="B959" s="25"/>
      <c r="C959" s="25"/>
      <c r="D959" s="25"/>
      <c r="E959" s="25"/>
      <c r="F959" s="25"/>
      <c r="G959" s="25"/>
      <c r="H959" s="25"/>
    </row>
    <row r="960">
      <c r="A960" s="25"/>
      <c r="B960" s="25"/>
      <c r="C960" s="25"/>
      <c r="D960" s="25"/>
      <c r="E960" s="25"/>
      <c r="F960" s="25"/>
      <c r="G960" s="25"/>
      <c r="H960" s="25"/>
    </row>
    <row r="961">
      <c r="A961" s="25"/>
      <c r="B961" s="25"/>
      <c r="C961" s="25"/>
      <c r="D961" s="25"/>
      <c r="E961" s="25"/>
      <c r="F961" s="25"/>
      <c r="G961" s="25"/>
      <c r="H961" s="25"/>
    </row>
    <row r="962">
      <c r="A962" s="25"/>
      <c r="B962" s="25"/>
      <c r="C962" s="25"/>
      <c r="D962" s="25"/>
      <c r="E962" s="25"/>
      <c r="F962" s="25"/>
      <c r="G962" s="25"/>
      <c r="H962" s="25"/>
    </row>
    <row r="963">
      <c r="A963" s="25"/>
      <c r="B963" s="25"/>
      <c r="C963" s="25"/>
      <c r="D963" s="25"/>
      <c r="E963" s="25"/>
      <c r="F963" s="25"/>
      <c r="G963" s="25"/>
      <c r="H963" s="25"/>
    </row>
    <row r="964">
      <c r="A964" s="25"/>
      <c r="B964" s="25"/>
      <c r="C964" s="25"/>
      <c r="D964" s="25"/>
      <c r="E964" s="25"/>
      <c r="F964" s="25"/>
      <c r="G964" s="25"/>
      <c r="H964" s="25"/>
    </row>
    <row r="965">
      <c r="A965" s="25"/>
      <c r="B965" s="25"/>
      <c r="C965" s="25"/>
      <c r="D965" s="25"/>
      <c r="E965" s="25"/>
      <c r="F965" s="25"/>
      <c r="G965" s="25"/>
      <c r="H965" s="25"/>
    </row>
    <row r="966">
      <c r="A966" s="25"/>
      <c r="B966" s="25"/>
      <c r="C966" s="25"/>
      <c r="D966" s="25"/>
      <c r="E966" s="25"/>
      <c r="F966" s="25"/>
      <c r="G966" s="25"/>
      <c r="H966" s="25"/>
    </row>
    <row r="967">
      <c r="A967" s="25"/>
      <c r="B967" s="25"/>
      <c r="C967" s="25"/>
      <c r="D967" s="25"/>
      <c r="E967" s="25"/>
      <c r="F967" s="25"/>
      <c r="G967" s="25"/>
      <c r="H967" s="25"/>
    </row>
    <row r="968">
      <c r="A968" s="25"/>
      <c r="B968" s="25"/>
      <c r="C968" s="25"/>
      <c r="D968" s="25"/>
      <c r="E968" s="25"/>
      <c r="F968" s="25"/>
      <c r="G968" s="25"/>
      <c r="H968" s="25"/>
    </row>
    <row r="969">
      <c r="A969" s="25"/>
      <c r="B969" s="25"/>
      <c r="C969" s="25"/>
      <c r="D969" s="25"/>
      <c r="E969" s="25"/>
      <c r="F969" s="25"/>
      <c r="G969" s="25"/>
      <c r="H969" s="25"/>
    </row>
    <row r="970">
      <c r="A970" s="25"/>
      <c r="B970" s="25"/>
      <c r="C970" s="25"/>
      <c r="D970" s="25"/>
      <c r="E970" s="25"/>
      <c r="F970" s="25"/>
      <c r="G970" s="25"/>
      <c r="H970" s="25"/>
    </row>
    <row r="971">
      <c r="A971" s="25"/>
      <c r="B971" s="25"/>
      <c r="C971" s="25"/>
      <c r="D971" s="25"/>
      <c r="E971" s="25"/>
      <c r="F971" s="25"/>
      <c r="G971" s="25"/>
      <c r="H971" s="25"/>
    </row>
    <row r="972">
      <c r="A972" s="25"/>
      <c r="B972" s="25"/>
      <c r="C972" s="25"/>
      <c r="D972" s="25"/>
      <c r="E972" s="25"/>
      <c r="F972" s="25"/>
      <c r="G972" s="25"/>
      <c r="H972" s="25"/>
    </row>
    <row r="973">
      <c r="A973" s="25"/>
      <c r="B973" s="25"/>
      <c r="C973" s="25"/>
      <c r="D973" s="25"/>
      <c r="E973" s="25"/>
      <c r="F973" s="25"/>
      <c r="G973" s="25"/>
      <c r="H973" s="25"/>
    </row>
    <row r="974">
      <c r="A974" s="25"/>
      <c r="B974" s="25"/>
      <c r="C974" s="25"/>
      <c r="D974" s="25"/>
      <c r="E974" s="25"/>
      <c r="F974" s="25"/>
      <c r="G974" s="25"/>
      <c r="H974" s="25"/>
    </row>
    <row r="975">
      <c r="A975" s="25"/>
      <c r="B975" s="25"/>
      <c r="C975" s="25"/>
      <c r="D975" s="25"/>
      <c r="E975" s="25"/>
      <c r="F975" s="25"/>
      <c r="G975" s="25"/>
      <c r="H975" s="25"/>
    </row>
    <row r="976">
      <c r="A976" s="25"/>
      <c r="B976" s="25"/>
      <c r="C976" s="25"/>
      <c r="D976" s="25"/>
      <c r="E976" s="25"/>
      <c r="F976" s="25"/>
      <c r="G976" s="25"/>
      <c r="H976" s="25"/>
    </row>
    <row r="977">
      <c r="A977" s="25"/>
      <c r="B977" s="25"/>
      <c r="C977" s="25"/>
      <c r="D977" s="25"/>
      <c r="E977" s="25"/>
      <c r="F977" s="25"/>
      <c r="G977" s="25"/>
      <c r="H977" s="25"/>
    </row>
    <row r="978">
      <c r="A978" s="25"/>
      <c r="B978" s="25"/>
      <c r="C978" s="25"/>
      <c r="D978" s="25"/>
      <c r="E978" s="25"/>
      <c r="F978" s="25"/>
      <c r="G978" s="25"/>
      <c r="H978" s="25"/>
    </row>
    <row r="979">
      <c r="A979" s="25"/>
      <c r="B979" s="25"/>
      <c r="C979" s="25"/>
      <c r="D979" s="25"/>
      <c r="E979" s="25"/>
      <c r="F979" s="25"/>
      <c r="G979" s="25"/>
      <c r="H979" s="25"/>
    </row>
    <row r="980">
      <c r="A980" s="25"/>
      <c r="B980" s="25"/>
      <c r="C980" s="25"/>
      <c r="D980" s="25"/>
      <c r="E980" s="25"/>
      <c r="F980" s="25"/>
      <c r="G980" s="25"/>
      <c r="H980" s="25"/>
    </row>
    <row r="981">
      <c r="A981" s="25"/>
      <c r="B981" s="25"/>
      <c r="C981" s="25"/>
      <c r="D981" s="25"/>
      <c r="E981" s="25"/>
      <c r="F981" s="25"/>
      <c r="G981" s="25"/>
      <c r="H981" s="25"/>
    </row>
    <row r="982">
      <c r="A982" s="25"/>
      <c r="B982" s="25"/>
      <c r="C982" s="25"/>
      <c r="D982" s="25"/>
      <c r="E982" s="25"/>
      <c r="F982" s="25"/>
      <c r="G982" s="25"/>
      <c r="H982" s="25"/>
    </row>
    <row r="983">
      <c r="A983" s="25"/>
      <c r="B983" s="25"/>
      <c r="C983" s="25"/>
      <c r="D983" s="25"/>
      <c r="E983" s="25"/>
      <c r="F983" s="25"/>
      <c r="G983" s="25"/>
      <c r="H983" s="25"/>
    </row>
    <row r="984">
      <c r="A984" s="25"/>
      <c r="B984" s="25"/>
      <c r="C984" s="25"/>
      <c r="D984" s="25"/>
      <c r="E984" s="25"/>
      <c r="F984" s="25"/>
      <c r="G984" s="25"/>
      <c r="H984" s="25"/>
    </row>
    <row r="985">
      <c r="A985" s="25"/>
      <c r="B985" s="25"/>
      <c r="C985" s="25"/>
      <c r="D985" s="25"/>
      <c r="E985" s="25"/>
      <c r="F985" s="25"/>
      <c r="G985" s="25"/>
      <c r="H985" s="25"/>
    </row>
    <row r="986">
      <c r="A986" s="25"/>
      <c r="B986" s="25"/>
      <c r="C986" s="25"/>
      <c r="D986" s="25"/>
      <c r="E986" s="25"/>
      <c r="F986" s="25"/>
      <c r="G986" s="25"/>
      <c r="H986" s="25"/>
    </row>
    <row r="987">
      <c r="A987" s="25"/>
      <c r="B987" s="25"/>
      <c r="C987" s="25"/>
      <c r="D987" s="25"/>
      <c r="E987" s="25"/>
      <c r="F987" s="25"/>
      <c r="G987" s="25"/>
      <c r="H987" s="25"/>
    </row>
    <row r="988">
      <c r="A988" s="25"/>
      <c r="B988" s="25"/>
      <c r="C988" s="25"/>
      <c r="D988" s="25"/>
      <c r="E988" s="25"/>
      <c r="F988" s="25"/>
      <c r="G988" s="25"/>
      <c r="H988" s="25"/>
    </row>
    <row r="989">
      <c r="A989" s="25"/>
      <c r="B989" s="25"/>
      <c r="C989" s="25"/>
      <c r="D989" s="25"/>
      <c r="E989" s="25"/>
      <c r="F989" s="25"/>
      <c r="G989" s="25"/>
      <c r="H989" s="25"/>
    </row>
    <row r="990">
      <c r="A990" s="25"/>
      <c r="B990" s="25"/>
      <c r="C990" s="25"/>
      <c r="D990" s="25"/>
      <c r="E990" s="25"/>
      <c r="F990" s="25"/>
      <c r="G990" s="25"/>
      <c r="H990" s="25"/>
    </row>
    <row r="991">
      <c r="A991" s="25"/>
      <c r="B991" s="25"/>
      <c r="C991" s="25"/>
      <c r="D991" s="25"/>
      <c r="E991" s="25"/>
      <c r="F991" s="25"/>
      <c r="G991" s="25"/>
      <c r="H991" s="25"/>
    </row>
    <row r="992">
      <c r="A992" s="25"/>
      <c r="B992" s="25"/>
      <c r="C992" s="25"/>
      <c r="D992" s="25"/>
      <c r="E992" s="25"/>
      <c r="F992" s="25"/>
      <c r="G992" s="25"/>
      <c r="H992" s="25"/>
    </row>
    <row r="993">
      <c r="A993" s="25"/>
      <c r="B993" s="25"/>
      <c r="C993" s="25"/>
      <c r="D993" s="25"/>
      <c r="E993" s="25"/>
      <c r="F993" s="25"/>
      <c r="G993" s="25"/>
      <c r="H993" s="25"/>
    </row>
    <row r="994">
      <c r="A994" s="25"/>
      <c r="B994" s="25"/>
      <c r="C994" s="25"/>
      <c r="D994" s="25"/>
      <c r="E994" s="25"/>
      <c r="F994" s="25"/>
      <c r="G994" s="25"/>
      <c r="H994" s="25"/>
    </row>
    <row r="995">
      <c r="A995" s="25"/>
      <c r="B995" s="25"/>
      <c r="C995" s="25"/>
      <c r="D995" s="25"/>
      <c r="E995" s="25"/>
      <c r="F995" s="25"/>
      <c r="G995" s="25"/>
      <c r="H995" s="25"/>
    </row>
    <row r="996">
      <c r="A996" s="25"/>
      <c r="B996" s="25"/>
      <c r="C996" s="25"/>
      <c r="D996" s="25"/>
      <c r="E996" s="25"/>
      <c r="F996" s="25"/>
      <c r="G996" s="25"/>
      <c r="H996" s="25"/>
    </row>
    <row r="997">
      <c r="A997" s="25"/>
      <c r="B997" s="25"/>
      <c r="C997" s="25"/>
      <c r="D997" s="25"/>
      <c r="E997" s="25"/>
      <c r="F997" s="25"/>
      <c r="G997" s="25"/>
      <c r="H997" s="25"/>
    </row>
    <row r="998">
      <c r="A998" s="25"/>
      <c r="B998" s="25"/>
      <c r="C998" s="25"/>
      <c r="D998" s="25"/>
      <c r="E998" s="25"/>
      <c r="F998" s="25"/>
      <c r="G998" s="25"/>
      <c r="H998" s="25"/>
    </row>
    <row r="999">
      <c r="A999" s="25"/>
      <c r="B999" s="25"/>
      <c r="C999" s="25"/>
      <c r="D999" s="25"/>
      <c r="E999" s="25"/>
      <c r="F999" s="25"/>
      <c r="G999" s="25"/>
      <c r="H999" s="25"/>
    </row>
    <row r="1000">
      <c r="A1000" s="25"/>
      <c r="B1000" s="25"/>
      <c r="C1000" s="25"/>
      <c r="D1000" s="25"/>
      <c r="E1000" s="25"/>
      <c r="F1000" s="25"/>
      <c r="G1000" s="25"/>
      <c r="H1000" s="25"/>
    </row>
    <row r="1001">
      <c r="A1001" s="25"/>
      <c r="B1001" s="25"/>
      <c r="C1001" s="25"/>
      <c r="D1001" s="25"/>
      <c r="E1001" s="25"/>
      <c r="F1001" s="25"/>
      <c r="G1001" s="25"/>
      <c r="H1001" s="25"/>
    </row>
    <row r="1002">
      <c r="A1002" s="25"/>
      <c r="B1002" s="25"/>
      <c r="C1002" s="25"/>
      <c r="D1002" s="25"/>
      <c r="E1002" s="25"/>
      <c r="F1002" s="25"/>
      <c r="G1002" s="25"/>
      <c r="H1002" s="25"/>
    </row>
    <row r="1003">
      <c r="A1003" s="25"/>
      <c r="B1003" s="25"/>
      <c r="C1003" s="25"/>
      <c r="D1003" s="25"/>
      <c r="E1003" s="25"/>
      <c r="F1003" s="25"/>
      <c r="G1003" s="25"/>
      <c r="H1003" s="25"/>
    </row>
    <row r="1004">
      <c r="A1004" s="25"/>
      <c r="B1004" s="25"/>
      <c r="C1004" s="25"/>
      <c r="D1004" s="25"/>
      <c r="E1004" s="25"/>
      <c r="F1004" s="25"/>
      <c r="G1004" s="25"/>
      <c r="H1004" s="25"/>
    </row>
    <row r="1005">
      <c r="A1005" s="25"/>
      <c r="B1005" s="25"/>
      <c r="C1005" s="25"/>
      <c r="D1005" s="25"/>
      <c r="E1005" s="25"/>
      <c r="F1005" s="25"/>
      <c r="G1005" s="25"/>
      <c r="H1005" s="25"/>
    </row>
    <row r="1006">
      <c r="A1006" s="25"/>
      <c r="B1006" s="25"/>
      <c r="C1006" s="25"/>
      <c r="D1006" s="25"/>
      <c r="E1006" s="25"/>
      <c r="F1006" s="25"/>
      <c r="G1006" s="25"/>
      <c r="H1006" s="25"/>
    </row>
    <row r="1007">
      <c r="A1007" s="25"/>
      <c r="B1007" s="25"/>
      <c r="C1007" s="25"/>
      <c r="D1007" s="25"/>
      <c r="E1007" s="25"/>
      <c r="F1007" s="25"/>
      <c r="G1007" s="25"/>
      <c r="H1007" s="25"/>
    </row>
  </sheetData>
  <mergeCells count="8">
    <mergeCell ref="A3:A10"/>
    <mergeCell ref="F3:F5"/>
    <mergeCell ref="H3:H9"/>
    <mergeCell ref="A11:A16"/>
    <mergeCell ref="A18:A21"/>
    <mergeCell ref="A24:A28"/>
    <mergeCell ref="A29:A33"/>
    <mergeCell ref="D36:E3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28.25"/>
    <col customWidth="1" min="3" max="3" width="38.25"/>
    <col customWidth="1" min="4" max="4" width="49.25"/>
    <col customWidth="1" min="5" max="5" width="31.75"/>
    <col customWidth="1" min="6" max="6" width="23.0"/>
  </cols>
  <sheetData>
    <row r="1">
      <c r="A1" s="11"/>
      <c r="B1" s="11"/>
      <c r="C1" s="25"/>
      <c r="D1" s="11"/>
      <c r="E1" s="25"/>
      <c r="F1" s="25"/>
    </row>
    <row r="2">
      <c r="A2" s="45" t="s">
        <v>39</v>
      </c>
      <c r="F2" s="25"/>
    </row>
    <row r="3">
      <c r="A3" s="2" t="s">
        <v>104</v>
      </c>
      <c r="B3" s="2" t="s">
        <v>662</v>
      </c>
      <c r="C3" s="29" t="s">
        <v>663</v>
      </c>
      <c r="D3" s="2" t="s">
        <v>1</v>
      </c>
      <c r="E3" s="29" t="s">
        <v>66</v>
      </c>
      <c r="F3" s="25"/>
    </row>
    <row r="4">
      <c r="A4" s="45" t="s">
        <v>664</v>
      </c>
      <c r="F4" s="25"/>
    </row>
    <row r="5">
      <c r="A5" s="5" t="s">
        <v>31</v>
      </c>
      <c r="B5" s="5" t="s">
        <v>373</v>
      </c>
      <c r="C5" s="24" t="s">
        <v>665</v>
      </c>
      <c r="D5" s="5" t="s">
        <v>666</v>
      </c>
      <c r="E5" s="24" t="s">
        <v>75</v>
      </c>
      <c r="F5" s="25"/>
    </row>
    <row r="6">
      <c r="C6" s="24" t="s">
        <v>667</v>
      </c>
      <c r="D6" s="5" t="s">
        <v>666</v>
      </c>
      <c r="E6" s="24" t="s">
        <v>75</v>
      </c>
      <c r="F6" s="25"/>
    </row>
    <row r="7">
      <c r="C7" s="24" t="s">
        <v>668</v>
      </c>
      <c r="D7" s="5" t="s">
        <v>666</v>
      </c>
      <c r="E7" s="24" t="s">
        <v>82</v>
      </c>
      <c r="F7" s="25"/>
    </row>
    <row r="8">
      <c r="C8" s="24" t="s">
        <v>669</v>
      </c>
      <c r="D8" s="5" t="s">
        <v>670</v>
      </c>
      <c r="E8" s="24" t="s">
        <v>82</v>
      </c>
      <c r="F8" s="25"/>
    </row>
    <row r="9">
      <c r="C9" s="24" t="s">
        <v>671</v>
      </c>
      <c r="D9" s="5" t="s">
        <v>670</v>
      </c>
      <c r="E9" s="24" t="s">
        <v>82</v>
      </c>
      <c r="F9" s="25"/>
    </row>
    <row r="10">
      <c r="C10" s="24" t="s">
        <v>672</v>
      </c>
      <c r="D10" s="5" t="s">
        <v>670</v>
      </c>
      <c r="E10" s="24" t="s">
        <v>82</v>
      </c>
      <c r="F10" s="25"/>
    </row>
    <row r="11">
      <c r="C11" s="24" t="s">
        <v>673</v>
      </c>
      <c r="D11" s="5" t="s">
        <v>666</v>
      </c>
      <c r="E11" s="24" t="s">
        <v>82</v>
      </c>
      <c r="F11" s="25"/>
    </row>
    <row r="12">
      <c r="C12" s="24" t="s">
        <v>674</v>
      </c>
      <c r="D12" s="5" t="s">
        <v>666</v>
      </c>
      <c r="E12" s="24" t="s">
        <v>75</v>
      </c>
      <c r="F12" s="25"/>
    </row>
    <row r="13">
      <c r="C13" s="24" t="s">
        <v>675</v>
      </c>
      <c r="D13" s="5" t="s">
        <v>666</v>
      </c>
      <c r="E13" s="24" t="s">
        <v>75</v>
      </c>
      <c r="F13" s="25"/>
    </row>
    <row r="14">
      <c r="C14" s="24" t="s">
        <v>676</v>
      </c>
      <c r="D14" s="5" t="s">
        <v>666</v>
      </c>
      <c r="E14" s="24" t="s">
        <v>82</v>
      </c>
      <c r="F14" s="25"/>
    </row>
    <row r="15">
      <c r="C15" s="24" t="s">
        <v>677</v>
      </c>
      <c r="D15" s="5" t="s">
        <v>666</v>
      </c>
      <c r="E15" s="24" t="s">
        <v>82</v>
      </c>
      <c r="F15" s="25"/>
    </row>
    <row r="16">
      <c r="C16" s="24" t="s">
        <v>678</v>
      </c>
      <c r="D16" s="5" t="s">
        <v>666</v>
      </c>
      <c r="E16" s="24" t="s">
        <v>82</v>
      </c>
      <c r="F16" s="25"/>
    </row>
    <row r="17">
      <c r="C17" s="24" t="s">
        <v>679</v>
      </c>
      <c r="D17" s="5" t="s">
        <v>666</v>
      </c>
      <c r="E17" s="24" t="s">
        <v>82</v>
      </c>
      <c r="F17" s="25"/>
    </row>
    <row r="18">
      <c r="C18" s="24" t="s">
        <v>680</v>
      </c>
      <c r="D18" s="5" t="s">
        <v>666</v>
      </c>
      <c r="E18" s="24" t="s">
        <v>82</v>
      </c>
      <c r="F18" s="25"/>
    </row>
    <row r="19">
      <c r="C19" s="24" t="s">
        <v>681</v>
      </c>
      <c r="D19" s="5" t="s">
        <v>666</v>
      </c>
      <c r="E19" s="24" t="s">
        <v>82</v>
      </c>
      <c r="F19" s="25"/>
    </row>
    <row r="20">
      <c r="C20" s="24" t="s">
        <v>682</v>
      </c>
      <c r="D20" s="5" t="s">
        <v>666</v>
      </c>
      <c r="E20" s="24" t="s">
        <v>82</v>
      </c>
      <c r="F20" s="25"/>
    </row>
    <row r="21">
      <c r="C21" s="24" t="s">
        <v>683</v>
      </c>
      <c r="D21" s="5" t="s">
        <v>666</v>
      </c>
      <c r="E21" s="24" t="s">
        <v>75</v>
      </c>
      <c r="F21" s="25"/>
    </row>
    <row r="22">
      <c r="C22" s="24" t="s">
        <v>684</v>
      </c>
      <c r="D22" s="5" t="s">
        <v>666</v>
      </c>
      <c r="E22" s="24" t="s">
        <v>75</v>
      </c>
      <c r="F22" s="25"/>
    </row>
    <row r="23">
      <c r="C23" s="24" t="s">
        <v>685</v>
      </c>
      <c r="D23" s="5" t="s">
        <v>666</v>
      </c>
      <c r="E23" s="24" t="s">
        <v>75</v>
      </c>
      <c r="F23" s="25"/>
    </row>
    <row r="24">
      <c r="C24" s="24" t="s">
        <v>686</v>
      </c>
      <c r="D24" s="5" t="s">
        <v>666</v>
      </c>
      <c r="E24" s="24" t="s">
        <v>75</v>
      </c>
      <c r="F24" s="25"/>
    </row>
    <row r="25">
      <c r="C25" s="24" t="s">
        <v>687</v>
      </c>
      <c r="D25" s="5" t="s">
        <v>666</v>
      </c>
      <c r="E25" s="24" t="s">
        <v>75</v>
      </c>
      <c r="F25" s="25"/>
    </row>
    <row r="26">
      <c r="C26" s="24" t="s">
        <v>688</v>
      </c>
      <c r="D26" s="5" t="s">
        <v>666</v>
      </c>
      <c r="E26" s="24" t="s">
        <v>75</v>
      </c>
      <c r="F26" s="25"/>
    </row>
    <row r="27">
      <c r="C27" s="24" t="s">
        <v>689</v>
      </c>
      <c r="D27" s="5" t="s">
        <v>666</v>
      </c>
      <c r="E27" s="24" t="s">
        <v>75</v>
      </c>
      <c r="F27" s="25"/>
    </row>
    <row r="28">
      <c r="C28" s="24" t="s">
        <v>690</v>
      </c>
      <c r="D28" s="5" t="s">
        <v>666</v>
      </c>
      <c r="E28" s="24" t="s">
        <v>75</v>
      </c>
      <c r="F28" s="25"/>
    </row>
    <row r="29">
      <c r="C29" s="24" t="s">
        <v>691</v>
      </c>
      <c r="D29" s="5" t="s">
        <v>666</v>
      </c>
      <c r="E29" s="24" t="s">
        <v>75</v>
      </c>
      <c r="F29" s="25"/>
    </row>
    <row r="30">
      <c r="A30" s="5" t="s">
        <v>556</v>
      </c>
      <c r="B30" s="5" t="s">
        <v>593</v>
      </c>
      <c r="C30" s="24" t="s">
        <v>692</v>
      </c>
      <c r="D30" s="5" t="s">
        <v>666</v>
      </c>
      <c r="E30" s="24" t="s">
        <v>75</v>
      </c>
      <c r="F30" s="25"/>
    </row>
    <row r="31">
      <c r="C31" s="24" t="s">
        <v>693</v>
      </c>
      <c r="D31" s="5" t="s">
        <v>666</v>
      </c>
      <c r="E31" s="24" t="s">
        <v>82</v>
      </c>
      <c r="F31" s="25"/>
    </row>
    <row r="32">
      <c r="C32" s="24" t="s">
        <v>694</v>
      </c>
      <c r="D32" s="5" t="s">
        <v>666</v>
      </c>
      <c r="E32" s="24" t="s">
        <v>82</v>
      </c>
      <c r="F32" s="25"/>
    </row>
    <row r="33">
      <c r="C33" s="24" t="s">
        <v>695</v>
      </c>
      <c r="D33" s="5" t="s">
        <v>666</v>
      </c>
      <c r="E33" s="24" t="s">
        <v>82</v>
      </c>
      <c r="F33" s="25"/>
    </row>
    <row r="34">
      <c r="C34" s="24" t="s">
        <v>696</v>
      </c>
      <c r="D34" s="5" t="s">
        <v>666</v>
      </c>
      <c r="E34" s="24" t="s">
        <v>82</v>
      </c>
      <c r="F34" s="25"/>
    </row>
    <row r="35">
      <c r="C35" s="24" t="s">
        <v>697</v>
      </c>
      <c r="D35" s="5" t="s">
        <v>666</v>
      </c>
      <c r="E35" s="24" t="s">
        <v>82</v>
      </c>
      <c r="F35" s="25"/>
    </row>
    <row r="36">
      <c r="C36" s="24" t="s">
        <v>698</v>
      </c>
      <c r="D36" s="5" t="s">
        <v>666</v>
      </c>
      <c r="E36" s="24" t="s">
        <v>82</v>
      </c>
      <c r="F36" s="25"/>
    </row>
    <row r="37">
      <c r="A37" s="5" t="s">
        <v>585</v>
      </c>
      <c r="B37" s="5" t="s">
        <v>593</v>
      </c>
      <c r="C37" s="24" t="s">
        <v>699</v>
      </c>
      <c r="D37" s="5" t="s">
        <v>666</v>
      </c>
      <c r="E37" s="24" t="s">
        <v>82</v>
      </c>
      <c r="F37" s="25"/>
    </row>
    <row r="38">
      <c r="A38" s="5" t="s">
        <v>592</v>
      </c>
      <c r="B38" s="5" t="s">
        <v>593</v>
      </c>
      <c r="C38" s="24" t="s">
        <v>700</v>
      </c>
      <c r="D38" s="5" t="s">
        <v>666</v>
      </c>
      <c r="E38" s="24" t="s">
        <v>113</v>
      </c>
      <c r="F38" s="25"/>
    </row>
    <row r="39">
      <c r="C39" s="24" t="s">
        <v>701</v>
      </c>
      <c r="D39" s="5" t="s">
        <v>666</v>
      </c>
      <c r="E39" s="24" t="s">
        <v>113</v>
      </c>
      <c r="F39" s="25"/>
    </row>
    <row r="40">
      <c r="C40" s="24" t="s">
        <v>702</v>
      </c>
      <c r="D40" s="5" t="s">
        <v>666</v>
      </c>
      <c r="E40" s="24" t="s">
        <v>75</v>
      </c>
      <c r="F40" s="25"/>
    </row>
    <row r="41">
      <c r="C41" s="24" t="s">
        <v>703</v>
      </c>
      <c r="D41" s="5" t="s">
        <v>666</v>
      </c>
      <c r="E41" s="24" t="s">
        <v>82</v>
      </c>
      <c r="F41" s="25"/>
    </row>
    <row r="42">
      <c r="A42" s="5" t="s">
        <v>704</v>
      </c>
      <c r="B42" s="5" t="s">
        <v>593</v>
      </c>
      <c r="C42" s="24" t="s">
        <v>158</v>
      </c>
      <c r="D42" s="5" t="s">
        <v>666</v>
      </c>
      <c r="E42" s="24" t="s">
        <v>82</v>
      </c>
      <c r="F42" s="25"/>
    </row>
    <row r="43">
      <c r="C43" s="24" t="s">
        <v>705</v>
      </c>
      <c r="D43" s="5" t="s">
        <v>666</v>
      </c>
      <c r="E43" s="24" t="s">
        <v>75</v>
      </c>
      <c r="F43" s="25"/>
    </row>
    <row r="44">
      <c r="C44" s="24" t="s">
        <v>706</v>
      </c>
      <c r="D44" s="5" t="s">
        <v>666</v>
      </c>
      <c r="E44" s="24" t="s">
        <v>82</v>
      </c>
      <c r="F44" s="25"/>
    </row>
    <row r="45">
      <c r="C45" s="24" t="s">
        <v>707</v>
      </c>
      <c r="D45" s="5" t="s">
        <v>666</v>
      </c>
      <c r="E45" s="24" t="s">
        <v>75</v>
      </c>
      <c r="F45" s="25"/>
    </row>
    <row r="46">
      <c r="A46" s="45" t="s">
        <v>78</v>
      </c>
      <c r="F46" s="25"/>
    </row>
    <row r="47">
      <c r="A47" s="5" t="s">
        <v>31</v>
      </c>
      <c r="B47" s="5" t="s">
        <v>408</v>
      </c>
      <c r="C47" s="24" t="s">
        <v>708</v>
      </c>
      <c r="D47" s="5" t="s">
        <v>666</v>
      </c>
      <c r="E47" s="24" t="s">
        <v>78</v>
      </c>
      <c r="F47" s="25"/>
    </row>
    <row r="48">
      <c r="C48" s="24" t="s">
        <v>709</v>
      </c>
      <c r="D48" s="5" t="s">
        <v>670</v>
      </c>
      <c r="F48" s="25"/>
    </row>
    <row r="49">
      <c r="C49" s="24" t="s">
        <v>710</v>
      </c>
      <c r="D49" s="5" t="s">
        <v>666</v>
      </c>
      <c r="F49" s="25"/>
    </row>
    <row r="50">
      <c r="C50" s="24" t="s">
        <v>711</v>
      </c>
      <c r="D50" s="5" t="s">
        <v>666</v>
      </c>
      <c r="F50" s="25"/>
    </row>
    <row r="51">
      <c r="C51" s="24" t="s">
        <v>712</v>
      </c>
      <c r="D51" s="5" t="s">
        <v>666</v>
      </c>
      <c r="F51" s="25"/>
    </row>
    <row r="52">
      <c r="C52" s="24" t="s">
        <v>713</v>
      </c>
      <c r="D52" s="5" t="s">
        <v>666</v>
      </c>
      <c r="F52" s="25"/>
    </row>
    <row r="53">
      <c r="A53" s="5" t="s">
        <v>556</v>
      </c>
      <c r="B53" s="5" t="s">
        <v>557</v>
      </c>
      <c r="C53" s="24" t="s">
        <v>697</v>
      </c>
      <c r="D53" s="5" t="s">
        <v>666</v>
      </c>
      <c r="F53" s="25"/>
    </row>
    <row r="54">
      <c r="C54" s="24" t="s">
        <v>714</v>
      </c>
      <c r="D54" s="5" t="s">
        <v>666</v>
      </c>
      <c r="F54" s="25"/>
    </row>
    <row r="55">
      <c r="A55" s="45" t="s">
        <v>85</v>
      </c>
      <c r="F55" s="25"/>
    </row>
    <row r="56">
      <c r="A56" s="5" t="s">
        <v>31</v>
      </c>
      <c r="B56" s="5" t="s">
        <v>421</v>
      </c>
      <c r="C56" s="24" t="s">
        <v>715</v>
      </c>
      <c r="D56" s="5" t="s">
        <v>666</v>
      </c>
      <c r="E56" s="24" t="s">
        <v>85</v>
      </c>
      <c r="F56" s="25"/>
    </row>
    <row r="57">
      <c r="C57" s="24" t="s">
        <v>716</v>
      </c>
      <c r="D57" s="5" t="s">
        <v>666</v>
      </c>
      <c r="F57" s="25"/>
    </row>
    <row r="58">
      <c r="C58" s="24" t="s">
        <v>717</v>
      </c>
      <c r="D58" s="5" t="s">
        <v>666</v>
      </c>
      <c r="F58" s="25"/>
    </row>
    <row r="59">
      <c r="C59" s="24" t="s">
        <v>718</v>
      </c>
      <c r="D59" s="5" t="s">
        <v>666</v>
      </c>
      <c r="F59" s="25"/>
    </row>
    <row r="60">
      <c r="C60" s="24" t="s">
        <v>719</v>
      </c>
      <c r="D60" s="5" t="s">
        <v>666</v>
      </c>
      <c r="F60" s="25"/>
    </row>
    <row r="61">
      <c r="A61" s="5" t="s">
        <v>556</v>
      </c>
      <c r="B61" s="5" t="s">
        <v>421</v>
      </c>
      <c r="C61" s="24" t="s">
        <v>714</v>
      </c>
      <c r="D61" s="5" t="s">
        <v>666</v>
      </c>
      <c r="F61" s="25"/>
    </row>
    <row r="62">
      <c r="C62" s="24" t="s">
        <v>720</v>
      </c>
      <c r="D62" s="5" t="s">
        <v>666</v>
      </c>
      <c r="F62" s="25"/>
    </row>
    <row r="63">
      <c r="C63" s="24" t="s">
        <v>721</v>
      </c>
      <c r="D63" s="5" t="s">
        <v>666</v>
      </c>
      <c r="F63" s="25"/>
    </row>
    <row r="64">
      <c r="C64" s="24" t="s">
        <v>722</v>
      </c>
      <c r="D64" s="5" t="s">
        <v>670</v>
      </c>
      <c r="F64" s="25"/>
    </row>
    <row r="65">
      <c r="A65" s="5" t="s">
        <v>585</v>
      </c>
      <c r="B65" s="5" t="s">
        <v>421</v>
      </c>
      <c r="C65" s="24" t="s">
        <v>723</v>
      </c>
      <c r="D65" s="5" t="s">
        <v>666</v>
      </c>
      <c r="F65" s="25"/>
    </row>
    <row r="66">
      <c r="C66" s="24" t="s">
        <v>724</v>
      </c>
      <c r="D66" s="5" t="s">
        <v>666</v>
      </c>
      <c r="F66" s="25"/>
    </row>
    <row r="67">
      <c r="A67" s="11"/>
      <c r="B67" s="11"/>
      <c r="C67" s="25"/>
      <c r="D67" s="11"/>
      <c r="E67" s="25"/>
      <c r="F67" s="25"/>
    </row>
    <row r="68">
      <c r="A68" s="11"/>
      <c r="B68" s="11"/>
      <c r="C68" s="25"/>
      <c r="D68" s="11"/>
      <c r="E68" s="25"/>
      <c r="F68" s="25"/>
    </row>
    <row r="69">
      <c r="A69" s="45" t="s">
        <v>725</v>
      </c>
      <c r="F69" s="25"/>
    </row>
    <row r="70">
      <c r="A70" s="5" t="s">
        <v>726</v>
      </c>
      <c r="B70" s="24" t="s">
        <v>727</v>
      </c>
      <c r="F70" s="25"/>
    </row>
    <row r="71">
      <c r="B71" s="24" t="s">
        <v>728</v>
      </c>
      <c r="F71" s="25"/>
    </row>
    <row r="72">
      <c r="B72" s="24" t="s">
        <v>729</v>
      </c>
      <c r="F72" s="25"/>
    </row>
    <row r="73">
      <c r="A73" s="11"/>
      <c r="B73" s="11"/>
      <c r="C73" s="25"/>
      <c r="D73" s="11"/>
      <c r="E73" s="25"/>
      <c r="F73" s="25"/>
    </row>
    <row r="74">
      <c r="A74" s="11"/>
      <c r="B74" s="11"/>
      <c r="C74" s="25"/>
      <c r="D74" s="11"/>
      <c r="E74" s="25"/>
      <c r="F74" s="25"/>
    </row>
    <row r="75">
      <c r="A75" s="45" t="s">
        <v>730</v>
      </c>
      <c r="F75" s="25"/>
    </row>
    <row r="76">
      <c r="A76" s="2" t="s">
        <v>104</v>
      </c>
      <c r="B76" s="2" t="s">
        <v>731</v>
      </c>
      <c r="C76" s="29" t="s">
        <v>732</v>
      </c>
      <c r="D76" s="2" t="s">
        <v>733</v>
      </c>
      <c r="E76" s="29" t="s">
        <v>734</v>
      </c>
      <c r="F76" s="25"/>
    </row>
    <row r="77">
      <c r="A77" s="5" t="s">
        <v>31</v>
      </c>
      <c r="B77" s="5" t="s">
        <v>735</v>
      </c>
      <c r="C77" s="24" t="s">
        <v>736</v>
      </c>
      <c r="D77" s="5" t="s">
        <v>737</v>
      </c>
      <c r="E77" s="24" t="s">
        <v>738</v>
      </c>
      <c r="F77" s="25"/>
    </row>
    <row r="78">
      <c r="A78" s="5" t="s">
        <v>556</v>
      </c>
      <c r="B78" s="5" t="s">
        <v>739</v>
      </c>
      <c r="C78" s="24" t="s">
        <v>740</v>
      </c>
      <c r="D78" s="5" t="s">
        <v>741</v>
      </c>
      <c r="E78" s="24" t="s">
        <v>742</v>
      </c>
      <c r="F78" s="25"/>
    </row>
    <row r="79">
      <c r="A79" s="5" t="s">
        <v>592</v>
      </c>
      <c r="B79" s="5" t="s">
        <v>743</v>
      </c>
      <c r="C79" s="24" t="s">
        <v>740</v>
      </c>
      <c r="D79" s="5" t="s">
        <v>744</v>
      </c>
      <c r="E79" s="24" t="s">
        <v>745</v>
      </c>
      <c r="F79" s="25"/>
    </row>
    <row r="80">
      <c r="A80" s="5" t="s">
        <v>746</v>
      </c>
      <c r="B80" s="5" t="s">
        <v>739</v>
      </c>
      <c r="C80" s="24" t="s">
        <v>736</v>
      </c>
      <c r="D80" s="5" t="s">
        <v>747</v>
      </c>
      <c r="E80" s="24" t="s">
        <v>748</v>
      </c>
      <c r="F80" s="25"/>
    </row>
    <row r="81">
      <c r="A81" s="5" t="s">
        <v>393</v>
      </c>
      <c r="B81" s="5" t="s">
        <v>749</v>
      </c>
      <c r="C81" s="24" t="s">
        <v>750</v>
      </c>
      <c r="D81" s="5" t="s">
        <v>87</v>
      </c>
      <c r="E81" s="24" t="s">
        <v>751</v>
      </c>
      <c r="F81" s="25"/>
    </row>
    <row r="82">
      <c r="A82" s="11"/>
      <c r="B82" s="11"/>
      <c r="C82" s="25"/>
      <c r="D82" s="11"/>
      <c r="E82" s="25"/>
      <c r="F82" s="25"/>
    </row>
    <row r="83">
      <c r="A83" s="11"/>
      <c r="B83" s="11"/>
      <c r="C83" s="25"/>
      <c r="D83" s="11"/>
      <c r="E83" s="25"/>
      <c r="F83" s="25"/>
    </row>
    <row r="84">
      <c r="A84" s="45" t="s">
        <v>752</v>
      </c>
      <c r="F84" s="25"/>
    </row>
    <row r="85">
      <c r="A85" s="24" t="s">
        <v>753</v>
      </c>
      <c r="F85" s="25"/>
    </row>
    <row r="86">
      <c r="A86" s="7" t="s">
        <v>754</v>
      </c>
      <c r="F86" s="25"/>
    </row>
    <row r="87">
      <c r="A87" s="11"/>
      <c r="B87" s="11"/>
      <c r="C87" s="25"/>
      <c r="D87" s="11"/>
      <c r="E87" s="25"/>
      <c r="F87" s="25"/>
    </row>
    <row r="88">
      <c r="A88" s="11"/>
      <c r="B88" s="11"/>
      <c r="C88" s="25"/>
      <c r="D88" s="11"/>
      <c r="E88" s="25"/>
      <c r="F88" s="25"/>
    </row>
    <row r="89">
      <c r="A89" s="45" t="s">
        <v>755</v>
      </c>
      <c r="F89" s="25"/>
    </row>
    <row r="90">
      <c r="A90" s="46" t="s">
        <v>756</v>
      </c>
      <c r="F90" s="25"/>
    </row>
    <row r="91">
      <c r="A91" s="11"/>
      <c r="B91" s="11"/>
      <c r="C91" s="25"/>
      <c r="D91" s="11"/>
      <c r="E91" s="25"/>
      <c r="F91" s="25"/>
    </row>
    <row r="92">
      <c r="A92" s="11"/>
      <c r="B92" s="11"/>
      <c r="C92" s="25"/>
      <c r="D92" s="11"/>
      <c r="E92" s="25"/>
      <c r="F92" s="25"/>
    </row>
    <row r="93">
      <c r="A93" s="45" t="s">
        <v>757</v>
      </c>
      <c r="F93" s="25"/>
    </row>
    <row r="94">
      <c r="A94" s="24" t="s">
        <v>758</v>
      </c>
      <c r="F94" s="25"/>
    </row>
    <row r="95">
      <c r="A95" s="24" t="s">
        <v>759</v>
      </c>
      <c r="F95" s="25"/>
    </row>
    <row r="96">
      <c r="A96" s="24" t="s">
        <v>760</v>
      </c>
      <c r="F96" s="25"/>
    </row>
    <row r="97">
      <c r="A97" s="24" t="s">
        <v>761</v>
      </c>
      <c r="F97" s="25"/>
    </row>
    <row r="98">
      <c r="A98" s="11"/>
      <c r="B98" s="11"/>
      <c r="C98" s="25"/>
      <c r="D98" s="11"/>
      <c r="E98" s="25"/>
      <c r="F98" s="25"/>
    </row>
    <row r="99">
      <c r="A99" s="11"/>
      <c r="B99" s="11"/>
      <c r="C99" s="25"/>
      <c r="D99" s="11"/>
      <c r="E99" s="25"/>
      <c r="F99" s="25"/>
    </row>
    <row r="100">
      <c r="A100" s="47" t="s">
        <v>762</v>
      </c>
    </row>
    <row r="101">
      <c r="A101" s="45" t="s">
        <v>75</v>
      </c>
    </row>
    <row r="102">
      <c r="A102" s="29" t="s">
        <v>104</v>
      </c>
      <c r="B102" s="29" t="s">
        <v>763</v>
      </c>
      <c r="C102" s="29" t="s">
        <v>764</v>
      </c>
      <c r="D102" s="29" t="s">
        <v>765</v>
      </c>
      <c r="E102" s="29" t="s">
        <v>524</v>
      </c>
    </row>
    <row r="103">
      <c r="A103" s="24" t="s">
        <v>766</v>
      </c>
      <c r="B103" s="24" t="s">
        <v>87</v>
      </c>
      <c r="C103" s="24" t="s">
        <v>767</v>
      </c>
      <c r="D103" s="24" t="s">
        <v>87</v>
      </c>
      <c r="E103" s="24" t="s">
        <v>768</v>
      </c>
    </row>
    <row r="104">
      <c r="C104" s="24" t="s">
        <v>769</v>
      </c>
      <c r="D104" s="24" t="s">
        <v>87</v>
      </c>
    </row>
    <row r="105">
      <c r="A105" s="24" t="s">
        <v>770</v>
      </c>
      <c r="B105" s="24" t="s">
        <v>771</v>
      </c>
      <c r="C105" s="24" t="s">
        <v>772</v>
      </c>
      <c r="D105" s="24" t="s">
        <v>773</v>
      </c>
      <c r="E105" s="24" t="s">
        <v>774</v>
      </c>
    </row>
    <row r="106">
      <c r="B106" s="24" t="s">
        <v>775</v>
      </c>
      <c r="C106" s="24" t="s">
        <v>776</v>
      </c>
      <c r="D106" s="24" t="s">
        <v>87</v>
      </c>
      <c r="E106" s="24" t="s">
        <v>777</v>
      </c>
    </row>
    <row r="107">
      <c r="A107" s="24" t="s">
        <v>778</v>
      </c>
      <c r="B107" s="24" t="s">
        <v>617</v>
      </c>
      <c r="C107" s="24" t="s">
        <v>779</v>
      </c>
      <c r="D107" s="24" t="s">
        <v>780</v>
      </c>
      <c r="E107" s="24" t="s">
        <v>781</v>
      </c>
    </row>
    <row r="108">
      <c r="C108" s="24" t="s">
        <v>782</v>
      </c>
      <c r="D108" s="24" t="s">
        <v>783</v>
      </c>
    </row>
    <row r="109">
      <c r="C109" s="24" t="s">
        <v>784</v>
      </c>
      <c r="D109" s="24" t="s">
        <v>785</v>
      </c>
    </row>
    <row r="110">
      <c r="C110" s="24" t="s">
        <v>786</v>
      </c>
      <c r="D110" s="24" t="s">
        <v>787</v>
      </c>
    </row>
    <row r="111">
      <c r="A111" s="24" t="s">
        <v>788</v>
      </c>
      <c r="B111" s="24" t="s">
        <v>87</v>
      </c>
      <c r="C111" s="24" t="s">
        <v>789</v>
      </c>
      <c r="D111" s="24" t="s">
        <v>87</v>
      </c>
      <c r="E111" s="24" t="s">
        <v>790</v>
      </c>
    </row>
    <row r="112">
      <c r="A112" s="24" t="s">
        <v>791</v>
      </c>
      <c r="B112" s="24" t="s">
        <v>792</v>
      </c>
      <c r="C112" s="24" t="s">
        <v>789</v>
      </c>
      <c r="D112" s="24" t="s">
        <v>87</v>
      </c>
      <c r="E112" s="24" t="s">
        <v>793</v>
      </c>
    </row>
    <row r="113">
      <c r="A113" s="45" t="s">
        <v>82</v>
      </c>
    </row>
    <row r="114">
      <c r="A114" s="24" t="s">
        <v>766</v>
      </c>
      <c r="B114" s="24" t="s">
        <v>87</v>
      </c>
      <c r="C114" s="24" t="s">
        <v>794</v>
      </c>
      <c r="D114" s="24" t="s">
        <v>795</v>
      </c>
      <c r="E114" s="24" t="s">
        <v>796</v>
      </c>
    </row>
    <row r="115">
      <c r="A115" s="24" t="s">
        <v>770</v>
      </c>
      <c r="B115" s="24" t="s">
        <v>771</v>
      </c>
      <c r="C115" s="24" t="s">
        <v>797</v>
      </c>
      <c r="D115" s="24" t="s">
        <v>798</v>
      </c>
      <c r="E115" s="24" t="s">
        <v>796</v>
      </c>
    </row>
    <row r="116">
      <c r="A116" s="24" t="s">
        <v>791</v>
      </c>
      <c r="B116" s="24" t="s">
        <v>799</v>
      </c>
      <c r="C116" s="24" t="s">
        <v>800</v>
      </c>
      <c r="D116" s="24" t="s">
        <v>801</v>
      </c>
      <c r="E116" s="24" t="s">
        <v>796</v>
      </c>
    </row>
    <row r="117">
      <c r="C117" s="24" t="s">
        <v>797</v>
      </c>
      <c r="D117" s="24" t="s">
        <v>802</v>
      </c>
      <c r="E117" s="24" t="s">
        <v>796</v>
      </c>
    </row>
    <row r="118">
      <c r="A118" s="24" t="s">
        <v>803</v>
      </c>
      <c r="B118" s="24" t="s">
        <v>804</v>
      </c>
      <c r="C118" s="24" t="s">
        <v>805</v>
      </c>
      <c r="D118" s="24" t="s">
        <v>87</v>
      </c>
      <c r="E118" s="24" t="s">
        <v>806</v>
      </c>
    </row>
    <row r="119">
      <c r="A119" s="45" t="s">
        <v>78</v>
      </c>
    </row>
    <row r="120">
      <c r="A120" s="24" t="s">
        <v>807</v>
      </c>
      <c r="B120" s="24" t="s">
        <v>87</v>
      </c>
      <c r="C120" s="24" t="s">
        <v>808</v>
      </c>
      <c r="D120" s="24" t="s">
        <v>809</v>
      </c>
      <c r="E120" s="24" t="s">
        <v>796</v>
      </c>
    </row>
    <row r="121">
      <c r="C121" s="24" t="s">
        <v>810</v>
      </c>
      <c r="D121" s="24" t="s">
        <v>811</v>
      </c>
      <c r="E121" s="24" t="s">
        <v>812</v>
      </c>
    </row>
    <row r="122">
      <c r="A122" s="24" t="s">
        <v>813</v>
      </c>
      <c r="B122" s="24" t="s">
        <v>814</v>
      </c>
      <c r="C122" s="24" t="s">
        <v>815</v>
      </c>
      <c r="D122" s="24" t="s">
        <v>816</v>
      </c>
      <c r="E122" s="24" t="s">
        <v>796</v>
      </c>
    </row>
    <row r="123">
      <c r="A123" s="45" t="s">
        <v>85</v>
      </c>
    </row>
    <row r="124">
      <c r="A124" s="24" t="s">
        <v>817</v>
      </c>
      <c r="B124" s="24" t="s">
        <v>87</v>
      </c>
      <c r="C124" s="24" t="s">
        <v>818</v>
      </c>
      <c r="D124" s="24" t="s">
        <v>819</v>
      </c>
      <c r="E124" s="24" t="s">
        <v>796</v>
      </c>
      <c r="F124" s="25"/>
    </row>
    <row r="125">
      <c r="C125" s="24" t="s">
        <v>820</v>
      </c>
      <c r="D125" s="24" t="s">
        <v>821</v>
      </c>
      <c r="F125" s="25"/>
    </row>
    <row r="126">
      <c r="C126" s="24" t="s">
        <v>822</v>
      </c>
      <c r="D126" s="24" t="s">
        <v>823</v>
      </c>
      <c r="F126" s="25"/>
    </row>
    <row r="127">
      <c r="A127" s="24" t="s">
        <v>824</v>
      </c>
      <c r="B127" s="24" t="s">
        <v>825</v>
      </c>
      <c r="C127" s="24" t="s">
        <v>826</v>
      </c>
      <c r="D127" s="24" t="s">
        <v>827</v>
      </c>
      <c r="E127" s="24" t="s">
        <v>796</v>
      </c>
      <c r="F127" s="25"/>
    </row>
    <row r="128">
      <c r="C128" s="24" t="s">
        <v>828</v>
      </c>
      <c r="D128" s="24" t="s">
        <v>829</v>
      </c>
      <c r="F128" s="25"/>
    </row>
    <row r="129">
      <c r="A129" s="24" t="s">
        <v>830</v>
      </c>
      <c r="B129" s="24" t="s">
        <v>831</v>
      </c>
      <c r="C129" s="24" t="s">
        <v>832</v>
      </c>
      <c r="D129" s="24" t="s">
        <v>833</v>
      </c>
      <c r="E129" s="24" t="s">
        <v>796</v>
      </c>
      <c r="F129" s="25"/>
    </row>
    <row r="130">
      <c r="C130" s="24" t="s">
        <v>834</v>
      </c>
      <c r="D130" s="24" t="s">
        <v>835</v>
      </c>
      <c r="F130" s="25"/>
    </row>
    <row r="131">
      <c r="A131" s="25"/>
      <c r="B131" s="25"/>
      <c r="C131" s="25"/>
      <c r="D131" s="25"/>
      <c r="E131" s="25"/>
      <c r="F131" s="25"/>
    </row>
    <row r="132">
      <c r="A132" s="25"/>
      <c r="B132" s="25"/>
      <c r="C132" s="25"/>
      <c r="D132" s="25"/>
      <c r="E132" s="25"/>
      <c r="F132" s="25"/>
    </row>
    <row r="133">
      <c r="A133" s="25"/>
      <c r="B133" s="25"/>
      <c r="C133" s="25"/>
      <c r="D133" s="25"/>
      <c r="E133" s="25"/>
      <c r="F133" s="25"/>
    </row>
    <row r="134">
      <c r="A134" s="25"/>
      <c r="B134" s="25"/>
      <c r="C134" s="25"/>
      <c r="D134" s="25"/>
      <c r="E134" s="25"/>
      <c r="F134" s="25"/>
    </row>
    <row r="135">
      <c r="A135" s="25"/>
      <c r="B135" s="25"/>
      <c r="C135" s="25"/>
      <c r="D135" s="25"/>
      <c r="E135" s="25"/>
      <c r="F135" s="25"/>
    </row>
    <row r="136">
      <c r="A136" s="25"/>
      <c r="B136" s="25"/>
      <c r="C136" s="25"/>
      <c r="D136" s="25"/>
      <c r="E136" s="25"/>
      <c r="F136" s="25"/>
    </row>
    <row r="137">
      <c r="A137" s="25"/>
      <c r="B137" s="25"/>
      <c r="C137" s="25"/>
      <c r="D137" s="25"/>
      <c r="E137" s="25"/>
      <c r="F137" s="25"/>
    </row>
    <row r="138">
      <c r="A138" s="25"/>
      <c r="B138" s="25"/>
      <c r="C138" s="25"/>
      <c r="D138" s="25"/>
      <c r="E138" s="25"/>
      <c r="F138" s="25"/>
    </row>
    <row r="139">
      <c r="A139" s="25"/>
      <c r="B139" s="25"/>
      <c r="C139" s="25"/>
      <c r="D139" s="25"/>
      <c r="E139" s="25"/>
      <c r="F139" s="25"/>
    </row>
    <row r="140">
      <c r="A140" s="25"/>
      <c r="B140" s="25"/>
      <c r="C140" s="25"/>
      <c r="D140" s="25"/>
      <c r="E140" s="25"/>
      <c r="F140" s="25"/>
    </row>
    <row r="141">
      <c r="A141" s="25"/>
      <c r="B141" s="25"/>
      <c r="C141" s="25"/>
      <c r="D141" s="25"/>
      <c r="E141" s="25"/>
      <c r="F141" s="25"/>
    </row>
    <row r="142">
      <c r="A142" s="25"/>
      <c r="B142" s="25"/>
      <c r="C142" s="25"/>
      <c r="D142" s="25"/>
      <c r="E142" s="25"/>
      <c r="F142" s="25"/>
    </row>
    <row r="143">
      <c r="A143" s="25"/>
      <c r="B143" s="25"/>
      <c r="C143" s="25"/>
      <c r="D143" s="25"/>
      <c r="E143" s="25"/>
      <c r="F143" s="25"/>
    </row>
    <row r="144">
      <c r="A144" s="25"/>
      <c r="B144" s="25"/>
      <c r="C144" s="25"/>
      <c r="D144" s="25"/>
      <c r="E144" s="25"/>
      <c r="F144" s="25"/>
    </row>
    <row r="145">
      <c r="A145" s="25"/>
      <c r="B145" s="25"/>
      <c r="C145" s="25"/>
      <c r="D145" s="25"/>
      <c r="E145" s="25"/>
      <c r="F145" s="25"/>
    </row>
    <row r="146">
      <c r="A146" s="25"/>
      <c r="B146" s="25"/>
      <c r="C146" s="25"/>
      <c r="D146" s="25"/>
      <c r="E146" s="25"/>
      <c r="F146" s="25"/>
    </row>
    <row r="147">
      <c r="A147" s="25"/>
      <c r="B147" s="25"/>
      <c r="C147" s="25"/>
      <c r="D147" s="25"/>
      <c r="E147" s="25"/>
      <c r="F147" s="25"/>
    </row>
    <row r="148">
      <c r="A148" s="25"/>
      <c r="B148" s="25"/>
      <c r="C148" s="25"/>
      <c r="D148" s="25"/>
      <c r="E148" s="25"/>
      <c r="F148" s="25"/>
    </row>
    <row r="149">
      <c r="A149" s="11"/>
      <c r="B149" s="11"/>
      <c r="C149" s="25"/>
      <c r="D149" s="11"/>
      <c r="E149" s="25"/>
      <c r="F149" s="25"/>
    </row>
    <row r="150">
      <c r="A150" s="11"/>
      <c r="B150" s="11"/>
      <c r="C150" s="25"/>
      <c r="D150" s="11"/>
      <c r="E150" s="25"/>
      <c r="F150" s="25"/>
    </row>
    <row r="151">
      <c r="A151" s="11"/>
      <c r="B151" s="11"/>
      <c r="C151" s="25"/>
      <c r="D151" s="11"/>
      <c r="E151" s="25"/>
      <c r="F151" s="25"/>
    </row>
    <row r="152">
      <c r="A152" s="11"/>
      <c r="B152" s="11"/>
      <c r="C152" s="25"/>
      <c r="D152" s="11"/>
      <c r="E152" s="25"/>
      <c r="F152" s="25"/>
    </row>
    <row r="153">
      <c r="A153" s="11"/>
      <c r="B153" s="11"/>
      <c r="C153" s="25"/>
      <c r="D153" s="11"/>
      <c r="E153" s="25"/>
      <c r="F153" s="25"/>
    </row>
    <row r="154">
      <c r="A154" s="11"/>
      <c r="B154" s="11"/>
      <c r="C154" s="25"/>
      <c r="D154" s="11"/>
      <c r="E154" s="25"/>
      <c r="F154" s="25"/>
    </row>
    <row r="155">
      <c r="A155" s="11"/>
      <c r="B155" s="11"/>
      <c r="C155" s="25"/>
      <c r="D155" s="11"/>
      <c r="E155" s="25"/>
      <c r="F155" s="25"/>
    </row>
    <row r="156">
      <c r="A156" s="11"/>
      <c r="B156" s="11"/>
      <c r="C156" s="25"/>
      <c r="D156" s="11"/>
      <c r="E156" s="25"/>
      <c r="F156" s="25"/>
    </row>
    <row r="157">
      <c r="A157" s="11"/>
      <c r="B157" s="11"/>
      <c r="C157" s="25"/>
      <c r="D157" s="11"/>
      <c r="E157" s="25"/>
      <c r="F157" s="25"/>
    </row>
    <row r="158">
      <c r="A158" s="11"/>
      <c r="B158" s="11"/>
      <c r="C158" s="25"/>
      <c r="D158" s="11"/>
      <c r="E158" s="25"/>
      <c r="F158" s="25"/>
    </row>
    <row r="159">
      <c r="A159" s="11"/>
      <c r="B159" s="11"/>
      <c r="C159" s="25"/>
      <c r="D159" s="11"/>
      <c r="E159" s="25"/>
      <c r="F159" s="25"/>
    </row>
    <row r="160">
      <c r="A160" s="11"/>
      <c r="B160" s="11"/>
      <c r="C160" s="25"/>
      <c r="D160" s="11"/>
      <c r="E160" s="25"/>
      <c r="F160" s="25"/>
    </row>
    <row r="161">
      <c r="A161" s="11"/>
      <c r="B161" s="11"/>
      <c r="C161" s="25"/>
      <c r="D161" s="11"/>
      <c r="E161" s="25"/>
      <c r="F161" s="25"/>
    </row>
    <row r="162">
      <c r="A162" s="11"/>
      <c r="B162" s="11"/>
      <c r="C162" s="25"/>
      <c r="D162" s="11"/>
      <c r="E162" s="25"/>
      <c r="F162" s="25"/>
    </row>
    <row r="163">
      <c r="A163" s="11"/>
      <c r="B163" s="11"/>
      <c r="C163" s="25"/>
      <c r="D163" s="11"/>
      <c r="E163" s="25"/>
      <c r="F163" s="25"/>
    </row>
    <row r="164">
      <c r="A164" s="11"/>
      <c r="B164" s="11"/>
      <c r="C164" s="25"/>
      <c r="D164" s="11"/>
      <c r="E164" s="25"/>
      <c r="F164" s="25"/>
    </row>
    <row r="165">
      <c r="A165" s="11"/>
      <c r="B165" s="11"/>
      <c r="C165" s="25"/>
      <c r="D165" s="11"/>
      <c r="E165" s="25"/>
      <c r="F165" s="25"/>
    </row>
    <row r="166">
      <c r="A166" s="11"/>
      <c r="B166" s="11"/>
      <c r="C166" s="25"/>
      <c r="D166" s="11"/>
      <c r="E166" s="25"/>
      <c r="F166" s="25"/>
    </row>
    <row r="167">
      <c r="A167" s="11"/>
      <c r="B167" s="11"/>
      <c r="C167" s="25"/>
      <c r="D167" s="11"/>
      <c r="E167" s="25"/>
      <c r="F167" s="25"/>
    </row>
    <row r="168">
      <c r="A168" s="11"/>
      <c r="B168" s="11"/>
      <c r="C168" s="25"/>
      <c r="D168" s="11"/>
      <c r="E168" s="25"/>
      <c r="F168" s="25"/>
    </row>
    <row r="169">
      <c r="A169" s="11"/>
      <c r="B169" s="11"/>
      <c r="C169" s="25"/>
      <c r="D169" s="11"/>
      <c r="E169" s="25"/>
      <c r="F169" s="25"/>
    </row>
    <row r="170">
      <c r="A170" s="11"/>
      <c r="B170" s="11"/>
      <c r="C170" s="25"/>
      <c r="D170" s="11"/>
      <c r="E170" s="25"/>
      <c r="F170" s="25"/>
    </row>
    <row r="171">
      <c r="A171" s="11"/>
      <c r="B171" s="11"/>
      <c r="C171" s="25"/>
      <c r="D171" s="11"/>
      <c r="E171" s="25"/>
      <c r="F171" s="25"/>
    </row>
    <row r="172">
      <c r="A172" s="11"/>
      <c r="B172" s="11"/>
      <c r="C172" s="25"/>
      <c r="D172" s="11"/>
      <c r="E172" s="25"/>
      <c r="F172" s="25"/>
    </row>
    <row r="173">
      <c r="A173" s="11"/>
      <c r="B173" s="11"/>
      <c r="C173" s="25"/>
      <c r="D173" s="11"/>
      <c r="E173" s="25"/>
      <c r="F173" s="25"/>
    </row>
    <row r="174">
      <c r="A174" s="11"/>
      <c r="B174" s="11"/>
      <c r="C174" s="25"/>
      <c r="D174" s="11"/>
      <c r="E174" s="25"/>
      <c r="F174" s="25"/>
    </row>
    <row r="175">
      <c r="A175" s="11"/>
      <c r="B175" s="11"/>
      <c r="C175" s="25"/>
      <c r="D175" s="11"/>
      <c r="E175" s="25"/>
      <c r="F175" s="25"/>
    </row>
    <row r="176">
      <c r="A176" s="11"/>
      <c r="B176" s="11"/>
      <c r="C176" s="25"/>
      <c r="D176" s="11"/>
      <c r="E176" s="25"/>
      <c r="F176" s="25"/>
    </row>
    <row r="177">
      <c r="A177" s="11"/>
      <c r="B177" s="11"/>
      <c r="C177" s="25"/>
      <c r="D177" s="11"/>
      <c r="E177" s="25"/>
      <c r="F177" s="25"/>
    </row>
    <row r="178">
      <c r="A178" s="11"/>
      <c r="B178" s="11"/>
      <c r="C178" s="25"/>
      <c r="D178" s="11"/>
      <c r="E178" s="25"/>
      <c r="F178" s="25"/>
    </row>
    <row r="179">
      <c r="A179" s="11"/>
      <c r="B179" s="11"/>
      <c r="C179" s="25"/>
      <c r="D179" s="11"/>
      <c r="E179" s="25"/>
      <c r="F179" s="25"/>
    </row>
    <row r="180">
      <c r="A180" s="11"/>
      <c r="B180" s="11"/>
      <c r="C180" s="25"/>
      <c r="D180" s="11"/>
      <c r="E180" s="25"/>
      <c r="F180" s="25"/>
    </row>
    <row r="181">
      <c r="A181" s="11"/>
      <c r="B181" s="11"/>
      <c r="C181" s="25"/>
      <c r="D181" s="11"/>
      <c r="E181" s="25"/>
      <c r="F181" s="25"/>
    </row>
    <row r="182">
      <c r="A182" s="11"/>
      <c r="B182" s="11"/>
      <c r="C182" s="25"/>
      <c r="D182" s="11"/>
      <c r="E182" s="25"/>
      <c r="F182" s="25"/>
    </row>
    <row r="183">
      <c r="A183" s="11"/>
      <c r="B183" s="11"/>
      <c r="C183" s="25"/>
      <c r="D183" s="11"/>
      <c r="E183" s="25"/>
      <c r="F183" s="25"/>
    </row>
    <row r="184">
      <c r="A184" s="11"/>
      <c r="B184" s="11"/>
      <c r="C184" s="25"/>
      <c r="D184" s="11"/>
      <c r="E184" s="25"/>
      <c r="F184" s="25"/>
    </row>
    <row r="185">
      <c r="A185" s="11"/>
      <c r="B185" s="11"/>
      <c r="C185" s="25"/>
      <c r="D185" s="11"/>
      <c r="E185" s="25"/>
      <c r="F185" s="25"/>
    </row>
    <row r="186">
      <c r="A186" s="11"/>
      <c r="B186" s="11"/>
      <c r="C186" s="25"/>
      <c r="D186" s="11"/>
      <c r="E186" s="25"/>
      <c r="F186" s="25"/>
    </row>
    <row r="187">
      <c r="A187" s="11"/>
      <c r="B187" s="11"/>
      <c r="C187" s="25"/>
      <c r="D187" s="11"/>
      <c r="E187" s="25"/>
      <c r="F187" s="25"/>
    </row>
    <row r="188">
      <c r="A188" s="11"/>
      <c r="B188" s="11"/>
      <c r="C188" s="25"/>
      <c r="D188" s="11"/>
      <c r="E188" s="25"/>
      <c r="F188" s="25"/>
    </row>
    <row r="189">
      <c r="A189" s="11"/>
      <c r="B189" s="11"/>
      <c r="C189" s="25"/>
      <c r="D189" s="11"/>
      <c r="E189" s="25"/>
      <c r="F189" s="25"/>
    </row>
    <row r="190">
      <c r="A190" s="11"/>
      <c r="B190" s="11"/>
      <c r="C190" s="25"/>
      <c r="D190" s="11"/>
      <c r="E190" s="25"/>
      <c r="F190" s="25"/>
    </row>
    <row r="191">
      <c r="A191" s="11"/>
      <c r="B191" s="11"/>
      <c r="C191" s="25"/>
      <c r="D191" s="11"/>
      <c r="E191" s="25"/>
      <c r="F191" s="25"/>
    </row>
    <row r="192">
      <c r="A192" s="11"/>
      <c r="B192" s="11"/>
      <c r="C192" s="25"/>
      <c r="D192" s="11"/>
      <c r="E192" s="25"/>
      <c r="F192" s="25"/>
    </row>
    <row r="193">
      <c r="A193" s="11"/>
      <c r="B193" s="11"/>
      <c r="C193" s="25"/>
      <c r="D193" s="11"/>
      <c r="E193" s="25"/>
      <c r="F193" s="25"/>
    </row>
    <row r="194">
      <c r="A194" s="11"/>
      <c r="B194" s="11"/>
      <c r="C194" s="25"/>
      <c r="D194" s="11"/>
      <c r="E194" s="25"/>
      <c r="F194" s="25"/>
    </row>
    <row r="195">
      <c r="A195" s="11"/>
      <c r="B195" s="11"/>
      <c r="C195" s="25"/>
      <c r="D195" s="11"/>
      <c r="E195" s="25"/>
      <c r="F195" s="25"/>
    </row>
    <row r="196">
      <c r="A196" s="11"/>
      <c r="B196" s="11"/>
      <c r="C196" s="25"/>
      <c r="D196" s="11"/>
      <c r="E196" s="25"/>
      <c r="F196" s="25"/>
    </row>
    <row r="197">
      <c r="A197" s="11"/>
      <c r="B197" s="11"/>
      <c r="C197" s="25"/>
      <c r="D197" s="11"/>
      <c r="E197" s="25"/>
      <c r="F197" s="25"/>
    </row>
    <row r="198">
      <c r="A198" s="11"/>
      <c r="B198" s="11"/>
      <c r="C198" s="25"/>
      <c r="D198" s="11"/>
      <c r="E198" s="25"/>
      <c r="F198" s="25"/>
    </row>
    <row r="199">
      <c r="A199" s="11"/>
      <c r="B199" s="11"/>
      <c r="C199" s="25"/>
      <c r="D199" s="11"/>
      <c r="E199" s="25"/>
      <c r="F199" s="25"/>
    </row>
    <row r="200">
      <c r="A200" s="11"/>
      <c r="B200" s="11"/>
      <c r="C200" s="25"/>
      <c r="D200" s="11"/>
      <c r="E200" s="25"/>
      <c r="F200" s="25"/>
    </row>
    <row r="201">
      <c r="A201" s="11"/>
      <c r="B201" s="11"/>
      <c r="C201" s="25"/>
      <c r="D201" s="11"/>
      <c r="E201" s="25"/>
      <c r="F201" s="25"/>
    </row>
    <row r="202">
      <c r="A202" s="11"/>
      <c r="B202" s="11"/>
      <c r="C202" s="25"/>
      <c r="D202" s="11"/>
      <c r="E202" s="25"/>
      <c r="F202" s="25"/>
    </row>
    <row r="203">
      <c r="A203" s="11"/>
      <c r="B203" s="11"/>
      <c r="C203" s="25"/>
      <c r="D203" s="11"/>
      <c r="E203" s="25"/>
      <c r="F203" s="25"/>
    </row>
    <row r="204">
      <c r="A204" s="11"/>
      <c r="B204" s="11"/>
      <c r="C204" s="25"/>
      <c r="D204" s="11"/>
      <c r="E204" s="25"/>
      <c r="F204" s="25"/>
    </row>
    <row r="205">
      <c r="A205" s="11"/>
      <c r="B205" s="11"/>
      <c r="C205" s="25"/>
      <c r="D205" s="11"/>
      <c r="E205" s="25"/>
      <c r="F205" s="25"/>
    </row>
    <row r="206">
      <c r="A206" s="11"/>
      <c r="B206" s="11"/>
      <c r="C206" s="25"/>
      <c r="D206" s="11"/>
      <c r="E206" s="25"/>
      <c r="F206" s="25"/>
    </row>
    <row r="207">
      <c r="A207" s="11"/>
      <c r="B207" s="11"/>
      <c r="C207" s="25"/>
      <c r="D207" s="11"/>
      <c r="E207" s="25"/>
      <c r="F207" s="25"/>
    </row>
    <row r="208">
      <c r="A208" s="11"/>
      <c r="B208" s="11"/>
      <c r="C208" s="25"/>
      <c r="D208" s="11"/>
      <c r="E208" s="25"/>
      <c r="F208" s="25"/>
    </row>
    <row r="209">
      <c r="A209" s="11"/>
      <c r="B209" s="11"/>
      <c r="C209" s="25"/>
      <c r="D209" s="11"/>
      <c r="E209" s="25"/>
      <c r="F209" s="25"/>
    </row>
    <row r="210">
      <c r="A210" s="11"/>
      <c r="B210" s="11"/>
      <c r="C210" s="25"/>
      <c r="D210" s="11"/>
      <c r="E210" s="25"/>
      <c r="F210" s="25"/>
    </row>
    <row r="211">
      <c r="A211" s="11"/>
      <c r="B211" s="11"/>
      <c r="C211" s="25"/>
      <c r="D211" s="11"/>
      <c r="E211" s="25"/>
      <c r="F211" s="25"/>
    </row>
    <row r="212">
      <c r="A212" s="11"/>
      <c r="B212" s="11"/>
      <c r="C212" s="25"/>
      <c r="D212" s="11"/>
      <c r="E212" s="25"/>
      <c r="F212" s="25"/>
    </row>
    <row r="213">
      <c r="A213" s="11"/>
      <c r="B213" s="11"/>
      <c r="C213" s="25"/>
      <c r="D213" s="11"/>
      <c r="E213" s="25"/>
      <c r="F213" s="25"/>
    </row>
    <row r="214">
      <c r="A214" s="11"/>
      <c r="B214" s="11"/>
      <c r="C214" s="25"/>
      <c r="D214" s="11"/>
      <c r="E214" s="25"/>
      <c r="F214" s="25"/>
    </row>
    <row r="215">
      <c r="A215" s="11"/>
      <c r="B215" s="11"/>
      <c r="C215" s="25"/>
      <c r="D215" s="11"/>
      <c r="E215" s="25"/>
      <c r="F215" s="25"/>
    </row>
    <row r="216">
      <c r="A216" s="11"/>
      <c r="B216" s="11"/>
      <c r="C216" s="25"/>
      <c r="D216" s="11"/>
      <c r="E216" s="25"/>
      <c r="F216" s="25"/>
    </row>
    <row r="217">
      <c r="A217" s="11"/>
      <c r="B217" s="11"/>
      <c r="C217" s="25"/>
      <c r="D217" s="11"/>
      <c r="E217" s="25"/>
      <c r="F217" s="25"/>
    </row>
    <row r="218">
      <c r="A218" s="11"/>
      <c r="B218" s="11"/>
      <c r="C218" s="25"/>
      <c r="D218" s="11"/>
      <c r="E218" s="25"/>
      <c r="F218" s="25"/>
    </row>
    <row r="219">
      <c r="A219" s="11"/>
      <c r="B219" s="11"/>
      <c r="C219" s="25"/>
      <c r="D219" s="11"/>
      <c r="E219" s="25"/>
      <c r="F219" s="25"/>
    </row>
    <row r="220">
      <c r="A220" s="11"/>
      <c r="B220" s="11"/>
      <c r="C220" s="25"/>
      <c r="D220" s="11"/>
      <c r="E220" s="25"/>
      <c r="F220" s="25"/>
    </row>
    <row r="221">
      <c r="A221" s="11"/>
      <c r="B221" s="11"/>
      <c r="C221" s="25"/>
      <c r="D221" s="11"/>
      <c r="E221" s="25"/>
      <c r="F221" s="25"/>
    </row>
    <row r="222">
      <c r="A222" s="11"/>
      <c r="B222" s="11"/>
      <c r="C222" s="25"/>
      <c r="D222" s="11"/>
      <c r="E222" s="25"/>
      <c r="F222" s="25"/>
    </row>
    <row r="223">
      <c r="A223" s="11"/>
      <c r="B223" s="11"/>
      <c r="C223" s="25"/>
      <c r="D223" s="11"/>
      <c r="E223" s="25"/>
      <c r="F223" s="25"/>
    </row>
    <row r="224">
      <c r="A224" s="11"/>
      <c r="B224" s="11"/>
      <c r="C224" s="25"/>
      <c r="D224" s="11"/>
      <c r="E224" s="25"/>
      <c r="F224" s="25"/>
    </row>
    <row r="225">
      <c r="A225" s="11"/>
      <c r="B225" s="11"/>
      <c r="C225" s="25"/>
      <c r="D225" s="11"/>
      <c r="E225" s="25"/>
      <c r="F225" s="25"/>
    </row>
    <row r="226">
      <c r="A226" s="11"/>
      <c r="B226" s="11"/>
      <c r="C226" s="25"/>
      <c r="D226" s="11"/>
      <c r="E226" s="25"/>
      <c r="F226" s="25"/>
    </row>
    <row r="227">
      <c r="A227" s="11"/>
      <c r="B227" s="11"/>
      <c r="C227" s="25"/>
      <c r="D227" s="11"/>
      <c r="E227" s="25"/>
      <c r="F227" s="25"/>
    </row>
    <row r="228">
      <c r="A228" s="11"/>
      <c r="B228" s="11"/>
      <c r="C228" s="25"/>
      <c r="D228" s="11"/>
      <c r="E228" s="25"/>
      <c r="F228" s="25"/>
    </row>
    <row r="229">
      <c r="A229" s="11"/>
      <c r="B229" s="11"/>
      <c r="C229" s="25"/>
      <c r="D229" s="11"/>
      <c r="E229" s="25"/>
      <c r="F229" s="25"/>
    </row>
    <row r="230">
      <c r="A230" s="11"/>
      <c r="B230" s="11"/>
      <c r="C230" s="25"/>
      <c r="D230" s="11"/>
      <c r="E230" s="25"/>
      <c r="F230" s="25"/>
    </row>
    <row r="231">
      <c r="A231" s="11"/>
      <c r="B231" s="11"/>
      <c r="C231" s="25"/>
      <c r="D231" s="11"/>
      <c r="E231" s="25"/>
      <c r="F231" s="25"/>
    </row>
    <row r="232">
      <c r="A232" s="11"/>
      <c r="B232" s="11"/>
      <c r="C232" s="25"/>
      <c r="D232" s="11"/>
      <c r="E232" s="25"/>
      <c r="F232" s="25"/>
    </row>
    <row r="233">
      <c r="A233" s="11"/>
      <c r="B233" s="11"/>
      <c r="C233" s="25"/>
      <c r="D233" s="11"/>
      <c r="E233" s="25"/>
      <c r="F233" s="25"/>
    </row>
    <row r="234">
      <c r="A234" s="11"/>
      <c r="B234" s="11"/>
      <c r="C234" s="25"/>
      <c r="D234" s="11"/>
      <c r="E234" s="25"/>
      <c r="F234" s="25"/>
    </row>
    <row r="235">
      <c r="A235" s="11"/>
      <c r="B235" s="11"/>
      <c r="C235" s="25"/>
      <c r="D235" s="11"/>
      <c r="E235" s="25"/>
      <c r="F235" s="25"/>
    </row>
    <row r="236">
      <c r="A236" s="11"/>
      <c r="B236" s="11"/>
      <c r="C236" s="25"/>
      <c r="D236" s="11"/>
      <c r="E236" s="25"/>
      <c r="F236" s="25"/>
    </row>
    <row r="237">
      <c r="A237" s="11"/>
      <c r="B237" s="11"/>
      <c r="C237" s="25"/>
      <c r="D237" s="11"/>
      <c r="E237" s="25"/>
      <c r="F237" s="25"/>
    </row>
    <row r="238">
      <c r="A238" s="11"/>
      <c r="B238" s="11"/>
      <c r="C238" s="25"/>
      <c r="D238" s="11"/>
      <c r="E238" s="25"/>
      <c r="F238" s="25"/>
    </row>
    <row r="239">
      <c r="A239" s="11"/>
      <c r="B239" s="11"/>
      <c r="C239" s="25"/>
      <c r="D239" s="11"/>
      <c r="E239" s="25"/>
      <c r="F239" s="25"/>
    </row>
    <row r="240">
      <c r="A240" s="11"/>
      <c r="B240" s="11"/>
      <c r="C240" s="25"/>
      <c r="D240" s="11"/>
      <c r="E240" s="25"/>
      <c r="F240" s="25"/>
    </row>
    <row r="241">
      <c r="A241" s="11"/>
      <c r="B241" s="11"/>
      <c r="C241" s="25"/>
      <c r="D241" s="11"/>
      <c r="E241" s="25"/>
      <c r="F241" s="25"/>
    </row>
    <row r="242">
      <c r="A242" s="11"/>
      <c r="B242" s="11"/>
      <c r="C242" s="25"/>
      <c r="D242" s="11"/>
      <c r="E242" s="25"/>
      <c r="F242" s="25"/>
    </row>
    <row r="243">
      <c r="A243" s="11"/>
      <c r="B243" s="11"/>
      <c r="C243" s="25"/>
      <c r="D243" s="11"/>
      <c r="E243" s="25"/>
      <c r="F243" s="25"/>
    </row>
    <row r="244">
      <c r="A244" s="11"/>
      <c r="B244" s="11"/>
      <c r="C244" s="25"/>
      <c r="D244" s="11"/>
      <c r="E244" s="25"/>
      <c r="F244" s="25"/>
    </row>
    <row r="245">
      <c r="A245" s="11"/>
      <c r="B245" s="11"/>
      <c r="C245" s="25"/>
      <c r="D245" s="11"/>
      <c r="E245" s="25"/>
      <c r="F245" s="25"/>
    </row>
    <row r="246">
      <c r="A246" s="11"/>
      <c r="B246" s="11"/>
      <c r="C246" s="25"/>
      <c r="D246" s="11"/>
      <c r="E246" s="25"/>
      <c r="F246" s="25"/>
    </row>
    <row r="247">
      <c r="A247" s="11"/>
      <c r="B247" s="11"/>
      <c r="C247" s="25"/>
      <c r="D247" s="11"/>
      <c r="E247" s="25"/>
      <c r="F247" s="25"/>
    </row>
    <row r="248">
      <c r="A248" s="11"/>
      <c r="B248" s="11"/>
      <c r="C248" s="25"/>
      <c r="D248" s="11"/>
      <c r="E248" s="25"/>
      <c r="F248" s="25"/>
    </row>
    <row r="249">
      <c r="A249" s="11"/>
      <c r="B249" s="11"/>
      <c r="C249" s="25"/>
      <c r="D249" s="11"/>
      <c r="E249" s="25"/>
      <c r="F249" s="25"/>
    </row>
    <row r="250">
      <c r="A250" s="11"/>
      <c r="B250" s="11"/>
      <c r="C250" s="25"/>
      <c r="D250" s="11"/>
      <c r="E250" s="25"/>
      <c r="F250" s="25"/>
    </row>
    <row r="251">
      <c r="A251" s="11"/>
      <c r="B251" s="11"/>
      <c r="C251" s="25"/>
      <c r="D251" s="11"/>
      <c r="E251" s="25"/>
      <c r="F251" s="25"/>
    </row>
    <row r="252">
      <c r="A252" s="11"/>
      <c r="B252" s="11"/>
      <c r="C252" s="25"/>
      <c r="D252" s="11"/>
      <c r="E252" s="25"/>
      <c r="F252" s="25"/>
    </row>
    <row r="253">
      <c r="A253" s="11"/>
      <c r="B253" s="11"/>
      <c r="C253" s="25"/>
      <c r="D253" s="11"/>
      <c r="E253" s="25"/>
      <c r="F253" s="25"/>
    </row>
    <row r="254">
      <c r="A254" s="11"/>
      <c r="B254" s="11"/>
      <c r="C254" s="25"/>
      <c r="D254" s="11"/>
      <c r="E254" s="25"/>
      <c r="F254" s="25"/>
    </row>
    <row r="255">
      <c r="A255" s="11"/>
      <c r="B255" s="11"/>
      <c r="C255" s="25"/>
      <c r="D255" s="11"/>
      <c r="E255" s="25"/>
      <c r="F255" s="25"/>
    </row>
    <row r="256">
      <c r="A256" s="11"/>
      <c r="B256" s="11"/>
      <c r="C256" s="25"/>
      <c r="D256" s="11"/>
      <c r="E256" s="25"/>
      <c r="F256" s="25"/>
    </row>
    <row r="257">
      <c r="A257" s="11"/>
      <c r="B257" s="11"/>
      <c r="C257" s="25"/>
      <c r="D257" s="11"/>
      <c r="E257" s="25"/>
      <c r="F257" s="25"/>
    </row>
    <row r="258">
      <c r="A258" s="11"/>
      <c r="B258" s="11"/>
      <c r="C258" s="25"/>
      <c r="D258" s="11"/>
      <c r="E258" s="25"/>
      <c r="F258" s="25"/>
    </row>
    <row r="259">
      <c r="A259" s="11"/>
      <c r="B259" s="11"/>
      <c r="C259" s="25"/>
      <c r="D259" s="11"/>
      <c r="E259" s="25"/>
      <c r="F259" s="25"/>
    </row>
    <row r="260">
      <c r="A260" s="11"/>
      <c r="B260" s="11"/>
      <c r="C260" s="25"/>
      <c r="D260" s="11"/>
      <c r="E260" s="25"/>
      <c r="F260" s="25"/>
    </row>
    <row r="261">
      <c r="A261" s="11"/>
      <c r="B261" s="11"/>
      <c r="C261" s="25"/>
      <c r="D261" s="11"/>
      <c r="E261" s="25"/>
      <c r="F261" s="25"/>
    </row>
    <row r="262">
      <c r="A262" s="11"/>
      <c r="B262" s="11"/>
      <c r="C262" s="25"/>
      <c r="D262" s="11"/>
      <c r="E262" s="25"/>
      <c r="F262" s="25"/>
    </row>
    <row r="263">
      <c r="A263" s="11"/>
      <c r="B263" s="11"/>
      <c r="C263" s="25"/>
      <c r="D263" s="11"/>
      <c r="E263" s="25"/>
      <c r="F263" s="25"/>
    </row>
    <row r="264">
      <c r="A264" s="11"/>
      <c r="B264" s="11"/>
      <c r="C264" s="25"/>
      <c r="D264" s="11"/>
      <c r="E264" s="25"/>
      <c r="F264" s="25"/>
    </row>
    <row r="265">
      <c r="A265" s="11"/>
      <c r="B265" s="11"/>
      <c r="C265" s="25"/>
      <c r="D265" s="11"/>
      <c r="E265" s="25"/>
      <c r="F265" s="25"/>
    </row>
    <row r="266">
      <c r="A266" s="11"/>
      <c r="B266" s="11"/>
      <c r="C266" s="25"/>
      <c r="D266" s="11"/>
      <c r="E266" s="25"/>
      <c r="F266" s="25"/>
    </row>
    <row r="267">
      <c r="A267" s="11"/>
      <c r="B267" s="11"/>
      <c r="C267" s="25"/>
      <c r="D267" s="11"/>
      <c r="E267" s="25"/>
      <c r="F267" s="25"/>
    </row>
    <row r="268">
      <c r="A268" s="11"/>
      <c r="B268" s="11"/>
      <c r="C268" s="25"/>
      <c r="D268" s="11"/>
      <c r="E268" s="25"/>
      <c r="F268" s="25"/>
    </row>
    <row r="269">
      <c r="A269" s="11"/>
      <c r="B269" s="11"/>
      <c r="C269" s="25"/>
      <c r="D269" s="11"/>
      <c r="E269" s="25"/>
      <c r="F269" s="25"/>
    </row>
    <row r="270">
      <c r="A270" s="11"/>
      <c r="B270" s="11"/>
      <c r="C270" s="25"/>
      <c r="D270" s="11"/>
      <c r="E270" s="25"/>
      <c r="F270" s="25"/>
    </row>
    <row r="271">
      <c r="A271" s="11"/>
      <c r="B271" s="11"/>
      <c r="C271" s="25"/>
      <c r="D271" s="11"/>
      <c r="E271" s="25"/>
      <c r="F271" s="25"/>
    </row>
    <row r="272">
      <c r="A272" s="11"/>
      <c r="B272" s="11"/>
      <c r="C272" s="25"/>
      <c r="D272" s="11"/>
      <c r="E272" s="25"/>
      <c r="F272" s="25"/>
    </row>
    <row r="273">
      <c r="A273" s="11"/>
      <c r="B273" s="11"/>
      <c r="C273" s="25"/>
      <c r="D273" s="11"/>
      <c r="E273" s="25"/>
      <c r="F273" s="25"/>
    </row>
    <row r="274">
      <c r="A274" s="11"/>
      <c r="B274" s="11"/>
      <c r="C274" s="25"/>
      <c r="D274" s="11"/>
      <c r="E274" s="25"/>
      <c r="F274" s="25"/>
    </row>
    <row r="275">
      <c r="A275" s="11"/>
      <c r="B275" s="11"/>
      <c r="C275" s="25"/>
      <c r="D275" s="11"/>
      <c r="E275" s="25"/>
      <c r="F275" s="25"/>
    </row>
    <row r="276">
      <c r="A276" s="11"/>
      <c r="B276" s="11"/>
      <c r="C276" s="25"/>
      <c r="D276" s="11"/>
      <c r="E276" s="25"/>
      <c r="F276" s="25"/>
    </row>
    <row r="277">
      <c r="A277" s="11"/>
      <c r="B277" s="11"/>
      <c r="C277" s="25"/>
      <c r="D277" s="11"/>
      <c r="E277" s="25"/>
      <c r="F277" s="25"/>
    </row>
    <row r="278">
      <c r="A278" s="11"/>
      <c r="B278" s="11"/>
      <c r="C278" s="25"/>
      <c r="D278" s="11"/>
      <c r="E278" s="25"/>
      <c r="F278" s="25"/>
    </row>
    <row r="279">
      <c r="A279" s="11"/>
      <c r="B279" s="11"/>
      <c r="C279" s="25"/>
      <c r="D279" s="11"/>
      <c r="E279" s="25"/>
      <c r="F279" s="25"/>
    </row>
    <row r="280">
      <c r="A280" s="11"/>
      <c r="B280" s="11"/>
      <c r="C280" s="25"/>
      <c r="D280" s="11"/>
      <c r="E280" s="25"/>
      <c r="F280" s="25"/>
    </row>
    <row r="281">
      <c r="A281" s="11"/>
      <c r="B281" s="11"/>
      <c r="C281" s="25"/>
      <c r="D281" s="11"/>
      <c r="E281" s="25"/>
      <c r="F281" s="25"/>
    </row>
    <row r="282">
      <c r="A282" s="11"/>
      <c r="B282" s="11"/>
      <c r="C282" s="25"/>
      <c r="D282" s="11"/>
      <c r="E282" s="25"/>
      <c r="F282" s="25"/>
    </row>
    <row r="283">
      <c r="A283" s="11"/>
      <c r="B283" s="11"/>
      <c r="C283" s="25"/>
      <c r="D283" s="11"/>
      <c r="E283" s="25"/>
      <c r="F283" s="25"/>
    </row>
    <row r="284">
      <c r="A284" s="11"/>
      <c r="B284" s="11"/>
      <c r="C284" s="25"/>
      <c r="D284" s="11"/>
      <c r="E284" s="25"/>
      <c r="F284" s="25"/>
    </row>
    <row r="285">
      <c r="A285" s="11"/>
      <c r="B285" s="11"/>
      <c r="C285" s="25"/>
      <c r="D285" s="11"/>
      <c r="E285" s="25"/>
      <c r="F285" s="25"/>
    </row>
    <row r="286">
      <c r="A286" s="11"/>
      <c r="B286" s="11"/>
      <c r="C286" s="25"/>
      <c r="D286" s="11"/>
      <c r="E286" s="25"/>
      <c r="F286" s="25"/>
    </row>
    <row r="287">
      <c r="A287" s="11"/>
      <c r="B287" s="11"/>
      <c r="C287" s="25"/>
      <c r="D287" s="11"/>
      <c r="E287" s="25"/>
      <c r="F287" s="25"/>
    </row>
    <row r="288">
      <c r="A288" s="11"/>
      <c r="B288" s="11"/>
      <c r="C288" s="25"/>
      <c r="D288" s="11"/>
      <c r="E288" s="25"/>
      <c r="F288" s="25"/>
    </row>
    <row r="289">
      <c r="A289" s="11"/>
      <c r="B289" s="11"/>
      <c r="C289" s="25"/>
      <c r="D289" s="11"/>
      <c r="E289" s="25"/>
      <c r="F289" s="25"/>
    </row>
    <row r="290">
      <c r="A290" s="11"/>
      <c r="B290" s="11"/>
      <c r="C290" s="25"/>
      <c r="D290" s="11"/>
      <c r="E290" s="25"/>
      <c r="F290" s="25"/>
    </row>
    <row r="291">
      <c r="A291" s="11"/>
      <c r="B291" s="11"/>
      <c r="C291" s="25"/>
      <c r="D291" s="11"/>
      <c r="E291" s="25"/>
      <c r="F291" s="25"/>
    </row>
    <row r="292">
      <c r="A292" s="11"/>
      <c r="B292" s="11"/>
      <c r="C292" s="25"/>
      <c r="D292" s="11"/>
      <c r="E292" s="25"/>
      <c r="F292" s="25"/>
    </row>
    <row r="293">
      <c r="A293" s="11"/>
      <c r="B293" s="11"/>
      <c r="C293" s="25"/>
      <c r="D293" s="11"/>
      <c r="E293" s="25"/>
      <c r="F293" s="25"/>
    </row>
    <row r="294">
      <c r="A294" s="11"/>
      <c r="B294" s="11"/>
      <c r="C294" s="25"/>
      <c r="D294" s="11"/>
      <c r="E294" s="25"/>
      <c r="F294" s="25"/>
    </row>
    <row r="295">
      <c r="A295" s="11"/>
      <c r="B295" s="11"/>
      <c r="C295" s="25"/>
      <c r="D295" s="11"/>
      <c r="E295" s="25"/>
      <c r="F295" s="25"/>
    </row>
    <row r="296">
      <c r="A296" s="11"/>
      <c r="B296" s="11"/>
      <c r="C296" s="25"/>
      <c r="D296" s="11"/>
      <c r="E296" s="25"/>
      <c r="F296" s="25"/>
    </row>
    <row r="297">
      <c r="A297" s="11"/>
      <c r="B297" s="11"/>
      <c r="C297" s="25"/>
      <c r="D297" s="11"/>
      <c r="E297" s="25"/>
      <c r="F297" s="25"/>
    </row>
    <row r="298">
      <c r="A298" s="11"/>
      <c r="B298" s="11"/>
      <c r="C298" s="25"/>
      <c r="D298" s="11"/>
      <c r="E298" s="25"/>
      <c r="F298" s="25"/>
    </row>
    <row r="299">
      <c r="A299" s="11"/>
      <c r="B299" s="11"/>
      <c r="C299" s="25"/>
      <c r="D299" s="11"/>
      <c r="E299" s="25"/>
      <c r="F299" s="25"/>
    </row>
    <row r="300">
      <c r="A300" s="11"/>
      <c r="B300" s="11"/>
      <c r="C300" s="25"/>
      <c r="D300" s="11"/>
      <c r="E300" s="25"/>
      <c r="F300" s="25"/>
    </row>
    <row r="301">
      <c r="A301" s="11"/>
      <c r="B301" s="11"/>
      <c r="C301" s="25"/>
      <c r="D301" s="11"/>
      <c r="E301" s="25"/>
      <c r="F301" s="25"/>
    </row>
    <row r="302">
      <c r="A302" s="11"/>
      <c r="B302" s="11"/>
      <c r="C302" s="25"/>
      <c r="D302" s="11"/>
      <c r="E302" s="25"/>
      <c r="F302" s="25"/>
    </row>
    <row r="303">
      <c r="A303" s="11"/>
      <c r="B303" s="11"/>
      <c r="C303" s="25"/>
      <c r="D303" s="11"/>
      <c r="E303" s="25"/>
      <c r="F303" s="25"/>
    </row>
    <row r="304">
      <c r="A304" s="11"/>
      <c r="B304" s="11"/>
      <c r="C304" s="25"/>
      <c r="D304" s="11"/>
      <c r="E304" s="25"/>
      <c r="F304" s="25"/>
    </row>
    <row r="305">
      <c r="A305" s="11"/>
      <c r="B305" s="11"/>
      <c r="C305" s="25"/>
      <c r="D305" s="11"/>
      <c r="E305" s="25"/>
      <c r="F305" s="25"/>
    </row>
    <row r="306">
      <c r="A306" s="11"/>
      <c r="B306" s="11"/>
      <c r="C306" s="25"/>
      <c r="D306" s="11"/>
      <c r="E306" s="25"/>
      <c r="F306" s="25"/>
    </row>
    <row r="307">
      <c r="A307" s="11"/>
      <c r="B307" s="11"/>
      <c r="C307" s="25"/>
      <c r="D307" s="11"/>
      <c r="E307" s="25"/>
      <c r="F307" s="25"/>
    </row>
    <row r="308">
      <c r="A308" s="11"/>
      <c r="B308" s="11"/>
      <c r="C308" s="25"/>
      <c r="D308" s="11"/>
      <c r="E308" s="25"/>
      <c r="F308" s="25"/>
    </row>
    <row r="309">
      <c r="A309" s="11"/>
      <c r="B309" s="11"/>
      <c r="C309" s="25"/>
      <c r="D309" s="11"/>
      <c r="E309" s="25"/>
      <c r="F309" s="25"/>
    </row>
    <row r="310">
      <c r="A310" s="11"/>
      <c r="B310" s="11"/>
      <c r="C310" s="25"/>
      <c r="D310" s="11"/>
      <c r="E310" s="25"/>
      <c r="F310" s="25"/>
    </row>
    <row r="311">
      <c r="A311" s="11"/>
      <c r="B311" s="11"/>
      <c r="C311" s="25"/>
      <c r="D311" s="11"/>
      <c r="E311" s="25"/>
      <c r="F311" s="25"/>
    </row>
    <row r="312">
      <c r="A312" s="11"/>
      <c r="B312" s="11"/>
      <c r="C312" s="25"/>
      <c r="D312" s="11"/>
      <c r="E312" s="25"/>
      <c r="F312" s="25"/>
    </row>
    <row r="313">
      <c r="A313" s="11"/>
      <c r="B313" s="11"/>
      <c r="C313" s="25"/>
      <c r="D313" s="11"/>
      <c r="E313" s="25"/>
      <c r="F313" s="25"/>
    </row>
    <row r="314">
      <c r="A314" s="11"/>
      <c r="B314" s="11"/>
      <c r="C314" s="25"/>
      <c r="D314" s="11"/>
      <c r="E314" s="25"/>
      <c r="F314" s="25"/>
    </row>
    <row r="315">
      <c r="A315" s="11"/>
      <c r="B315" s="11"/>
      <c r="C315" s="25"/>
      <c r="D315" s="11"/>
      <c r="E315" s="25"/>
      <c r="F315" s="25"/>
    </row>
    <row r="316">
      <c r="A316" s="11"/>
      <c r="B316" s="11"/>
      <c r="C316" s="25"/>
      <c r="D316" s="11"/>
      <c r="E316" s="25"/>
      <c r="F316" s="25"/>
    </row>
    <row r="317">
      <c r="A317" s="11"/>
      <c r="B317" s="11"/>
      <c r="C317" s="25"/>
      <c r="D317" s="11"/>
      <c r="E317" s="25"/>
      <c r="F317" s="25"/>
    </row>
    <row r="318">
      <c r="A318" s="11"/>
      <c r="B318" s="11"/>
      <c r="C318" s="25"/>
      <c r="D318" s="11"/>
      <c r="E318" s="25"/>
      <c r="F318" s="25"/>
    </row>
    <row r="319">
      <c r="A319" s="11"/>
      <c r="B319" s="11"/>
      <c r="C319" s="25"/>
      <c r="D319" s="11"/>
      <c r="E319" s="25"/>
      <c r="F319" s="25"/>
    </row>
    <row r="320">
      <c r="A320" s="11"/>
      <c r="B320" s="11"/>
      <c r="C320" s="25"/>
      <c r="D320" s="11"/>
      <c r="E320" s="25"/>
      <c r="F320" s="25"/>
    </row>
    <row r="321">
      <c r="A321" s="11"/>
      <c r="B321" s="11"/>
      <c r="C321" s="25"/>
      <c r="D321" s="11"/>
      <c r="E321" s="25"/>
      <c r="F321" s="25"/>
    </row>
    <row r="322">
      <c r="A322" s="11"/>
      <c r="B322" s="11"/>
      <c r="C322" s="25"/>
      <c r="D322" s="11"/>
      <c r="E322" s="25"/>
      <c r="F322" s="25"/>
    </row>
    <row r="323">
      <c r="A323" s="11"/>
      <c r="B323" s="11"/>
      <c r="C323" s="25"/>
      <c r="D323" s="11"/>
      <c r="E323" s="25"/>
      <c r="F323" s="25"/>
    </row>
    <row r="324">
      <c r="A324" s="11"/>
      <c r="B324" s="11"/>
      <c r="C324" s="25"/>
      <c r="D324" s="11"/>
      <c r="E324" s="25"/>
      <c r="F324" s="25"/>
    </row>
    <row r="325">
      <c r="A325" s="11"/>
      <c r="B325" s="11"/>
      <c r="C325" s="25"/>
      <c r="D325" s="11"/>
      <c r="E325" s="25"/>
      <c r="F325" s="25"/>
    </row>
    <row r="326">
      <c r="A326" s="11"/>
      <c r="B326" s="11"/>
      <c r="C326" s="25"/>
      <c r="D326" s="11"/>
      <c r="E326" s="25"/>
      <c r="F326" s="25"/>
    </row>
    <row r="327">
      <c r="A327" s="11"/>
      <c r="B327" s="11"/>
      <c r="C327" s="25"/>
      <c r="D327" s="11"/>
      <c r="E327" s="25"/>
      <c r="F327" s="25"/>
    </row>
    <row r="328">
      <c r="A328" s="11"/>
      <c r="B328" s="11"/>
      <c r="C328" s="25"/>
      <c r="D328" s="11"/>
      <c r="E328" s="25"/>
      <c r="F328" s="25"/>
    </row>
    <row r="329">
      <c r="A329" s="11"/>
      <c r="B329" s="11"/>
      <c r="C329" s="25"/>
      <c r="D329" s="11"/>
      <c r="E329" s="25"/>
      <c r="F329" s="25"/>
    </row>
    <row r="330">
      <c r="A330" s="11"/>
      <c r="B330" s="11"/>
      <c r="C330" s="25"/>
      <c r="D330" s="11"/>
      <c r="E330" s="25"/>
      <c r="F330" s="25"/>
    </row>
    <row r="331">
      <c r="A331" s="11"/>
      <c r="B331" s="11"/>
      <c r="C331" s="25"/>
      <c r="D331" s="11"/>
      <c r="E331" s="25"/>
      <c r="F331" s="25"/>
    </row>
    <row r="332">
      <c r="A332" s="11"/>
      <c r="B332" s="11"/>
      <c r="C332" s="25"/>
      <c r="D332" s="11"/>
      <c r="E332" s="25"/>
      <c r="F332" s="25"/>
    </row>
    <row r="333">
      <c r="A333" s="11"/>
      <c r="B333" s="11"/>
      <c r="C333" s="25"/>
      <c r="D333" s="11"/>
      <c r="E333" s="25"/>
      <c r="F333" s="25"/>
    </row>
    <row r="334">
      <c r="A334" s="11"/>
      <c r="B334" s="11"/>
      <c r="C334" s="25"/>
      <c r="D334" s="11"/>
      <c r="E334" s="25"/>
      <c r="F334" s="25"/>
    </row>
    <row r="335">
      <c r="A335" s="11"/>
      <c r="B335" s="11"/>
      <c r="C335" s="25"/>
      <c r="D335" s="11"/>
      <c r="E335" s="25"/>
      <c r="F335" s="25"/>
    </row>
    <row r="336">
      <c r="A336" s="11"/>
      <c r="B336" s="11"/>
      <c r="C336" s="25"/>
      <c r="D336" s="11"/>
      <c r="E336" s="25"/>
      <c r="F336" s="25"/>
    </row>
    <row r="337">
      <c r="A337" s="11"/>
      <c r="B337" s="11"/>
      <c r="C337" s="25"/>
      <c r="D337" s="11"/>
      <c r="E337" s="25"/>
      <c r="F337" s="25"/>
    </row>
    <row r="338">
      <c r="A338" s="11"/>
      <c r="B338" s="11"/>
      <c r="C338" s="25"/>
      <c r="D338" s="11"/>
      <c r="E338" s="25"/>
      <c r="F338" s="25"/>
    </row>
    <row r="339">
      <c r="A339" s="11"/>
      <c r="B339" s="11"/>
      <c r="C339" s="25"/>
      <c r="D339" s="11"/>
      <c r="E339" s="25"/>
      <c r="F339" s="25"/>
    </row>
    <row r="340">
      <c r="A340" s="11"/>
      <c r="B340" s="11"/>
      <c r="C340" s="25"/>
      <c r="D340" s="11"/>
      <c r="E340" s="25"/>
      <c r="F340" s="25"/>
    </row>
    <row r="341">
      <c r="A341" s="11"/>
      <c r="B341" s="11"/>
      <c r="C341" s="25"/>
      <c r="D341" s="11"/>
      <c r="E341" s="25"/>
      <c r="F341" s="25"/>
    </row>
    <row r="342">
      <c r="A342" s="11"/>
      <c r="B342" s="11"/>
      <c r="C342" s="25"/>
      <c r="D342" s="11"/>
      <c r="E342" s="25"/>
      <c r="F342" s="25"/>
    </row>
    <row r="343">
      <c r="A343" s="11"/>
      <c r="B343" s="11"/>
      <c r="C343" s="25"/>
      <c r="D343" s="11"/>
      <c r="E343" s="25"/>
      <c r="F343" s="25"/>
    </row>
    <row r="344">
      <c r="A344" s="11"/>
      <c r="B344" s="11"/>
      <c r="C344" s="25"/>
      <c r="D344" s="11"/>
      <c r="E344" s="25"/>
      <c r="F344" s="25"/>
    </row>
    <row r="345">
      <c r="A345" s="11"/>
      <c r="B345" s="11"/>
      <c r="C345" s="25"/>
      <c r="D345" s="11"/>
      <c r="E345" s="25"/>
      <c r="F345" s="25"/>
    </row>
    <row r="346">
      <c r="A346" s="11"/>
      <c r="B346" s="11"/>
      <c r="C346" s="25"/>
      <c r="D346" s="11"/>
      <c r="E346" s="25"/>
      <c r="F346" s="25"/>
    </row>
    <row r="347">
      <c r="A347" s="11"/>
      <c r="B347" s="11"/>
      <c r="C347" s="25"/>
      <c r="D347" s="11"/>
      <c r="E347" s="25"/>
      <c r="F347" s="25"/>
    </row>
    <row r="348">
      <c r="A348" s="11"/>
      <c r="B348" s="11"/>
      <c r="C348" s="25"/>
      <c r="D348" s="11"/>
      <c r="E348" s="25"/>
      <c r="F348" s="25"/>
    </row>
    <row r="349">
      <c r="A349" s="11"/>
      <c r="B349" s="11"/>
      <c r="C349" s="25"/>
      <c r="D349" s="11"/>
      <c r="E349" s="25"/>
      <c r="F349" s="25"/>
    </row>
    <row r="350">
      <c r="A350" s="11"/>
      <c r="B350" s="11"/>
      <c r="C350" s="25"/>
      <c r="D350" s="11"/>
      <c r="E350" s="25"/>
      <c r="F350" s="25"/>
    </row>
    <row r="351">
      <c r="A351" s="11"/>
      <c r="B351" s="11"/>
      <c r="C351" s="25"/>
      <c r="D351" s="11"/>
      <c r="E351" s="25"/>
      <c r="F351" s="25"/>
    </row>
    <row r="352">
      <c r="A352" s="11"/>
      <c r="B352" s="11"/>
      <c r="C352" s="25"/>
      <c r="D352" s="11"/>
      <c r="E352" s="25"/>
      <c r="F352" s="25"/>
    </row>
    <row r="353">
      <c r="A353" s="11"/>
      <c r="B353" s="11"/>
      <c r="C353" s="25"/>
      <c r="D353" s="11"/>
      <c r="E353" s="25"/>
      <c r="F353" s="25"/>
    </row>
    <row r="354">
      <c r="A354" s="11"/>
      <c r="B354" s="11"/>
      <c r="C354" s="25"/>
      <c r="D354" s="11"/>
      <c r="E354" s="25"/>
      <c r="F354" s="25"/>
    </row>
    <row r="355">
      <c r="A355" s="11"/>
      <c r="B355" s="11"/>
      <c r="C355" s="25"/>
      <c r="D355" s="11"/>
      <c r="E355" s="25"/>
      <c r="F355" s="25"/>
    </row>
    <row r="356">
      <c r="A356" s="11"/>
      <c r="B356" s="11"/>
      <c r="C356" s="25"/>
      <c r="D356" s="11"/>
      <c r="E356" s="25"/>
      <c r="F356" s="25"/>
    </row>
    <row r="357">
      <c r="A357" s="11"/>
      <c r="B357" s="11"/>
      <c r="C357" s="25"/>
      <c r="D357" s="11"/>
      <c r="E357" s="25"/>
      <c r="F357" s="25"/>
    </row>
    <row r="358">
      <c r="A358" s="11"/>
      <c r="B358" s="11"/>
      <c r="C358" s="25"/>
      <c r="D358" s="11"/>
      <c r="E358" s="25"/>
      <c r="F358" s="25"/>
    </row>
    <row r="359">
      <c r="A359" s="11"/>
      <c r="B359" s="11"/>
      <c r="C359" s="25"/>
      <c r="D359" s="11"/>
      <c r="E359" s="25"/>
      <c r="F359" s="25"/>
    </row>
    <row r="360">
      <c r="A360" s="11"/>
      <c r="B360" s="11"/>
      <c r="C360" s="25"/>
      <c r="D360" s="11"/>
      <c r="E360" s="25"/>
      <c r="F360" s="25"/>
    </row>
    <row r="361">
      <c r="A361" s="11"/>
      <c r="B361" s="11"/>
      <c r="C361" s="25"/>
      <c r="D361" s="11"/>
      <c r="E361" s="25"/>
      <c r="F361" s="25"/>
    </row>
    <row r="362">
      <c r="A362" s="11"/>
      <c r="B362" s="11"/>
      <c r="C362" s="25"/>
      <c r="D362" s="11"/>
      <c r="E362" s="25"/>
      <c r="F362" s="25"/>
    </row>
    <row r="363">
      <c r="A363" s="11"/>
      <c r="B363" s="11"/>
      <c r="C363" s="25"/>
      <c r="D363" s="11"/>
      <c r="E363" s="25"/>
      <c r="F363" s="25"/>
    </row>
    <row r="364">
      <c r="A364" s="11"/>
      <c r="B364" s="11"/>
      <c r="C364" s="25"/>
      <c r="D364" s="11"/>
      <c r="E364" s="25"/>
      <c r="F364" s="25"/>
    </row>
    <row r="365">
      <c r="A365" s="11"/>
      <c r="B365" s="11"/>
      <c r="C365" s="25"/>
      <c r="D365" s="11"/>
      <c r="E365" s="25"/>
      <c r="F365" s="25"/>
    </row>
    <row r="366">
      <c r="A366" s="11"/>
      <c r="B366" s="11"/>
      <c r="C366" s="25"/>
      <c r="D366" s="11"/>
      <c r="E366" s="25"/>
      <c r="F366" s="25"/>
    </row>
    <row r="367">
      <c r="A367" s="11"/>
      <c r="B367" s="11"/>
      <c r="C367" s="25"/>
      <c r="D367" s="11"/>
      <c r="E367" s="25"/>
      <c r="F367" s="25"/>
    </row>
    <row r="368">
      <c r="A368" s="11"/>
      <c r="B368" s="11"/>
      <c r="C368" s="25"/>
      <c r="D368" s="11"/>
      <c r="E368" s="25"/>
      <c r="F368" s="25"/>
    </row>
    <row r="369">
      <c r="A369" s="11"/>
      <c r="B369" s="11"/>
      <c r="C369" s="25"/>
      <c r="D369" s="11"/>
      <c r="E369" s="25"/>
      <c r="F369" s="25"/>
    </row>
    <row r="370">
      <c r="A370" s="11"/>
      <c r="B370" s="11"/>
      <c r="C370" s="25"/>
      <c r="D370" s="11"/>
      <c r="E370" s="25"/>
      <c r="F370" s="25"/>
    </row>
    <row r="371">
      <c r="A371" s="11"/>
      <c r="B371" s="11"/>
      <c r="C371" s="25"/>
      <c r="D371" s="11"/>
      <c r="E371" s="25"/>
      <c r="F371" s="25"/>
    </row>
    <row r="372">
      <c r="A372" s="11"/>
      <c r="B372" s="11"/>
      <c r="C372" s="25"/>
      <c r="D372" s="11"/>
      <c r="E372" s="25"/>
      <c r="F372" s="25"/>
    </row>
    <row r="373">
      <c r="A373" s="11"/>
      <c r="B373" s="11"/>
      <c r="C373" s="25"/>
      <c r="D373" s="11"/>
      <c r="E373" s="25"/>
      <c r="F373" s="25"/>
    </row>
    <row r="374">
      <c r="A374" s="11"/>
      <c r="B374" s="11"/>
      <c r="C374" s="25"/>
      <c r="D374" s="11"/>
      <c r="E374" s="25"/>
      <c r="F374" s="25"/>
    </row>
    <row r="375">
      <c r="A375" s="11"/>
      <c r="B375" s="11"/>
      <c r="C375" s="25"/>
      <c r="D375" s="11"/>
      <c r="E375" s="25"/>
      <c r="F375" s="25"/>
    </row>
    <row r="376">
      <c r="A376" s="11"/>
      <c r="B376" s="11"/>
      <c r="C376" s="25"/>
      <c r="D376" s="11"/>
      <c r="E376" s="25"/>
      <c r="F376" s="25"/>
    </row>
    <row r="377">
      <c r="A377" s="11"/>
      <c r="B377" s="11"/>
      <c r="C377" s="25"/>
      <c r="D377" s="11"/>
      <c r="E377" s="25"/>
      <c r="F377" s="25"/>
    </row>
    <row r="378">
      <c r="A378" s="11"/>
      <c r="B378" s="11"/>
      <c r="C378" s="25"/>
      <c r="D378" s="11"/>
      <c r="E378" s="25"/>
      <c r="F378" s="25"/>
    </row>
    <row r="379">
      <c r="A379" s="11"/>
      <c r="B379" s="11"/>
      <c r="C379" s="25"/>
      <c r="D379" s="11"/>
      <c r="E379" s="25"/>
      <c r="F379" s="25"/>
    </row>
    <row r="380">
      <c r="A380" s="11"/>
      <c r="B380" s="11"/>
      <c r="C380" s="25"/>
      <c r="D380" s="11"/>
      <c r="E380" s="25"/>
      <c r="F380" s="25"/>
    </row>
    <row r="381">
      <c r="A381" s="11"/>
      <c r="B381" s="11"/>
      <c r="C381" s="25"/>
      <c r="D381" s="11"/>
      <c r="E381" s="25"/>
      <c r="F381" s="25"/>
    </row>
    <row r="382">
      <c r="A382" s="11"/>
      <c r="B382" s="11"/>
      <c r="C382" s="25"/>
      <c r="D382" s="11"/>
      <c r="E382" s="25"/>
      <c r="F382" s="25"/>
    </row>
    <row r="383">
      <c r="A383" s="11"/>
      <c r="B383" s="11"/>
      <c r="C383" s="25"/>
      <c r="D383" s="11"/>
      <c r="E383" s="25"/>
      <c r="F383" s="25"/>
    </row>
    <row r="384">
      <c r="A384" s="11"/>
      <c r="B384" s="11"/>
      <c r="C384" s="25"/>
      <c r="D384" s="11"/>
      <c r="E384" s="25"/>
      <c r="F384" s="25"/>
    </row>
    <row r="385">
      <c r="A385" s="11"/>
      <c r="B385" s="11"/>
      <c r="C385" s="25"/>
      <c r="D385" s="11"/>
      <c r="E385" s="25"/>
      <c r="F385" s="25"/>
    </row>
    <row r="386">
      <c r="A386" s="11"/>
      <c r="B386" s="11"/>
      <c r="C386" s="25"/>
      <c r="D386" s="11"/>
      <c r="E386" s="25"/>
      <c r="F386" s="25"/>
    </row>
    <row r="387">
      <c r="A387" s="11"/>
      <c r="B387" s="11"/>
      <c r="C387" s="25"/>
      <c r="D387" s="11"/>
      <c r="E387" s="25"/>
      <c r="F387" s="25"/>
    </row>
    <row r="388">
      <c r="A388" s="11"/>
      <c r="B388" s="11"/>
      <c r="C388" s="25"/>
      <c r="D388" s="11"/>
      <c r="E388" s="25"/>
      <c r="F388" s="25"/>
    </row>
    <row r="389">
      <c r="A389" s="11"/>
      <c r="B389" s="11"/>
      <c r="C389" s="25"/>
      <c r="D389" s="11"/>
      <c r="E389" s="25"/>
      <c r="F389" s="25"/>
    </row>
    <row r="390">
      <c r="A390" s="11"/>
      <c r="B390" s="11"/>
      <c r="C390" s="25"/>
      <c r="D390" s="11"/>
      <c r="E390" s="25"/>
      <c r="F390" s="25"/>
    </row>
    <row r="391">
      <c r="A391" s="11"/>
      <c r="B391" s="11"/>
      <c r="C391" s="25"/>
      <c r="D391" s="11"/>
      <c r="E391" s="25"/>
      <c r="F391" s="25"/>
    </row>
    <row r="392">
      <c r="A392" s="11"/>
      <c r="B392" s="11"/>
      <c r="C392" s="25"/>
      <c r="D392" s="11"/>
      <c r="E392" s="25"/>
      <c r="F392" s="25"/>
    </row>
    <row r="393">
      <c r="A393" s="11"/>
      <c r="B393" s="11"/>
      <c r="C393" s="25"/>
      <c r="D393" s="11"/>
      <c r="E393" s="25"/>
      <c r="F393" s="25"/>
    </row>
    <row r="394">
      <c r="A394" s="11"/>
      <c r="B394" s="11"/>
      <c r="C394" s="25"/>
      <c r="D394" s="11"/>
      <c r="E394" s="25"/>
      <c r="F394" s="25"/>
    </row>
    <row r="395">
      <c r="A395" s="11"/>
      <c r="B395" s="11"/>
      <c r="C395" s="25"/>
      <c r="D395" s="11"/>
      <c r="E395" s="25"/>
      <c r="F395" s="25"/>
    </row>
    <row r="396">
      <c r="A396" s="11"/>
      <c r="B396" s="11"/>
      <c r="C396" s="25"/>
      <c r="D396" s="11"/>
      <c r="E396" s="25"/>
      <c r="F396" s="25"/>
    </row>
    <row r="397">
      <c r="A397" s="11"/>
      <c r="B397" s="11"/>
      <c r="C397" s="25"/>
      <c r="D397" s="11"/>
      <c r="E397" s="25"/>
      <c r="F397" s="25"/>
    </row>
    <row r="398">
      <c r="A398" s="11"/>
      <c r="B398" s="11"/>
      <c r="C398" s="25"/>
      <c r="D398" s="11"/>
      <c r="E398" s="25"/>
      <c r="F398" s="25"/>
    </row>
    <row r="399">
      <c r="A399" s="11"/>
      <c r="B399" s="11"/>
      <c r="C399" s="25"/>
      <c r="D399" s="11"/>
      <c r="E399" s="25"/>
      <c r="F399" s="25"/>
    </row>
    <row r="400">
      <c r="A400" s="11"/>
      <c r="B400" s="11"/>
      <c r="C400" s="25"/>
      <c r="D400" s="11"/>
      <c r="E400" s="25"/>
      <c r="F400" s="25"/>
    </row>
    <row r="401">
      <c r="A401" s="11"/>
      <c r="B401" s="11"/>
      <c r="C401" s="25"/>
      <c r="D401" s="11"/>
      <c r="E401" s="25"/>
      <c r="F401" s="25"/>
    </row>
    <row r="402">
      <c r="A402" s="11"/>
      <c r="B402" s="11"/>
      <c r="C402" s="25"/>
      <c r="D402" s="11"/>
      <c r="E402" s="25"/>
      <c r="F402" s="25"/>
    </row>
    <row r="403">
      <c r="A403" s="11"/>
      <c r="B403" s="11"/>
      <c r="C403" s="25"/>
      <c r="D403" s="11"/>
      <c r="E403" s="25"/>
      <c r="F403" s="25"/>
    </row>
    <row r="404">
      <c r="A404" s="11"/>
      <c r="B404" s="11"/>
      <c r="C404" s="25"/>
      <c r="D404" s="11"/>
      <c r="E404" s="25"/>
      <c r="F404" s="25"/>
    </row>
    <row r="405">
      <c r="A405" s="11"/>
      <c r="B405" s="11"/>
      <c r="C405" s="25"/>
      <c r="D405" s="11"/>
      <c r="E405" s="25"/>
      <c r="F405" s="25"/>
    </row>
    <row r="406">
      <c r="A406" s="11"/>
      <c r="B406" s="11"/>
      <c r="C406" s="25"/>
      <c r="D406" s="11"/>
      <c r="E406" s="25"/>
      <c r="F406" s="25"/>
    </row>
    <row r="407">
      <c r="A407" s="11"/>
      <c r="B407" s="11"/>
      <c r="C407" s="25"/>
      <c r="D407" s="11"/>
      <c r="E407" s="25"/>
      <c r="F407" s="25"/>
    </row>
    <row r="408">
      <c r="A408" s="11"/>
      <c r="B408" s="11"/>
      <c r="C408" s="25"/>
      <c r="D408" s="11"/>
      <c r="E408" s="25"/>
      <c r="F408" s="25"/>
    </row>
    <row r="409">
      <c r="A409" s="11"/>
      <c r="B409" s="11"/>
      <c r="C409" s="25"/>
      <c r="D409" s="11"/>
      <c r="E409" s="25"/>
      <c r="F409" s="25"/>
    </row>
    <row r="410">
      <c r="A410" s="11"/>
      <c r="B410" s="11"/>
      <c r="C410" s="25"/>
      <c r="D410" s="11"/>
      <c r="E410" s="25"/>
      <c r="F410" s="25"/>
    </row>
    <row r="411">
      <c r="A411" s="11"/>
      <c r="B411" s="11"/>
      <c r="C411" s="25"/>
      <c r="D411" s="11"/>
      <c r="E411" s="25"/>
      <c r="F411" s="25"/>
    </row>
    <row r="412">
      <c r="A412" s="11"/>
      <c r="B412" s="11"/>
      <c r="C412" s="25"/>
      <c r="D412" s="11"/>
      <c r="E412" s="25"/>
      <c r="F412" s="25"/>
    </row>
    <row r="413">
      <c r="A413" s="11"/>
      <c r="B413" s="11"/>
      <c r="C413" s="25"/>
      <c r="D413" s="11"/>
      <c r="E413" s="25"/>
      <c r="F413" s="25"/>
    </row>
    <row r="414">
      <c r="A414" s="11"/>
      <c r="B414" s="11"/>
      <c r="C414" s="25"/>
      <c r="D414" s="11"/>
      <c r="E414" s="25"/>
      <c r="F414" s="25"/>
    </row>
    <row r="415">
      <c r="A415" s="11"/>
      <c r="B415" s="11"/>
      <c r="C415" s="25"/>
      <c r="D415" s="11"/>
      <c r="E415" s="25"/>
      <c r="F415" s="25"/>
    </row>
    <row r="416">
      <c r="A416" s="11"/>
      <c r="B416" s="11"/>
      <c r="C416" s="25"/>
      <c r="D416" s="11"/>
      <c r="E416" s="25"/>
      <c r="F416" s="25"/>
    </row>
    <row r="417">
      <c r="A417" s="11"/>
      <c r="B417" s="11"/>
      <c r="C417" s="25"/>
      <c r="D417" s="11"/>
      <c r="E417" s="25"/>
      <c r="F417" s="25"/>
    </row>
    <row r="418">
      <c r="A418" s="11"/>
      <c r="B418" s="11"/>
      <c r="C418" s="25"/>
      <c r="D418" s="11"/>
      <c r="E418" s="25"/>
      <c r="F418" s="25"/>
    </row>
    <row r="419">
      <c r="A419" s="11"/>
      <c r="B419" s="11"/>
      <c r="C419" s="25"/>
      <c r="D419" s="11"/>
      <c r="E419" s="25"/>
      <c r="F419" s="25"/>
    </row>
    <row r="420">
      <c r="A420" s="11"/>
      <c r="B420" s="11"/>
      <c r="C420" s="25"/>
      <c r="D420" s="11"/>
      <c r="E420" s="25"/>
      <c r="F420" s="25"/>
    </row>
    <row r="421">
      <c r="A421" s="11"/>
      <c r="B421" s="11"/>
      <c r="C421" s="25"/>
      <c r="D421" s="11"/>
      <c r="E421" s="25"/>
      <c r="F421" s="25"/>
    </row>
    <row r="422">
      <c r="A422" s="11"/>
      <c r="B422" s="11"/>
      <c r="C422" s="25"/>
      <c r="D422" s="11"/>
      <c r="E422" s="25"/>
      <c r="F422" s="25"/>
    </row>
    <row r="423">
      <c r="A423" s="11"/>
      <c r="B423" s="11"/>
      <c r="C423" s="25"/>
      <c r="D423" s="11"/>
      <c r="E423" s="25"/>
      <c r="F423" s="25"/>
    </row>
    <row r="424">
      <c r="A424" s="11"/>
      <c r="B424" s="11"/>
      <c r="C424" s="25"/>
      <c r="D424" s="11"/>
      <c r="E424" s="25"/>
      <c r="F424" s="25"/>
    </row>
    <row r="425">
      <c r="A425" s="11"/>
      <c r="B425" s="11"/>
      <c r="C425" s="25"/>
      <c r="D425" s="11"/>
      <c r="E425" s="25"/>
      <c r="F425" s="25"/>
    </row>
    <row r="426">
      <c r="A426" s="11"/>
      <c r="B426" s="11"/>
      <c r="C426" s="25"/>
      <c r="D426" s="11"/>
      <c r="E426" s="25"/>
      <c r="F426" s="25"/>
    </row>
    <row r="427">
      <c r="A427" s="11"/>
      <c r="B427" s="11"/>
      <c r="C427" s="25"/>
      <c r="D427" s="11"/>
      <c r="E427" s="25"/>
      <c r="F427" s="25"/>
    </row>
    <row r="428">
      <c r="A428" s="11"/>
      <c r="B428" s="11"/>
      <c r="C428" s="25"/>
      <c r="D428" s="11"/>
      <c r="E428" s="25"/>
      <c r="F428" s="25"/>
    </row>
    <row r="429">
      <c r="A429" s="11"/>
      <c r="B429" s="11"/>
      <c r="C429" s="25"/>
      <c r="D429" s="11"/>
      <c r="E429" s="25"/>
      <c r="F429" s="25"/>
    </row>
    <row r="430">
      <c r="A430" s="11"/>
      <c r="B430" s="11"/>
      <c r="C430" s="25"/>
      <c r="D430" s="11"/>
      <c r="E430" s="25"/>
      <c r="F430" s="25"/>
    </row>
    <row r="431">
      <c r="A431" s="11"/>
      <c r="B431" s="11"/>
      <c r="C431" s="25"/>
      <c r="D431" s="11"/>
      <c r="E431" s="25"/>
      <c r="F431" s="25"/>
    </row>
    <row r="432">
      <c r="A432" s="11"/>
      <c r="B432" s="11"/>
      <c r="C432" s="25"/>
      <c r="D432" s="11"/>
      <c r="E432" s="25"/>
      <c r="F432" s="25"/>
    </row>
    <row r="433">
      <c r="A433" s="11"/>
      <c r="B433" s="11"/>
      <c r="C433" s="25"/>
      <c r="D433" s="11"/>
      <c r="E433" s="25"/>
      <c r="F433" s="25"/>
    </row>
    <row r="434">
      <c r="A434" s="11"/>
      <c r="B434" s="11"/>
      <c r="C434" s="25"/>
      <c r="D434" s="11"/>
      <c r="E434" s="25"/>
      <c r="F434" s="25"/>
    </row>
    <row r="435">
      <c r="A435" s="11"/>
      <c r="B435" s="11"/>
      <c r="C435" s="25"/>
      <c r="D435" s="11"/>
      <c r="E435" s="25"/>
      <c r="F435" s="25"/>
    </row>
    <row r="436">
      <c r="A436" s="11"/>
      <c r="B436" s="11"/>
      <c r="C436" s="25"/>
      <c r="D436" s="11"/>
      <c r="E436" s="25"/>
      <c r="F436" s="25"/>
    </row>
    <row r="437">
      <c r="A437" s="11"/>
      <c r="B437" s="11"/>
      <c r="C437" s="25"/>
      <c r="D437" s="11"/>
      <c r="E437" s="25"/>
      <c r="F437" s="25"/>
    </row>
    <row r="438">
      <c r="A438" s="11"/>
      <c r="B438" s="11"/>
      <c r="C438" s="25"/>
      <c r="D438" s="11"/>
      <c r="E438" s="25"/>
      <c r="F438" s="25"/>
    </row>
    <row r="439">
      <c r="A439" s="11"/>
      <c r="B439" s="11"/>
      <c r="C439" s="25"/>
      <c r="D439" s="11"/>
      <c r="E439" s="25"/>
      <c r="F439" s="25"/>
    </row>
    <row r="440">
      <c r="A440" s="11"/>
      <c r="B440" s="11"/>
      <c r="C440" s="25"/>
      <c r="D440" s="11"/>
      <c r="E440" s="25"/>
      <c r="F440" s="25"/>
    </row>
    <row r="441">
      <c r="A441" s="11"/>
      <c r="B441" s="11"/>
      <c r="C441" s="25"/>
      <c r="D441" s="11"/>
      <c r="E441" s="25"/>
      <c r="F441" s="25"/>
    </row>
    <row r="442">
      <c r="A442" s="11"/>
      <c r="B442" s="11"/>
      <c r="C442" s="25"/>
      <c r="D442" s="11"/>
      <c r="E442" s="25"/>
      <c r="F442" s="25"/>
    </row>
    <row r="443">
      <c r="A443" s="11"/>
      <c r="B443" s="11"/>
      <c r="C443" s="25"/>
      <c r="D443" s="11"/>
      <c r="E443" s="25"/>
      <c r="F443" s="25"/>
    </row>
    <row r="444">
      <c r="A444" s="11"/>
      <c r="B444" s="11"/>
      <c r="C444" s="25"/>
      <c r="D444" s="11"/>
      <c r="E444" s="25"/>
      <c r="F444" s="25"/>
    </row>
    <row r="445">
      <c r="A445" s="11"/>
      <c r="B445" s="11"/>
      <c r="C445" s="25"/>
      <c r="D445" s="11"/>
      <c r="E445" s="25"/>
      <c r="F445" s="25"/>
    </row>
    <row r="446">
      <c r="A446" s="11"/>
      <c r="B446" s="11"/>
      <c r="C446" s="25"/>
      <c r="D446" s="11"/>
      <c r="E446" s="25"/>
      <c r="F446" s="25"/>
    </row>
    <row r="447">
      <c r="A447" s="11"/>
      <c r="B447" s="11"/>
      <c r="C447" s="25"/>
      <c r="D447" s="11"/>
      <c r="E447" s="25"/>
      <c r="F447" s="25"/>
    </row>
    <row r="448">
      <c r="A448" s="11"/>
      <c r="B448" s="11"/>
      <c r="C448" s="25"/>
      <c r="D448" s="11"/>
      <c r="E448" s="25"/>
      <c r="F448" s="25"/>
    </row>
    <row r="449">
      <c r="A449" s="11"/>
      <c r="B449" s="11"/>
      <c r="C449" s="25"/>
      <c r="D449" s="11"/>
      <c r="E449" s="25"/>
      <c r="F449" s="25"/>
    </row>
    <row r="450">
      <c r="A450" s="11"/>
      <c r="B450" s="11"/>
      <c r="C450" s="25"/>
      <c r="D450" s="11"/>
      <c r="E450" s="25"/>
      <c r="F450" s="25"/>
    </row>
    <row r="451">
      <c r="A451" s="11"/>
      <c r="B451" s="11"/>
      <c r="C451" s="25"/>
      <c r="D451" s="11"/>
      <c r="E451" s="25"/>
      <c r="F451" s="25"/>
    </row>
    <row r="452">
      <c r="A452" s="11"/>
      <c r="B452" s="11"/>
      <c r="C452" s="25"/>
      <c r="D452" s="11"/>
      <c r="E452" s="25"/>
      <c r="F452" s="25"/>
    </row>
    <row r="453">
      <c r="A453" s="11"/>
      <c r="B453" s="11"/>
      <c r="C453" s="25"/>
      <c r="D453" s="11"/>
      <c r="E453" s="25"/>
      <c r="F453" s="25"/>
    </row>
    <row r="454">
      <c r="A454" s="11"/>
      <c r="B454" s="11"/>
      <c r="C454" s="25"/>
      <c r="D454" s="11"/>
      <c r="E454" s="25"/>
      <c r="F454" s="25"/>
    </row>
    <row r="455">
      <c r="A455" s="11"/>
      <c r="B455" s="11"/>
      <c r="C455" s="25"/>
      <c r="D455" s="11"/>
      <c r="E455" s="25"/>
      <c r="F455" s="25"/>
    </row>
    <row r="456">
      <c r="A456" s="11"/>
      <c r="B456" s="11"/>
      <c r="C456" s="25"/>
      <c r="D456" s="11"/>
      <c r="E456" s="25"/>
      <c r="F456" s="25"/>
    </row>
    <row r="457">
      <c r="A457" s="11"/>
      <c r="B457" s="11"/>
      <c r="C457" s="25"/>
      <c r="D457" s="11"/>
      <c r="E457" s="25"/>
      <c r="F457" s="25"/>
    </row>
    <row r="458">
      <c r="A458" s="11"/>
      <c r="B458" s="11"/>
      <c r="C458" s="25"/>
      <c r="D458" s="11"/>
      <c r="E458" s="25"/>
      <c r="F458" s="25"/>
    </row>
    <row r="459">
      <c r="A459" s="11"/>
      <c r="B459" s="11"/>
      <c r="C459" s="25"/>
      <c r="D459" s="11"/>
      <c r="E459" s="25"/>
      <c r="F459" s="25"/>
    </row>
    <row r="460">
      <c r="A460" s="11"/>
      <c r="B460" s="11"/>
      <c r="C460" s="25"/>
      <c r="D460" s="11"/>
      <c r="E460" s="25"/>
      <c r="F460" s="25"/>
    </row>
    <row r="461">
      <c r="A461" s="11"/>
      <c r="B461" s="11"/>
      <c r="C461" s="25"/>
      <c r="D461" s="11"/>
      <c r="E461" s="25"/>
      <c r="F461" s="25"/>
    </row>
    <row r="462">
      <c r="A462" s="11"/>
      <c r="B462" s="11"/>
      <c r="C462" s="25"/>
      <c r="D462" s="11"/>
      <c r="E462" s="25"/>
      <c r="F462" s="25"/>
    </row>
    <row r="463">
      <c r="A463" s="11"/>
      <c r="B463" s="11"/>
      <c r="C463" s="25"/>
      <c r="D463" s="11"/>
      <c r="E463" s="25"/>
      <c r="F463" s="25"/>
    </row>
    <row r="464">
      <c r="A464" s="11"/>
      <c r="B464" s="11"/>
      <c r="C464" s="25"/>
      <c r="D464" s="11"/>
      <c r="E464" s="25"/>
      <c r="F464" s="25"/>
    </row>
    <row r="465">
      <c r="A465" s="11"/>
      <c r="B465" s="11"/>
      <c r="C465" s="25"/>
      <c r="D465" s="11"/>
      <c r="E465" s="25"/>
      <c r="F465" s="25"/>
    </row>
    <row r="466">
      <c r="A466" s="11"/>
      <c r="B466" s="11"/>
      <c r="C466" s="25"/>
      <c r="D466" s="11"/>
      <c r="E466" s="25"/>
      <c r="F466" s="25"/>
    </row>
    <row r="467">
      <c r="A467" s="11"/>
      <c r="B467" s="11"/>
      <c r="C467" s="25"/>
      <c r="D467" s="11"/>
      <c r="E467" s="25"/>
      <c r="F467" s="25"/>
    </row>
    <row r="468">
      <c r="A468" s="11"/>
      <c r="B468" s="11"/>
      <c r="C468" s="25"/>
      <c r="D468" s="11"/>
      <c r="E468" s="25"/>
      <c r="F468" s="25"/>
    </row>
    <row r="469">
      <c r="A469" s="11"/>
      <c r="B469" s="11"/>
      <c r="C469" s="25"/>
      <c r="D469" s="11"/>
      <c r="E469" s="25"/>
      <c r="F469" s="25"/>
    </row>
    <row r="470">
      <c r="A470" s="11"/>
      <c r="B470" s="11"/>
      <c r="C470" s="25"/>
      <c r="D470" s="11"/>
      <c r="E470" s="25"/>
      <c r="F470" s="25"/>
    </row>
    <row r="471">
      <c r="A471" s="11"/>
      <c r="B471" s="11"/>
      <c r="C471" s="25"/>
      <c r="D471" s="11"/>
      <c r="E471" s="25"/>
      <c r="F471" s="25"/>
    </row>
    <row r="472">
      <c r="A472" s="11"/>
      <c r="B472" s="11"/>
      <c r="C472" s="25"/>
      <c r="D472" s="11"/>
      <c r="E472" s="25"/>
      <c r="F472" s="25"/>
    </row>
    <row r="473">
      <c r="A473" s="11"/>
      <c r="B473" s="11"/>
      <c r="C473" s="25"/>
      <c r="D473" s="11"/>
      <c r="E473" s="25"/>
      <c r="F473" s="25"/>
    </row>
    <row r="474">
      <c r="A474" s="11"/>
      <c r="B474" s="11"/>
      <c r="C474" s="25"/>
      <c r="D474" s="11"/>
      <c r="E474" s="25"/>
      <c r="F474" s="25"/>
    </row>
    <row r="475">
      <c r="A475" s="11"/>
      <c r="B475" s="11"/>
      <c r="C475" s="25"/>
      <c r="D475" s="11"/>
      <c r="E475" s="25"/>
      <c r="F475" s="25"/>
    </row>
    <row r="476">
      <c r="A476" s="11"/>
      <c r="B476" s="11"/>
      <c r="C476" s="25"/>
      <c r="D476" s="11"/>
      <c r="E476" s="25"/>
      <c r="F476" s="25"/>
    </row>
    <row r="477">
      <c r="A477" s="11"/>
      <c r="B477" s="11"/>
      <c r="C477" s="25"/>
      <c r="D477" s="11"/>
      <c r="E477" s="25"/>
      <c r="F477" s="25"/>
    </row>
    <row r="478">
      <c r="A478" s="11"/>
      <c r="B478" s="11"/>
      <c r="C478" s="25"/>
      <c r="D478" s="11"/>
      <c r="E478" s="25"/>
      <c r="F478" s="25"/>
    </row>
    <row r="479">
      <c r="A479" s="11"/>
      <c r="B479" s="11"/>
      <c r="C479" s="25"/>
      <c r="D479" s="11"/>
      <c r="E479" s="25"/>
      <c r="F479" s="25"/>
    </row>
    <row r="480">
      <c r="A480" s="11"/>
      <c r="B480" s="11"/>
      <c r="C480" s="25"/>
      <c r="D480" s="11"/>
      <c r="E480" s="25"/>
      <c r="F480" s="25"/>
    </row>
    <row r="481">
      <c r="A481" s="11"/>
      <c r="B481" s="11"/>
      <c r="C481" s="25"/>
      <c r="D481" s="11"/>
      <c r="E481" s="25"/>
      <c r="F481" s="25"/>
    </row>
    <row r="482">
      <c r="A482" s="11"/>
      <c r="B482" s="11"/>
      <c r="C482" s="25"/>
      <c r="D482" s="11"/>
      <c r="E482" s="25"/>
      <c r="F482" s="25"/>
    </row>
    <row r="483">
      <c r="A483" s="11"/>
      <c r="B483" s="11"/>
      <c r="C483" s="25"/>
      <c r="D483" s="11"/>
      <c r="E483" s="25"/>
      <c r="F483" s="25"/>
    </row>
    <row r="484">
      <c r="A484" s="11"/>
      <c r="B484" s="11"/>
      <c r="C484" s="25"/>
      <c r="D484" s="11"/>
      <c r="E484" s="25"/>
      <c r="F484" s="25"/>
    </row>
    <row r="485">
      <c r="A485" s="11"/>
      <c r="B485" s="11"/>
      <c r="C485" s="25"/>
      <c r="D485" s="11"/>
      <c r="E485" s="25"/>
      <c r="F485" s="25"/>
    </row>
    <row r="486">
      <c r="A486" s="11"/>
      <c r="B486" s="11"/>
      <c r="C486" s="25"/>
      <c r="D486" s="11"/>
      <c r="E486" s="25"/>
      <c r="F486" s="25"/>
    </row>
    <row r="487">
      <c r="A487" s="11"/>
      <c r="B487" s="11"/>
      <c r="C487" s="25"/>
      <c r="D487" s="11"/>
      <c r="E487" s="25"/>
      <c r="F487" s="25"/>
    </row>
    <row r="488">
      <c r="A488" s="11"/>
      <c r="B488" s="11"/>
      <c r="C488" s="25"/>
      <c r="D488" s="11"/>
      <c r="E488" s="25"/>
      <c r="F488" s="25"/>
    </row>
    <row r="489">
      <c r="A489" s="11"/>
      <c r="B489" s="11"/>
      <c r="C489" s="25"/>
      <c r="D489" s="11"/>
      <c r="E489" s="25"/>
      <c r="F489" s="25"/>
    </row>
    <row r="490">
      <c r="A490" s="11"/>
      <c r="B490" s="11"/>
      <c r="C490" s="25"/>
      <c r="D490" s="11"/>
      <c r="E490" s="25"/>
      <c r="F490" s="25"/>
    </row>
    <row r="491">
      <c r="A491" s="11"/>
      <c r="B491" s="11"/>
      <c r="C491" s="25"/>
      <c r="D491" s="11"/>
      <c r="E491" s="25"/>
      <c r="F491" s="25"/>
    </row>
    <row r="492">
      <c r="A492" s="11"/>
      <c r="B492" s="11"/>
      <c r="C492" s="25"/>
      <c r="D492" s="11"/>
      <c r="E492" s="25"/>
      <c r="F492" s="25"/>
    </row>
    <row r="493">
      <c r="A493" s="11"/>
      <c r="B493" s="11"/>
      <c r="C493" s="25"/>
      <c r="D493" s="11"/>
      <c r="E493" s="25"/>
      <c r="F493" s="25"/>
    </row>
    <row r="494">
      <c r="A494" s="11"/>
      <c r="B494" s="11"/>
      <c r="C494" s="25"/>
      <c r="D494" s="11"/>
      <c r="E494" s="25"/>
      <c r="F494" s="25"/>
    </row>
    <row r="495">
      <c r="A495" s="11"/>
      <c r="B495" s="11"/>
      <c r="C495" s="25"/>
      <c r="D495" s="11"/>
      <c r="E495" s="25"/>
      <c r="F495" s="25"/>
    </row>
    <row r="496">
      <c r="A496" s="11"/>
      <c r="B496" s="11"/>
      <c r="C496" s="25"/>
      <c r="D496" s="11"/>
      <c r="E496" s="25"/>
      <c r="F496" s="25"/>
    </row>
    <row r="497">
      <c r="A497" s="11"/>
      <c r="B497" s="11"/>
      <c r="C497" s="25"/>
      <c r="D497" s="11"/>
      <c r="E497" s="25"/>
      <c r="F497" s="25"/>
    </row>
    <row r="498">
      <c r="A498" s="11"/>
      <c r="B498" s="11"/>
      <c r="C498" s="25"/>
      <c r="D498" s="11"/>
      <c r="E498" s="25"/>
      <c r="F498" s="25"/>
    </row>
    <row r="499">
      <c r="A499" s="11"/>
      <c r="B499" s="11"/>
      <c r="C499" s="25"/>
      <c r="D499" s="11"/>
      <c r="E499" s="25"/>
      <c r="F499" s="25"/>
    </row>
    <row r="500">
      <c r="A500" s="11"/>
      <c r="B500" s="11"/>
      <c r="C500" s="25"/>
      <c r="D500" s="11"/>
      <c r="E500" s="25"/>
      <c r="F500" s="25"/>
    </row>
    <row r="501">
      <c r="A501" s="11"/>
      <c r="B501" s="11"/>
      <c r="C501" s="25"/>
      <c r="D501" s="11"/>
      <c r="E501" s="25"/>
      <c r="F501" s="25"/>
    </row>
    <row r="502">
      <c r="A502" s="11"/>
      <c r="B502" s="11"/>
      <c r="C502" s="25"/>
      <c r="D502" s="11"/>
      <c r="E502" s="25"/>
      <c r="F502" s="25"/>
    </row>
    <row r="503">
      <c r="A503" s="11"/>
      <c r="B503" s="11"/>
      <c r="C503" s="25"/>
      <c r="D503" s="11"/>
      <c r="E503" s="25"/>
      <c r="F503" s="25"/>
    </row>
    <row r="504">
      <c r="A504" s="11"/>
      <c r="B504" s="11"/>
      <c r="C504" s="25"/>
      <c r="D504" s="11"/>
      <c r="E504" s="25"/>
      <c r="F504" s="25"/>
    </row>
    <row r="505">
      <c r="A505" s="11"/>
      <c r="B505" s="11"/>
      <c r="C505" s="25"/>
      <c r="D505" s="11"/>
      <c r="E505" s="25"/>
      <c r="F505" s="25"/>
    </row>
    <row r="506">
      <c r="A506" s="11"/>
      <c r="B506" s="11"/>
      <c r="C506" s="25"/>
      <c r="D506" s="11"/>
      <c r="E506" s="25"/>
      <c r="F506" s="25"/>
    </row>
    <row r="507">
      <c r="A507" s="11"/>
      <c r="B507" s="11"/>
      <c r="C507" s="25"/>
      <c r="D507" s="11"/>
      <c r="E507" s="25"/>
      <c r="F507" s="25"/>
    </row>
    <row r="508">
      <c r="A508" s="11"/>
      <c r="B508" s="11"/>
      <c r="C508" s="25"/>
      <c r="D508" s="11"/>
      <c r="E508" s="25"/>
      <c r="F508" s="25"/>
    </row>
    <row r="509">
      <c r="A509" s="11"/>
      <c r="B509" s="11"/>
      <c r="C509" s="25"/>
      <c r="D509" s="11"/>
      <c r="E509" s="25"/>
      <c r="F509" s="25"/>
    </row>
    <row r="510">
      <c r="A510" s="11"/>
      <c r="B510" s="11"/>
      <c r="C510" s="25"/>
      <c r="D510" s="11"/>
      <c r="E510" s="25"/>
      <c r="F510" s="25"/>
    </row>
    <row r="511">
      <c r="A511" s="11"/>
      <c r="B511" s="11"/>
      <c r="C511" s="25"/>
      <c r="D511" s="11"/>
      <c r="E511" s="25"/>
      <c r="F511" s="25"/>
    </row>
    <row r="512">
      <c r="A512" s="11"/>
      <c r="B512" s="11"/>
      <c r="C512" s="25"/>
      <c r="D512" s="11"/>
      <c r="E512" s="25"/>
      <c r="F512" s="25"/>
    </row>
    <row r="513">
      <c r="A513" s="11"/>
      <c r="B513" s="11"/>
      <c r="C513" s="25"/>
      <c r="D513" s="11"/>
      <c r="E513" s="25"/>
      <c r="F513" s="25"/>
    </row>
    <row r="514">
      <c r="A514" s="11"/>
      <c r="B514" s="11"/>
      <c r="C514" s="25"/>
      <c r="D514" s="11"/>
      <c r="E514" s="25"/>
      <c r="F514" s="25"/>
    </row>
    <row r="515">
      <c r="A515" s="11"/>
      <c r="B515" s="11"/>
      <c r="C515" s="25"/>
      <c r="D515" s="11"/>
      <c r="E515" s="25"/>
      <c r="F515" s="25"/>
    </row>
    <row r="516">
      <c r="A516" s="11"/>
      <c r="B516" s="11"/>
      <c r="C516" s="25"/>
      <c r="D516" s="11"/>
      <c r="E516" s="25"/>
      <c r="F516" s="25"/>
    </row>
    <row r="517">
      <c r="A517" s="11"/>
      <c r="B517" s="11"/>
      <c r="C517" s="25"/>
      <c r="D517" s="11"/>
      <c r="E517" s="25"/>
      <c r="F517" s="25"/>
    </row>
    <row r="518">
      <c r="A518" s="11"/>
      <c r="B518" s="11"/>
      <c r="C518" s="25"/>
      <c r="D518" s="11"/>
      <c r="E518" s="25"/>
      <c r="F518" s="25"/>
    </row>
    <row r="519">
      <c r="A519" s="11"/>
      <c r="B519" s="11"/>
      <c r="C519" s="25"/>
      <c r="D519" s="11"/>
      <c r="E519" s="25"/>
      <c r="F519" s="25"/>
    </row>
    <row r="520">
      <c r="A520" s="11"/>
      <c r="B520" s="11"/>
      <c r="C520" s="25"/>
      <c r="D520" s="11"/>
      <c r="E520" s="25"/>
      <c r="F520" s="25"/>
    </row>
    <row r="521">
      <c r="A521" s="11"/>
      <c r="B521" s="11"/>
      <c r="C521" s="25"/>
      <c r="D521" s="11"/>
      <c r="E521" s="25"/>
      <c r="F521" s="25"/>
    </row>
    <row r="522">
      <c r="A522" s="11"/>
      <c r="B522" s="11"/>
      <c r="C522" s="25"/>
      <c r="D522" s="11"/>
      <c r="E522" s="25"/>
      <c r="F522" s="25"/>
    </row>
    <row r="523">
      <c r="A523" s="11"/>
      <c r="B523" s="11"/>
      <c r="C523" s="25"/>
      <c r="D523" s="11"/>
      <c r="E523" s="25"/>
      <c r="F523" s="25"/>
    </row>
    <row r="524">
      <c r="A524" s="11"/>
      <c r="B524" s="11"/>
      <c r="C524" s="25"/>
      <c r="D524" s="11"/>
      <c r="E524" s="25"/>
      <c r="F524" s="25"/>
    </row>
    <row r="525">
      <c r="A525" s="11"/>
      <c r="B525" s="11"/>
      <c r="C525" s="25"/>
      <c r="D525" s="11"/>
      <c r="E525" s="25"/>
      <c r="F525" s="25"/>
    </row>
    <row r="526">
      <c r="A526" s="11"/>
      <c r="B526" s="11"/>
      <c r="C526" s="25"/>
      <c r="D526" s="11"/>
      <c r="E526" s="25"/>
      <c r="F526" s="25"/>
    </row>
    <row r="527">
      <c r="A527" s="11"/>
      <c r="B527" s="11"/>
      <c r="C527" s="25"/>
      <c r="D527" s="11"/>
      <c r="E527" s="25"/>
      <c r="F527" s="25"/>
    </row>
    <row r="528">
      <c r="A528" s="11"/>
      <c r="B528" s="11"/>
      <c r="C528" s="25"/>
      <c r="D528" s="11"/>
      <c r="E528" s="25"/>
      <c r="F528" s="25"/>
    </row>
    <row r="529">
      <c r="A529" s="11"/>
      <c r="B529" s="11"/>
      <c r="C529" s="25"/>
      <c r="D529" s="11"/>
      <c r="E529" s="25"/>
      <c r="F529" s="25"/>
    </row>
    <row r="530">
      <c r="A530" s="11"/>
      <c r="B530" s="11"/>
      <c r="C530" s="25"/>
      <c r="D530" s="11"/>
      <c r="E530" s="25"/>
      <c r="F530" s="25"/>
    </row>
    <row r="531">
      <c r="A531" s="11"/>
      <c r="B531" s="11"/>
      <c r="C531" s="25"/>
      <c r="D531" s="11"/>
      <c r="E531" s="25"/>
      <c r="F531" s="25"/>
    </row>
    <row r="532">
      <c r="A532" s="11"/>
      <c r="B532" s="11"/>
      <c r="C532" s="25"/>
      <c r="D532" s="11"/>
      <c r="E532" s="25"/>
      <c r="F532" s="25"/>
    </row>
    <row r="533">
      <c r="A533" s="11"/>
      <c r="B533" s="11"/>
      <c r="C533" s="25"/>
      <c r="D533" s="11"/>
      <c r="E533" s="25"/>
      <c r="F533" s="25"/>
    </row>
    <row r="534">
      <c r="A534" s="11"/>
      <c r="B534" s="11"/>
      <c r="C534" s="25"/>
      <c r="D534" s="11"/>
      <c r="E534" s="25"/>
      <c r="F534" s="25"/>
    </row>
    <row r="535">
      <c r="A535" s="11"/>
      <c r="B535" s="11"/>
      <c r="C535" s="25"/>
      <c r="D535" s="11"/>
      <c r="E535" s="25"/>
      <c r="F535" s="25"/>
    </row>
    <row r="536">
      <c r="A536" s="11"/>
      <c r="B536" s="11"/>
      <c r="C536" s="25"/>
      <c r="D536" s="11"/>
      <c r="E536" s="25"/>
      <c r="F536" s="25"/>
    </row>
    <row r="537">
      <c r="A537" s="11"/>
      <c r="B537" s="11"/>
      <c r="C537" s="25"/>
      <c r="D537" s="11"/>
      <c r="E537" s="25"/>
      <c r="F537" s="25"/>
    </row>
    <row r="538">
      <c r="A538" s="11"/>
      <c r="B538" s="11"/>
      <c r="C538" s="25"/>
      <c r="D538" s="11"/>
      <c r="E538" s="25"/>
      <c r="F538" s="25"/>
    </row>
    <row r="539">
      <c r="A539" s="11"/>
      <c r="B539" s="11"/>
      <c r="C539" s="25"/>
      <c r="D539" s="11"/>
      <c r="E539" s="25"/>
      <c r="F539" s="25"/>
    </row>
    <row r="540">
      <c r="A540" s="11"/>
      <c r="B540" s="11"/>
      <c r="C540" s="25"/>
      <c r="D540" s="11"/>
      <c r="E540" s="25"/>
      <c r="F540" s="25"/>
    </row>
    <row r="541">
      <c r="A541" s="11"/>
      <c r="B541" s="11"/>
      <c r="C541" s="25"/>
      <c r="D541" s="11"/>
      <c r="E541" s="25"/>
      <c r="F541" s="25"/>
    </row>
    <row r="542">
      <c r="A542" s="11"/>
      <c r="B542" s="11"/>
      <c r="C542" s="25"/>
      <c r="D542" s="11"/>
      <c r="E542" s="25"/>
      <c r="F542" s="25"/>
    </row>
    <row r="543">
      <c r="A543" s="11"/>
      <c r="B543" s="11"/>
      <c r="C543" s="25"/>
      <c r="D543" s="11"/>
      <c r="E543" s="25"/>
      <c r="F543" s="25"/>
    </row>
    <row r="544">
      <c r="A544" s="11"/>
      <c r="B544" s="11"/>
      <c r="C544" s="25"/>
      <c r="D544" s="11"/>
      <c r="E544" s="25"/>
      <c r="F544" s="25"/>
    </row>
    <row r="545">
      <c r="A545" s="11"/>
      <c r="B545" s="11"/>
      <c r="C545" s="25"/>
      <c r="D545" s="11"/>
      <c r="E545" s="25"/>
      <c r="F545" s="25"/>
    </row>
    <row r="546">
      <c r="A546" s="11"/>
      <c r="B546" s="11"/>
      <c r="C546" s="25"/>
      <c r="D546" s="11"/>
      <c r="E546" s="25"/>
      <c r="F546" s="25"/>
    </row>
    <row r="547">
      <c r="A547" s="11"/>
      <c r="B547" s="11"/>
      <c r="C547" s="25"/>
      <c r="D547" s="11"/>
      <c r="E547" s="25"/>
      <c r="F547" s="25"/>
    </row>
    <row r="548">
      <c r="A548" s="11"/>
      <c r="B548" s="11"/>
      <c r="C548" s="25"/>
      <c r="D548" s="11"/>
      <c r="E548" s="25"/>
      <c r="F548" s="25"/>
    </row>
    <row r="549">
      <c r="A549" s="11"/>
      <c r="B549" s="11"/>
      <c r="C549" s="25"/>
      <c r="D549" s="11"/>
      <c r="E549" s="25"/>
      <c r="F549" s="25"/>
    </row>
    <row r="550">
      <c r="A550" s="11"/>
      <c r="B550" s="11"/>
      <c r="C550" s="25"/>
      <c r="D550" s="11"/>
      <c r="E550" s="25"/>
      <c r="F550" s="25"/>
    </row>
    <row r="551">
      <c r="A551" s="11"/>
      <c r="B551" s="11"/>
      <c r="C551" s="25"/>
      <c r="D551" s="11"/>
      <c r="E551" s="25"/>
      <c r="F551" s="25"/>
    </row>
    <row r="552">
      <c r="A552" s="11"/>
      <c r="B552" s="11"/>
      <c r="C552" s="25"/>
      <c r="D552" s="11"/>
      <c r="E552" s="25"/>
      <c r="F552" s="25"/>
    </row>
    <row r="553">
      <c r="A553" s="11"/>
      <c r="B553" s="11"/>
      <c r="C553" s="25"/>
      <c r="D553" s="11"/>
      <c r="E553" s="25"/>
      <c r="F553" s="25"/>
    </row>
    <row r="554">
      <c r="A554" s="11"/>
      <c r="B554" s="11"/>
      <c r="C554" s="25"/>
      <c r="D554" s="11"/>
      <c r="E554" s="25"/>
      <c r="F554" s="25"/>
    </row>
    <row r="555">
      <c r="A555" s="11"/>
      <c r="B555" s="11"/>
      <c r="C555" s="25"/>
      <c r="D555" s="11"/>
      <c r="E555" s="25"/>
      <c r="F555" s="25"/>
    </row>
    <row r="556">
      <c r="A556" s="11"/>
      <c r="B556" s="11"/>
      <c r="C556" s="25"/>
      <c r="D556" s="11"/>
      <c r="E556" s="25"/>
      <c r="F556" s="25"/>
    </row>
    <row r="557">
      <c r="A557" s="11"/>
      <c r="B557" s="11"/>
      <c r="C557" s="25"/>
      <c r="D557" s="11"/>
      <c r="E557" s="25"/>
      <c r="F557" s="25"/>
    </row>
    <row r="558">
      <c r="A558" s="11"/>
      <c r="B558" s="11"/>
      <c r="C558" s="25"/>
      <c r="D558" s="11"/>
      <c r="E558" s="25"/>
      <c r="F558" s="25"/>
    </row>
    <row r="559">
      <c r="A559" s="11"/>
      <c r="B559" s="11"/>
      <c r="C559" s="25"/>
      <c r="D559" s="11"/>
      <c r="E559" s="25"/>
      <c r="F559" s="25"/>
    </row>
    <row r="560">
      <c r="A560" s="11"/>
      <c r="B560" s="11"/>
      <c r="C560" s="25"/>
      <c r="D560" s="11"/>
      <c r="E560" s="25"/>
      <c r="F560" s="25"/>
    </row>
    <row r="561">
      <c r="A561" s="11"/>
      <c r="B561" s="11"/>
      <c r="C561" s="25"/>
      <c r="D561" s="11"/>
      <c r="E561" s="25"/>
      <c r="F561" s="25"/>
    </row>
    <row r="562">
      <c r="A562" s="11"/>
      <c r="B562" s="11"/>
      <c r="C562" s="25"/>
      <c r="D562" s="11"/>
      <c r="E562" s="25"/>
      <c r="F562" s="25"/>
    </row>
    <row r="563">
      <c r="A563" s="11"/>
      <c r="B563" s="11"/>
      <c r="C563" s="25"/>
      <c r="D563" s="11"/>
      <c r="E563" s="25"/>
      <c r="F563" s="25"/>
    </row>
    <row r="564">
      <c r="A564" s="11"/>
      <c r="B564" s="11"/>
      <c r="C564" s="25"/>
      <c r="D564" s="11"/>
      <c r="E564" s="25"/>
      <c r="F564" s="25"/>
    </row>
    <row r="565">
      <c r="A565" s="11"/>
      <c r="B565" s="11"/>
      <c r="C565" s="25"/>
      <c r="D565" s="11"/>
      <c r="E565" s="25"/>
      <c r="F565" s="25"/>
    </row>
    <row r="566">
      <c r="A566" s="11"/>
      <c r="B566" s="11"/>
      <c r="C566" s="25"/>
      <c r="D566" s="11"/>
      <c r="E566" s="25"/>
      <c r="F566" s="25"/>
    </row>
    <row r="567">
      <c r="A567" s="11"/>
      <c r="B567" s="11"/>
      <c r="C567" s="25"/>
      <c r="D567" s="11"/>
      <c r="E567" s="25"/>
      <c r="F567" s="25"/>
    </row>
    <row r="568">
      <c r="A568" s="11"/>
      <c r="B568" s="11"/>
      <c r="C568" s="25"/>
      <c r="D568" s="11"/>
      <c r="E568" s="25"/>
      <c r="F568" s="25"/>
    </row>
    <row r="569">
      <c r="A569" s="11"/>
      <c r="B569" s="11"/>
      <c r="C569" s="25"/>
      <c r="D569" s="11"/>
      <c r="E569" s="25"/>
      <c r="F569" s="25"/>
    </row>
    <row r="570">
      <c r="A570" s="11"/>
      <c r="B570" s="11"/>
      <c r="C570" s="25"/>
      <c r="D570" s="11"/>
      <c r="E570" s="25"/>
      <c r="F570" s="25"/>
    </row>
    <row r="571">
      <c r="A571" s="11"/>
      <c r="B571" s="11"/>
      <c r="C571" s="25"/>
      <c r="D571" s="11"/>
      <c r="E571" s="25"/>
      <c r="F571" s="25"/>
    </row>
    <row r="572">
      <c r="A572" s="11"/>
      <c r="B572" s="11"/>
      <c r="C572" s="25"/>
      <c r="D572" s="11"/>
      <c r="E572" s="25"/>
      <c r="F572" s="25"/>
    </row>
    <row r="573">
      <c r="A573" s="11"/>
      <c r="B573" s="11"/>
      <c r="C573" s="25"/>
      <c r="D573" s="11"/>
      <c r="E573" s="25"/>
      <c r="F573" s="25"/>
    </row>
    <row r="574">
      <c r="A574" s="11"/>
      <c r="B574" s="11"/>
      <c r="C574" s="25"/>
      <c r="D574" s="11"/>
      <c r="E574" s="25"/>
      <c r="F574" s="25"/>
    </row>
    <row r="575">
      <c r="A575" s="11"/>
      <c r="B575" s="11"/>
      <c r="C575" s="25"/>
      <c r="D575" s="11"/>
      <c r="E575" s="25"/>
      <c r="F575" s="25"/>
    </row>
    <row r="576">
      <c r="A576" s="11"/>
      <c r="B576" s="11"/>
      <c r="C576" s="25"/>
      <c r="D576" s="11"/>
      <c r="E576" s="25"/>
      <c r="F576" s="25"/>
    </row>
    <row r="577">
      <c r="A577" s="11"/>
      <c r="B577" s="11"/>
      <c r="C577" s="25"/>
      <c r="D577" s="11"/>
      <c r="E577" s="25"/>
      <c r="F577" s="25"/>
    </row>
    <row r="578">
      <c r="A578" s="11"/>
      <c r="B578" s="11"/>
      <c r="C578" s="25"/>
      <c r="D578" s="11"/>
      <c r="E578" s="25"/>
      <c r="F578" s="25"/>
    </row>
    <row r="579">
      <c r="A579" s="11"/>
      <c r="B579" s="11"/>
      <c r="C579" s="25"/>
      <c r="D579" s="11"/>
      <c r="E579" s="25"/>
      <c r="F579" s="25"/>
    </row>
    <row r="580">
      <c r="A580" s="11"/>
      <c r="B580" s="11"/>
      <c r="C580" s="25"/>
      <c r="D580" s="11"/>
      <c r="E580" s="25"/>
      <c r="F580" s="25"/>
    </row>
    <row r="581">
      <c r="A581" s="11"/>
      <c r="B581" s="11"/>
      <c r="C581" s="25"/>
      <c r="D581" s="11"/>
      <c r="E581" s="25"/>
      <c r="F581" s="25"/>
    </row>
    <row r="582">
      <c r="A582" s="11"/>
      <c r="B582" s="11"/>
      <c r="C582" s="25"/>
      <c r="D582" s="11"/>
      <c r="E582" s="25"/>
      <c r="F582" s="25"/>
    </row>
    <row r="583">
      <c r="A583" s="11"/>
      <c r="B583" s="11"/>
      <c r="C583" s="25"/>
      <c r="D583" s="11"/>
      <c r="E583" s="25"/>
      <c r="F583" s="25"/>
    </row>
    <row r="584">
      <c r="A584" s="11"/>
      <c r="B584" s="11"/>
      <c r="C584" s="25"/>
      <c r="D584" s="11"/>
      <c r="E584" s="25"/>
      <c r="F584" s="25"/>
    </row>
    <row r="585">
      <c r="A585" s="11"/>
      <c r="B585" s="11"/>
      <c r="C585" s="25"/>
      <c r="D585" s="11"/>
      <c r="E585" s="25"/>
      <c r="F585" s="25"/>
    </row>
    <row r="586">
      <c r="A586" s="11"/>
      <c r="B586" s="11"/>
      <c r="C586" s="25"/>
      <c r="D586" s="11"/>
      <c r="E586" s="25"/>
      <c r="F586" s="25"/>
    </row>
    <row r="587">
      <c r="A587" s="11"/>
      <c r="B587" s="11"/>
      <c r="C587" s="25"/>
      <c r="D587" s="11"/>
      <c r="E587" s="25"/>
      <c r="F587" s="25"/>
    </row>
    <row r="588">
      <c r="A588" s="11"/>
      <c r="B588" s="11"/>
      <c r="C588" s="25"/>
      <c r="D588" s="11"/>
      <c r="E588" s="25"/>
      <c r="F588" s="25"/>
    </row>
    <row r="589">
      <c r="A589" s="11"/>
      <c r="B589" s="11"/>
      <c r="C589" s="25"/>
      <c r="D589" s="11"/>
      <c r="E589" s="25"/>
      <c r="F589" s="25"/>
    </row>
    <row r="590">
      <c r="A590" s="11"/>
      <c r="B590" s="11"/>
      <c r="C590" s="25"/>
      <c r="D590" s="11"/>
      <c r="E590" s="25"/>
      <c r="F590" s="25"/>
    </row>
    <row r="591">
      <c r="A591" s="11"/>
      <c r="B591" s="11"/>
      <c r="C591" s="25"/>
      <c r="D591" s="11"/>
      <c r="E591" s="25"/>
      <c r="F591" s="25"/>
    </row>
    <row r="592">
      <c r="A592" s="11"/>
      <c r="B592" s="11"/>
      <c r="C592" s="25"/>
      <c r="D592" s="11"/>
      <c r="E592" s="25"/>
      <c r="F592" s="25"/>
    </row>
    <row r="593">
      <c r="A593" s="11"/>
      <c r="B593" s="11"/>
      <c r="C593" s="25"/>
      <c r="D593" s="11"/>
      <c r="E593" s="25"/>
      <c r="F593" s="25"/>
    </row>
    <row r="594">
      <c r="A594" s="11"/>
      <c r="B594" s="11"/>
      <c r="C594" s="25"/>
      <c r="D594" s="11"/>
      <c r="E594" s="25"/>
      <c r="F594" s="25"/>
    </row>
    <row r="595">
      <c r="A595" s="11"/>
      <c r="B595" s="11"/>
      <c r="C595" s="25"/>
      <c r="D595" s="11"/>
      <c r="E595" s="25"/>
      <c r="F595" s="25"/>
    </row>
    <row r="596">
      <c r="A596" s="11"/>
      <c r="B596" s="11"/>
      <c r="C596" s="25"/>
      <c r="D596" s="11"/>
      <c r="E596" s="25"/>
      <c r="F596" s="25"/>
    </row>
    <row r="597">
      <c r="A597" s="11"/>
      <c r="B597" s="11"/>
      <c r="C597" s="25"/>
      <c r="D597" s="11"/>
      <c r="E597" s="25"/>
      <c r="F597" s="25"/>
    </row>
    <row r="598">
      <c r="A598" s="11"/>
      <c r="B598" s="11"/>
      <c r="C598" s="25"/>
      <c r="D598" s="11"/>
      <c r="E598" s="25"/>
      <c r="F598" s="25"/>
    </row>
    <row r="599">
      <c r="A599" s="11"/>
      <c r="B599" s="11"/>
      <c r="C599" s="25"/>
      <c r="D599" s="11"/>
      <c r="E599" s="25"/>
      <c r="F599" s="25"/>
    </row>
    <row r="600">
      <c r="A600" s="11"/>
      <c r="B600" s="11"/>
      <c r="C600" s="25"/>
      <c r="D600" s="11"/>
      <c r="E600" s="25"/>
      <c r="F600" s="25"/>
    </row>
    <row r="601">
      <c r="A601" s="11"/>
      <c r="B601" s="11"/>
      <c r="C601" s="25"/>
      <c r="D601" s="11"/>
      <c r="E601" s="25"/>
      <c r="F601" s="25"/>
    </row>
    <row r="602">
      <c r="A602" s="11"/>
      <c r="B602" s="11"/>
      <c r="C602" s="25"/>
      <c r="D602" s="11"/>
      <c r="E602" s="25"/>
      <c r="F602" s="25"/>
    </row>
    <row r="603">
      <c r="A603" s="11"/>
      <c r="B603" s="11"/>
      <c r="C603" s="25"/>
      <c r="D603" s="11"/>
      <c r="E603" s="25"/>
      <c r="F603" s="25"/>
    </row>
    <row r="604">
      <c r="A604" s="11"/>
      <c r="B604" s="11"/>
      <c r="C604" s="25"/>
      <c r="D604" s="11"/>
      <c r="E604" s="25"/>
      <c r="F604" s="25"/>
    </row>
    <row r="605">
      <c r="A605" s="11"/>
      <c r="B605" s="11"/>
      <c r="C605" s="25"/>
      <c r="D605" s="11"/>
      <c r="E605" s="25"/>
      <c r="F605" s="25"/>
    </row>
    <row r="606">
      <c r="A606" s="11"/>
      <c r="B606" s="11"/>
      <c r="C606" s="25"/>
      <c r="D606" s="11"/>
      <c r="E606" s="25"/>
      <c r="F606" s="25"/>
    </row>
    <row r="607">
      <c r="A607" s="11"/>
      <c r="B607" s="11"/>
      <c r="C607" s="25"/>
      <c r="D607" s="11"/>
      <c r="E607" s="25"/>
      <c r="F607" s="25"/>
    </row>
    <row r="608">
      <c r="A608" s="11"/>
      <c r="B608" s="11"/>
      <c r="C608" s="25"/>
      <c r="D608" s="11"/>
      <c r="E608" s="25"/>
      <c r="F608" s="25"/>
    </row>
    <row r="609">
      <c r="A609" s="11"/>
      <c r="B609" s="11"/>
      <c r="C609" s="25"/>
      <c r="D609" s="11"/>
      <c r="E609" s="25"/>
      <c r="F609" s="25"/>
    </row>
    <row r="610">
      <c r="A610" s="11"/>
      <c r="B610" s="11"/>
      <c r="C610" s="25"/>
      <c r="D610" s="11"/>
      <c r="E610" s="25"/>
      <c r="F610" s="25"/>
    </row>
    <row r="611">
      <c r="A611" s="11"/>
      <c r="B611" s="11"/>
      <c r="C611" s="25"/>
      <c r="D611" s="11"/>
      <c r="E611" s="25"/>
      <c r="F611" s="25"/>
    </row>
    <row r="612">
      <c r="A612" s="11"/>
      <c r="B612" s="11"/>
      <c r="C612" s="25"/>
      <c r="D612" s="11"/>
      <c r="E612" s="25"/>
      <c r="F612" s="25"/>
    </row>
    <row r="613">
      <c r="A613" s="11"/>
      <c r="B613" s="11"/>
      <c r="C613" s="25"/>
      <c r="D613" s="11"/>
      <c r="E613" s="25"/>
      <c r="F613" s="25"/>
    </row>
    <row r="614">
      <c r="A614" s="11"/>
      <c r="B614" s="11"/>
      <c r="C614" s="25"/>
      <c r="D614" s="11"/>
      <c r="E614" s="25"/>
      <c r="F614" s="25"/>
    </row>
    <row r="615">
      <c r="A615" s="11"/>
      <c r="B615" s="11"/>
      <c r="C615" s="25"/>
      <c r="D615" s="11"/>
      <c r="E615" s="25"/>
      <c r="F615" s="25"/>
    </row>
    <row r="616">
      <c r="A616" s="11"/>
      <c r="B616" s="11"/>
      <c r="C616" s="25"/>
      <c r="D616" s="11"/>
      <c r="E616" s="25"/>
      <c r="F616" s="25"/>
    </row>
    <row r="617">
      <c r="A617" s="11"/>
      <c r="B617" s="11"/>
      <c r="C617" s="25"/>
      <c r="D617" s="11"/>
      <c r="E617" s="25"/>
      <c r="F617" s="25"/>
    </row>
    <row r="618">
      <c r="A618" s="11"/>
      <c r="B618" s="11"/>
      <c r="C618" s="25"/>
      <c r="D618" s="11"/>
      <c r="E618" s="25"/>
      <c r="F618" s="25"/>
    </row>
    <row r="619">
      <c r="A619" s="11"/>
      <c r="B619" s="11"/>
      <c r="C619" s="25"/>
      <c r="D619" s="11"/>
      <c r="E619" s="25"/>
      <c r="F619" s="25"/>
    </row>
    <row r="620">
      <c r="A620" s="11"/>
      <c r="B620" s="11"/>
      <c r="C620" s="25"/>
      <c r="D620" s="11"/>
      <c r="E620" s="25"/>
      <c r="F620" s="25"/>
    </row>
    <row r="621">
      <c r="A621" s="11"/>
      <c r="B621" s="11"/>
      <c r="C621" s="25"/>
      <c r="D621" s="11"/>
      <c r="E621" s="25"/>
      <c r="F621" s="25"/>
    </row>
    <row r="622">
      <c r="A622" s="11"/>
      <c r="B622" s="11"/>
      <c r="C622" s="25"/>
      <c r="D622" s="11"/>
      <c r="E622" s="25"/>
      <c r="F622" s="25"/>
    </row>
    <row r="623">
      <c r="A623" s="11"/>
      <c r="B623" s="11"/>
      <c r="C623" s="25"/>
      <c r="D623" s="11"/>
      <c r="E623" s="25"/>
      <c r="F623" s="25"/>
    </row>
    <row r="624">
      <c r="A624" s="11"/>
      <c r="B624" s="11"/>
      <c r="C624" s="25"/>
      <c r="D624" s="11"/>
      <c r="E624" s="25"/>
      <c r="F624" s="25"/>
    </row>
    <row r="625">
      <c r="A625" s="11"/>
      <c r="B625" s="11"/>
      <c r="C625" s="25"/>
      <c r="D625" s="11"/>
      <c r="E625" s="25"/>
      <c r="F625" s="25"/>
    </row>
    <row r="626">
      <c r="A626" s="11"/>
      <c r="B626" s="11"/>
      <c r="C626" s="25"/>
      <c r="D626" s="11"/>
      <c r="E626" s="25"/>
      <c r="F626" s="25"/>
    </row>
    <row r="627">
      <c r="A627" s="11"/>
      <c r="B627" s="11"/>
      <c r="C627" s="25"/>
      <c r="D627" s="11"/>
      <c r="E627" s="25"/>
      <c r="F627" s="25"/>
    </row>
    <row r="628">
      <c r="A628" s="11"/>
      <c r="B628" s="11"/>
      <c r="C628" s="25"/>
      <c r="D628" s="11"/>
      <c r="E628" s="25"/>
      <c r="F628" s="25"/>
    </row>
    <row r="629">
      <c r="A629" s="11"/>
      <c r="B629" s="11"/>
      <c r="C629" s="25"/>
      <c r="D629" s="11"/>
      <c r="E629" s="25"/>
      <c r="F629" s="25"/>
    </row>
    <row r="630">
      <c r="A630" s="11"/>
      <c r="B630" s="11"/>
      <c r="C630" s="25"/>
      <c r="D630" s="11"/>
      <c r="E630" s="25"/>
      <c r="F630" s="25"/>
    </row>
    <row r="631">
      <c r="A631" s="11"/>
      <c r="B631" s="11"/>
      <c r="C631" s="25"/>
      <c r="D631" s="11"/>
      <c r="E631" s="25"/>
      <c r="F631" s="25"/>
    </row>
    <row r="632">
      <c r="A632" s="11"/>
      <c r="B632" s="11"/>
      <c r="C632" s="25"/>
      <c r="D632" s="11"/>
      <c r="E632" s="25"/>
      <c r="F632" s="25"/>
    </row>
    <row r="633">
      <c r="A633" s="11"/>
      <c r="B633" s="11"/>
      <c r="C633" s="25"/>
      <c r="D633" s="11"/>
      <c r="E633" s="25"/>
      <c r="F633" s="25"/>
    </row>
    <row r="634">
      <c r="A634" s="11"/>
      <c r="B634" s="11"/>
      <c r="C634" s="25"/>
      <c r="D634" s="11"/>
      <c r="E634" s="25"/>
      <c r="F634" s="25"/>
    </row>
    <row r="635">
      <c r="A635" s="11"/>
      <c r="B635" s="11"/>
      <c r="C635" s="25"/>
      <c r="D635" s="11"/>
      <c r="E635" s="25"/>
      <c r="F635" s="25"/>
    </row>
    <row r="636">
      <c r="A636" s="11"/>
      <c r="B636" s="11"/>
      <c r="C636" s="25"/>
      <c r="D636" s="11"/>
      <c r="E636" s="25"/>
      <c r="F636" s="25"/>
    </row>
    <row r="637">
      <c r="A637" s="11"/>
      <c r="B637" s="11"/>
      <c r="C637" s="25"/>
      <c r="D637" s="11"/>
      <c r="E637" s="25"/>
      <c r="F637" s="25"/>
    </row>
    <row r="638">
      <c r="A638" s="11"/>
      <c r="B638" s="11"/>
      <c r="C638" s="25"/>
      <c r="D638" s="11"/>
      <c r="E638" s="25"/>
      <c r="F638" s="25"/>
    </row>
    <row r="639">
      <c r="A639" s="11"/>
      <c r="B639" s="11"/>
      <c r="C639" s="25"/>
      <c r="D639" s="11"/>
      <c r="E639" s="25"/>
      <c r="F639" s="25"/>
    </row>
    <row r="640">
      <c r="A640" s="11"/>
      <c r="B640" s="11"/>
      <c r="C640" s="25"/>
      <c r="D640" s="11"/>
      <c r="E640" s="25"/>
      <c r="F640" s="25"/>
    </row>
    <row r="641">
      <c r="A641" s="11"/>
      <c r="B641" s="11"/>
      <c r="C641" s="25"/>
      <c r="D641" s="11"/>
      <c r="E641" s="25"/>
      <c r="F641" s="25"/>
    </row>
    <row r="642">
      <c r="A642" s="11"/>
      <c r="B642" s="11"/>
      <c r="C642" s="25"/>
      <c r="D642" s="11"/>
      <c r="E642" s="25"/>
      <c r="F642" s="25"/>
    </row>
    <row r="643">
      <c r="A643" s="11"/>
      <c r="B643" s="11"/>
      <c r="C643" s="25"/>
      <c r="D643" s="11"/>
      <c r="E643" s="25"/>
      <c r="F643" s="25"/>
    </row>
    <row r="644">
      <c r="A644" s="11"/>
      <c r="B644" s="11"/>
      <c r="C644" s="25"/>
      <c r="D644" s="11"/>
      <c r="E644" s="25"/>
      <c r="F644" s="25"/>
    </row>
    <row r="645">
      <c r="A645" s="11"/>
      <c r="B645" s="11"/>
      <c r="C645" s="25"/>
      <c r="D645" s="11"/>
      <c r="E645" s="25"/>
      <c r="F645" s="25"/>
    </row>
    <row r="646">
      <c r="A646" s="11"/>
      <c r="B646" s="11"/>
      <c r="C646" s="25"/>
      <c r="D646" s="11"/>
      <c r="E646" s="25"/>
      <c r="F646" s="25"/>
    </row>
    <row r="647">
      <c r="A647" s="11"/>
      <c r="B647" s="11"/>
      <c r="C647" s="25"/>
      <c r="D647" s="11"/>
      <c r="E647" s="25"/>
      <c r="F647" s="25"/>
    </row>
    <row r="648">
      <c r="A648" s="11"/>
      <c r="B648" s="11"/>
      <c r="C648" s="25"/>
      <c r="D648" s="11"/>
      <c r="E648" s="25"/>
      <c r="F648" s="25"/>
    </row>
    <row r="649">
      <c r="A649" s="11"/>
      <c r="B649" s="11"/>
      <c r="C649" s="25"/>
      <c r="D649" s="11"/>
      <c r="E649" s="25"/>
      <c r="F649" s="25"/>
    </row>
    <row r="650">
      <c r="A650" s="11"/>
      <c r="B650" s="11"/>
      <c r="C650" s="25"/>
      <c r="D650" s="11"/>
      <c r="E650" s="25"/>
      <c r="F650" s="25"/>
    </row>
    <row r="651">
      <c r="A651" s="11"/>
      <c r="B651" s="11"/>
      <c r="C651" s="25"/>
      <c r="D651" s="11"/>
      <c r="E651" s="25"/>
      <c r="F651" s="25"/>
    </row>
    <row r="652">
      <c r="A652" s="11"/>
      <c r="B652" s="11"/>
      <c r="C652" s="25"/>
      <c r="D652" s="11"/>
      <c r="E652" s="25"/>
      <c r="F652" s="25"/>
    </row>
    <row r="653">
      <c r="A653" s="11"/>
      <c r="B653" s="11"/>
      <c r="C653" s="25"/>
      <c r="D653" s="11"/>
      <c r="E653" s="25"/>
      <c r="F653" s="25"/>
    </row>
    <row r="654">
      <c r="A654" s="11"/>
      <c r="B654" s="11"/>
      <c r="C654" s="25"/>
      <c r="D654" s="11"/>
      <c r="E654" s="25"/>
      <c r="F654" s="25"/>
    </row>
    <row r="655">
      <c r="A655" s="11"/>
      <c r="B655" s="11"/>
      <c r="C655" s="25"/>
      <c r="D655" s="11"/>
      <c r="E655" s="25"/>
      <c r="F655" s="25"/>
    </row>
    <row r="656">
      <c r="A656" s="11"/>
      <c r="B656" s="11"/>
      <c r="C656" s="25"/>
      <c r="D656" s="11"/>
      <c r="E656" s="25"/>
      <c r="F656" s="25"/>
    </row>
    <row r="657">
      <c r="A657" s="11"/>
      <c r="B657" s="11"/>
      <c r="C657" s="25"/>
      <c r="D657" s="11"/>
      <c r="E657" s="25"/>
      <c r="F657" s="25"/>
    </row>
    <row r="658">
      <c r="A658" s="11"/>
      <c r="B658" s="11"/>
      <c r="C658" s="25"/>
      <c r="D658" s="11"/>
      <c r="E658" s="25"/>
      <c r="F658" s="25"/>
    </row>
    <row r="659">
      <c r="A659" s="11"/>
      <c r="B659" s="11"/>
      <c r="C659" s="25"/>
      <c r="D659" s="11"/>
      <c r="E659" s="25"/>
      <c r="F659" s="25"/>
    </row>
    <row r="660">
      <c r="A660" s="11"/>
      <c r="B660" s="11"/>
      <c r="C660" s="25"/>
      <c r="D660" s="11"/>
      <c r="E660" s="25"/>
      <c r="F660" s="25"/>
    </row>
    <row r="661">
      <c r="A661" s="11"/>
      <c r="B661" s="11"/>
      <c r="C661" s="25"/>
      <c r="D661" s="11"/>
      <c r="E661" s="25"/>
      <c r="F661" s="25"/>
    </row>
    <row r="662">
      <c r="A662" s="11"/>
      <c r="B662" s="11"/>
      <c r="C662" s="25"/>
      <c r="D662" s="11"/>
      <c r="E662" s="25"/>
      <c r="F662" s="25"/>
    </row>
    <row r="663">
      <c r="A663" s="11"/>
      <c r="B663" s="11"/>
      <c r="C663" s="25"/>
      <c r="D663" s="11"/>
      <c r="E663" s="25"/>
      <c r="F663" s="25"/>
    </row>
    <row r="664">
      <c r="A664" s="11"/>
      <c r="B664" s="11"/>
      <c r="C664" s="25"/>
      <c r="D664" s="11"/>
      <c r="E664" s="25"/>
      <c r="F664" s="25"/>
    </row>
    <row r="665">
      <c r="A665" s="11"/>
      <c r="B665" s="11"/>
      <c r="C665" s="25"/>
      <c r="D665" s="11"/>
      <c r="E665" s="25"/>
      <c r="F665" s="25"/>
    </row>
    <row r="666">
      <c r="A666" s="11"/>
      <c r="B666" s="11"/>
      <c r="C666" s="25"/>
      <c r="D666" s="11"/>
      <c r="E666" s="25"/>
      <c r="F666" s="25"/>
    </row>
    <row r="667">
      <c r="A667" s="11"/>
      <c r="B667" s="11"/>
      <c r="C667" s="25"/>
      <c r="D667" s="11"/>
      <c r="E667" s="25"/>
      <c r="F667" s="25"/>
    </row>
    <row r="668">
      <c r="A668" s="11"/>
      <c r="B668" s="11"/>
      <c r="C668" s="25"/>
      <c r="D668" s="11"/>
      <c r="E668" s="25"/>
      <c r="F668" s="25"/>
    </row>
    <row r="669">
      <c r="A669" s="11"/>
      <c r="B669" s="11"/>
      <c r="C669" s="25"/>
      <c r="D669" s="11"/>
      <c r="E669" s="25"/>
      <c r="F669" s="25"/>
    </row>
    <row r="670">
      <c r="A670" s="11"/>
      <c r="B670" s="11"/>
      <c r="C670" s="25"/>
      <c r="D670" s="11"/>
      <c r="E670" s="25"/>
      <c r="F670" s="25"/>
    </row>
    <row r="671">
      <c r="A671" s="11"/>
      <c r="B671" s="11"/>
      <c r="C671" s="25"/>
      <c r="D671" s="11"/>
      <c r="E671" s="25"/>
      <c r="F671" s="25"/>
    </row>
    <row r="672">
      <c r="A672" s="11"/>
      <c r="B672" s="11"/>
      <c r="C672" s="25"/>
      <c r="D672" s="11"/>
      <c r="E672" s="25"/>
      <c r="F672" s="25"/>
    </row>
    <row r="673">
      <c r="A673" s="11"/>
      <c r="B673" s="11"/>
      <c r="C673" s="25"/>
      <c r="D673" s="11"/>
      <c r="E673" s="25"/>
      <c r="F673" s="25"/>
    </row>
    <row r="674">
      <c r="A674" s="11"/>
      <c r="B674" s="11"/>
      <c r="C674" s="25"/>
      <c r="D674" s="11"/>
      <c r="E674" s="25"/>
      <c r="F674" s="25"/>
    </row>
    <row r="675">
      <c r="A675" s="11"/>
      <c r="B675" s="11"/>
      <c r="C675" s="25"/>
      <c r="D675" s="11"/>
      <c r="E675" s="25"/>
      <c r="F675" s="25"/>
    </row>
    <row r="676">
      <c r="A676" s="11"/>
      <c r="B676" s="11"/>
      <c r="C676" s="25"/>
      <c r="D676" s="11"/>
      <c r="E676" s="25"/>
      <c r="F676" s="25"/>
    </row>
    <row r="677">
      <c r="A677" s="11"/>
      <c r="B677" s="11"/>
      <c r="C677" s="25"/>
      <c r="D677" s="11"/>
      <c r="E677" s="25"/>
      <c r="F677" s="25"/>
    </row>
    <row r="678">
      <c r="A678" s="11"/>
      <c r="B678" s="11"/>
      <c r="C678" s="25"/>
      <c r="D678" s="11"/>
      <c r="E678" s="25"/>
      <c r="F678" s="25"/>
    </row>
    <row r="679">
      <c r="A679" s="11"/>
      <c r="B679" s="11"/>
      <c r="C679" s="25"/>
      <c r="D679" s="11"/>
      <c r="E679" s="25"/>
      <c r="F679" s="25"/>
    </row>
    <row r="680">
      <c r="A680" s="11"/>
      <c r="B680" s="11"/>
      <c r="C680" s="25"/>
      <c r="D680" s="11"/>
      <c r="E680" s="25"/>
      <c r="F680" s="25"/>
    </row>
    <row r="681">
      <c r="A681" s="11"/>
      <c r="B681" s="11"/>
      <c r="C681" s="25"/>
      <c r="D681" s="11"/>
      <c r="E681" s="25"/>
      <c r="F681" s="25"/>
    </row>
    <row r="682">
      <c r="A682" s="11"/>
      <c r="B682" s="11"/>
      <c r="C682" s="25"/>
      <c r="D682" s="11"/>
      <c r="E682" s="25"/>
      <c r="F682" s="25"/>
    </row>
    <row r="683">
      <c r="A683" s="11"/>
      <c r="B683" s="11"/>
      <c r="C683" s="25"/>
      <c r="D683" s="11"/>
      <c r="E683" s="25"/>
      <c r="F683" s="25"/>
    </row>
    <row r="684">
      <c r="A684" s="11"/>
      <c r="B684" s="11"/>
      <c r="C684" s="25"/>
      <c r="D684" s="11"/>
      <c r="E684" s="25"/>
      <c r="F684" s="25"/>
    </row>
    <row r="685">
      <c r="A685" s="11"/>
      <c r="B685" s="11"/>
      <c r="C685" s="25"/>
      <c r="D685" s="11"/>
      <c r="E685" s="25"/>
      <c r="F685" s="25"/>
    </row>
    <row r="686">
      <c r="A686" s="11"/>
      <c r="B686" s="11"/>
      <c r="C686" s="25"/>
      <c r="D686" s="11"/>
      <c r="E686" s="25"/>
      <c r="F686" s="25"/>
    </row>
    <row r="687">
      <c r="A687" s="11"/>
      <c r="B687" s="11"/>
      <c r="C687" s="25"/>
      <c r="D687" s="11"/>
      <c r="E687" s="25"/>
      <c r="F687" s="25"/>
    </row>
    <row r="688">
      <c r="A688" s="11"/>
      <c r="B688" s="11"/>
      <c r="C688" s="25"/>
      <c r="D688" s="11"/>
      <c r="E688" s="25"/>
      <c r="F688" s="25"/>
    </row>
    <row r="689">
      <c r="A689" s="11"/>
      <c r="B689" s="11"/>
      <c r="C689" s="25"/>
      <c r="D689" s="11"/>
      <c r="E689" s="25"/>
      <c r="F689" s="25"/>
    </row>
    <row r="690">
      <c r="A690" s="11"/>
      <c r="B690" s="11"/>
      <c r="C690" s="25"/>
      <c r="D690" s="11"/>
      <c r="E690" s="25"/>
      <c r="F690" s="25"/>
    </row>
    <row r="691">
      <c r="A691" s="11"/>
      <c r="B691" s="11"/>
      <c r="C691" s="25"/>
      <c r="D691" s="11"/>
      <c r="E691" s="25"/>
      <c r="F691" s="25"/>
    </row>
    <row r="692">
      <c r="A692" s="11"/>
      <c r="B692" s="11"/>
      <c r="C692" s="25"/>
      <c r="D692" s="11"/>
      <c r="E692" s="25"/>
      <c r="F692" s="25"/>
    </row>
    <row r="693">
      <c r="A693" s="11"/>
      <c r="B693" s="11"/>
      <c r="C693" s="25"/>
      <c r="D693" s="11"/>
      <c r="E693" s="25"/>
      <c r="F693" s="25"/>
    </row>
    <row r="694">
      <c r="A694" s="11"/>
      <c r="B694" s="11"/>
      <c r="C694" s="25"/>
      <c r="D694" s="11"/>
      <c r="E694" s="25"/>
      <c r="F694" s="25"/>
    </row>
    <row r="695">
      <c r="A695" s="11"/>
      <c r="B695" s="11"/>
      <c r="C695" s="25"/>
      <c r="D695" s="11"/>
      <c r="E695" s="25"/>
      <c r="F695" s="25"/>
    </row>
    <row r="696">
      <c r="A696" s="11"/>
      <c r="B696" s="11"/>
      <c r="C696" s="25"/>
      <c r="D696" s="11"/>
      <c r="E696" s="25"/>
      <c r="F696" s="25"/>
    </row>
    <row r="697">
      <c r="A697" s="11"/>
      <c r="B697" s="11"/>
      <c r="C697" s="25"/>
      <c r="D697" s="11"/>
      <c r="E697" s="25"/>
      <c r="F697" s="25"/>
    </row>
    <row r="698">
      <c r="A698" s="11"/>
      <c r="B698" s="11"/>
      <c r="C698" s="25"/>
      <c r="D698" s="11"/>
      <c r="E698" s="25"/>
      <c r="F698" s="25"/>
    </row>
    <row r="699">
      <c r="A699" s="11"/>
      <c r="B699" s="11"/>
      <c r="C699" s="25"/>
      <c r="D699" s="11"/>
      <c r="E699" s="25"/>
      <c r="F699" s="25"/>
    </row>
    <row r="700">
      <c r="A700" s="11"/>
      <c r="B700" s="11"/>
      <c r="C700" s="25"/>
      <c r="D700" s="11"/>
      <c r="E700" s="25"/>
      <c r="F700" s="25"/>
    </row>
    <row r="701">
      <c r="A701" s="11"/>
      <c r="B701" s="11"/>
      <c r="C701" s="25"/>
      <c r="D701" s="11"/>
      <c r="E701" s="25"/>
      <c r="F701" s="25"/>
    </row>
    <row r="702">
      <c r="A702" s="11"/>
      <c r="B702" s="11"/>
      <c r="C702" s="25"/>
      <c r="D702" s="11"/>
      <c r="E702" s="25"/>
      <c r="F702" s="25"/>
    </row>
    <row r="703">
      <c r="A703" s="11"/>
      <c r="B703" s="11"/>
      <c r="C703" s="25"/>
      <c r="D703" s="11"/>
      <c r="E703" s="25"/>
      <c r="F703" s="25"/>
    </row>
    <row r="704">
      <c r="A704" s="11"/>
      <c r="B704" s="11"/>
      <c r="C704" s="25"/>
      <c r="D704" s="11"/>
      <c r="E704" s="25"/>
      <c r="F704" s="25"/>
    </row>
    <row r="705">
      <c r="A705" s="11"/>
      <c r="B705" s="11"/>
      <c r="C705" s="25"/>
      <c r="D705" s="11"/>
      <c r="E705" s="25"/>
      <c r="F705" s="25"/>
    </row>
    <row r="706">
      <c r="A706" s="11"/>
      <c r="B706" s="11"/>
      <c r="C706" s="25"/>
      <c r="D706" s="11"/>
      <c r="E706" s="25"/>
      <c r="F706" s="25"/>
    </row>
    <row r="707">
      <c r="A707" s="11"/>
      <c r="B707" s="11"/>
      <c r="C707" s="25"/>
      <c r="D707" s="11"/>
      <c r="E707" s="25"/>
      <c r="F707" s="25"/>
    </row>
    <row r="708">
      <c r="A708" s="11"/>
      <c r="B708" s="11"/>
      <c r="C708" s="25"/>
      <c r="D708" s="11"/>
      <c r="E708" s="25"/>
      <c r="F708" s="25"/>
    </row>
    <row r="709">
      <c r="A709" s="11"/>
      <c r="B709" s="11"/>
      <c r="C709" s="25"/>
      <c r="D709" s="11"/>
      <c r="E709" s="25"/>
      <c r="F709" s="25"/>
    </row>
    <row r="710">
      <c r="A710" s="11"/>
      <c r="B710" s="11"/>
      <c r="C710" s="25"/>
      <c r="D710" s="11"/>
      <c r="E710" s="25"/>
      <c r="F710" s="25"/>
    </row>
    <row r="711">
      <c r="A711" s="11"/>
      <c r="B711" s="11"/>
      <c r="C711" s="25"/>
      <c r="D711" s="11"/>
      <c r="E711" s="25"/>
      <c r="F711" s="25"/>
    </row>
    <row r="712">
      <c r="A712" s="11"/>
      <c r="B712" s="11"/>
      <c r="C712" s="25"/>
      <c r="D712" s="11"/>
      <c r="E712" s="25"/>
      <c r="F712" s="25"/>
    </row>
    <row r="713">
      <c r="A713" s="11"/>
      <c r="B713" s="11"/>
      <c r="C713" s="25"/>
      <c r="D713" s="11"/>
      <c r="E713" s="25"/>
      <c r="F713" s="25"/>
    </row>
    <row r="714">
      <c r="A714" s="11"/>
      <c r="B714" s="11"/>
      <c r="C714" s="25"/>
      <c r="D714" s="11"/>
      <c r="E714" s="25"/>
      <c r="F714" s="25"/>
    </row>
    <row r="715">
      <c r="A715" s="11"/>
      <c r="B715" s="11"/>
      <c r="C715" s="25"/>
      <c r="D715" s="11"/>
      <c r="E715" s="25"/>
      <c r="F715" s="25"/>
    </row>
    <row r="716">
      <c r="A716" s="11"/>
      <c r="B716" s="11"/>
      <c r="C716" s="25"/>
      <c r="D716" s="11"/>
      <c r="E716" s="25"/>
      <c r="F716" s="25"/>
    </row>
    <row r="717">
      <c r="A717" s="11"/>
      <c r="B717" s="11"/>
      <c r="C717" s="25"/>
      <c r="D717" s="11"/>
      <c r="E717" s="25"/>
      <c r="F717" s="25"/>
    </row>
    <row r="718">
      <c r="A718" s="11"/>
      <c r="B718" s="11"/>
      <c r="C718" s="25"/>
      <c r="D718" s="11"/>
      <c r="E718" s="25"/>
      <c r="F718" s="25"/>
    </row>
    <row r="719">
      <c r="A719" s="11"/>
      <c r="B719" s="11"/>
      <c r="C719" s="25"/>
      <c r="D719" s="11"/>
      <c r="E719" s="25"/>
      <c r="F719" s="25"/>
    </row>
    <row r="720">
      <c r="A720" s="11"/>
      <c r="B720" s="11"/>
      <c r="C720" s="25"/>
      <c r="D720" s="11"/>
      <c r="E720" s="25"/>
      <c r="F720" s="25"/>
    </row>
    <row r="721">
      <c r="A721" s="11"/>
      <c r="B721" s="11"/>
      <c r="C721" s="25"/>
      <c r="D721" s="11"/>
      <c r="E721" s="25"/>
      <c r="F721" s="25"/>
    </row>
    <row r="722">
      <c r="A722" s="11"/>
      <c r="B722" s="11"/>
      <c r="C722" s="25"/>
      <c r="D722" s="11"/>
      <c r="E722" s="25"/>
      <c r="F722" s="25"/>
    </row>
    <row r="723">
      <c r="A723" s="11"/>
      <c r="B723" s="11"/>
      <c r="C723" s="25"/>
      <c r="D723" s="11"/>
      <c r="E723" s="25"/>
      <c r="F723" s="25"/>
    </row>
    <row r="724">
      <c r="A724" s="11"/>
      <c r="B724" s="11"/>
      <c r="C724" s="25"/>
      <c r="D724" s="11"/>
      <c r="E724" s="25"/>
      <c r="F724" s="25"/>
    </row>
    <row r="725">
      <c r="A725" s="11"/>
      <c r="B725" s="11"/>
      <c r="C725" s="25"/>
      <c r="D725" s="11"/>
      <c r="E725" s="25"/>
      <c r="F725" s="25"/>
    </row>
    <row r="726">
      <c r="A726" s="11"/>
      <c r="B726" s="11"/>
      <c r="C726" s="25"/>
      <c r="D726" s="11"/>
      <c r="E726" s="25"/>
      <c r="F726" s="25"/>
    </row>
    <row r="727">
      <c r="A727" s="11"/>
      <c r="B727" s="11"/>
      <c r="C727" s="25"/>
      <c r="D727" s="11"/>
      <c r="E727" s="25"/>
      <c r="F727" s="25"/>
    </row>
    <row r="728">
      <c r="A728" s="11"/>
      <c r="B728" s="11"/>
      <c r="C728" s="25"/>
      <c r="D728" s="11"/>
      <c r="E728" s="25"/>
      <c r="F728" s="25"/>
    </row>
    <row r="729">
      <c r="A729" s="11"/>
      <c r="B729" s="11"/>
      <c r="C729" s="25"/>
      <c r="D729" s="11"/>
      <c r="E729" s="25"/>
      <c r="F729" s="25"/>
    </row>
    <row r="730">
      <c r="A730" s="11"/>
      <c r="B730" s="11"/>
      <c r="C730" s="25"/>
      <c r="D730" s="11"/>
      <c r="E730" s="25"/>
      <c r="F730" s="25"/>
    </row>
    <row r="731">
      <c r="A731" s="11"/>
      <c r="B731" s="11"/>
      <c r="C731" s="25"/>
      <c r="D731" s="11"/>
      <c r="E731" s="25"/>
      <c r="F731" s="25"/>
    </row>
    <row r="732">
      <c r="A732" s="11"/>
      <c r="B732" s="11"/>
      <c r="C732" s="25"/>
      <c r="D732" s="11"/>
      <c r="E732" s="25"/>
      <c r="F732" s="25"/>
    </row>
    <row r="733">
      <c r="A733" s="11"/>
      <c r="B733" s="11"/>
      <c r="C733" s="25"/>
      <c r="D733" s="11"/>
      <c r="E733" s="25"/>
      <c r="F733" s="25"/>
    </row>
    <row r="734">
      <c r="A734" s="11"/>
      <c r="B734" s="11"/>
      <c r="C734" s="25"/>
      <c r="D734" s="11"/>
      <c r="E734" s="25"/>
      <c r="F734" s="25"/>
    </row>
    <row r="735">
      <c r="A735" s="11"/>
      <c r="B735" s="11"/>
      <c r="C735" s="25"/>
      <c r="D735" s="11"/>
      <c r="E735" s="25"/>
      <c r="F735" s="25"/>
    </row>
    <row r="736">
      <c r="A736" s="11"/>
      <c r="B736" s="11"/>
      <c r="C736" s="25"/>
      <c r="D736" s="11"/>
      <c r="E736" s="25"/>
      <c r="F736" s="25"/>
    </row>
    <row r="737">
      <c r="A737" s="11"/>
      <c r="B737" s="11"/>
      <c r="C737" s="25"/>
      <c r="D737" s="11"/>
      <c r="E737" s="25"/>
      <c r="F737" s="25"/>
    </row>
    <row r="738">
      <c r="A738" s="11"/>
      <c r="B738" s="11"/>
      <c r="C738" s="25"/>
      <c r="D738" s="11"/>
      <c r="E738" s="25"/>
      <c r="F738" s="25"/>
    </row>
    <row r="739">
      <c r="A739" s="11"/>
      <c r="B739" s="11"/>
      <c r="C739" s="25"/>
      <c r="D739" s="11"/>
      <c r="E739" s="25"/>
      <c r="F739" s="25"/>
    </row>
    <row r="740">
      <c r="A740" s="11"/>
      <c r="B740" s="11"/>
      <c r="C740" s="25"/>
      <c r="D740" s="11"/>
      <c r="E740" s="25"/>
      <c r="F740" s="25"/>
    </row>
    <row r="741">
      <c r="A741" s="11"/>
      <c r="B741" s="11"/>
      <c r="C741" s="25"/>
      <c r="D741" s="11"/>
      <c r="E741" s="25"/>
      <c r="F741" s="25"/>
    </row>
    <row r="742">
      <c r="A742" s="11"/>
      <c r="B742" s="11"/>
      <c r="C742" s="25"/>
      <c r="D742" s="11"/>
      <c r="E742" s="25"/>
      <c r="F742" s="25"/>
    </row>
    <row r="743">
      <c r="A743" s="11"/>
      <c r="B743" s="11"/>
      <c r="C743" s="25"/>
      <c r="D743" s="11"/>
      <c r="E743" s="25"/>
      <c r="F743" s="25"/>
    </row>
    <row r="744">
      <c r="A744" s="11"/>
      <c r="B744" s="11"/>
      <c r="C744" s="25"/>
      <c r="D744" s="11"/>
      <c r="E744" s="25"/>
      <c r="F744" s="25"/>
    </row>
    <row r="745">
      <c r="A745" s="11"/>
      <c r="B745" s="11"/>
      <c r="C745" s="25"/>
      <c r="D745" s="11"/>
      <c r="E745" s="25"/>
      <c r="F745" s="25"/>
    </row>
    <row r="746">
      <c r="A746" s="11"/>
      <c r="B746" s="11"/>
      <c r="C746" s="25"/>
      <c r="D746" s="11"/>
      <c r="E746" s="25"/>
      <c r="F746" s="25"/>
    </row>
    <row r="747">
      <c r="A747" s="11"/>
      <c r="B747" s="11"/>
      <c r="C747" s="25"/>
      <c r="D747" s="11"/>
      <c r="E747" s="25"/>
      <c r="F747" s="25"/>
    </row>
    <row r="748">
      <c r="A748" s="11"/>
      <c r="B748" s="11"/>
      <c r="C748" s="25"/>
      <c r="D748" s="11"/>
      <c r="E748" s="25"/>
      <c r="F748" s="25"/>
    </row>
    <row r="749">
      <c r="A749" s="11"/>
      <c r="B749" s="11"/>
      <c r="C749" s="25"/>
      <c r="D749" s="11"/>
      <c r="E749" s="25"/>
      <c r="F749" s="25"/>
    </row>
    <row r="750">
      <c r="A750" s="11"/>
      <c r="B750" s="11"/>
      <c r="C750" s="25"/>
      <c r="D750" s="11"/>
      <c r="E750" s="25"/>
      <c r="F750" s="25"/>
    </row>
    <row r="751">
      <c r="A751" s="11"/>
      <c r="B751" s="11"/>
      <c r="C751" s="25"/>
      <c r="D751" s="11"/>
      <c r="E751" s="25"/>
      <c r="F751" s="25"/>
    </row>
    <row r="752">
      <c r="A752" s="11"/>
      <c r="B752" s="11"/>
      <c r="C752" s="25"/>
      <c r="D752" s="11"/>
      <c r="E752" s="25"/>
      <c r="F752" s="25"/>
    </row>
    <row r="753">
      <c r="A753" s="11"/>
      <c r="B753" s="11"/>
      <c r="C753" s="25"/>
      <c r="D753" s="11"/>
      <c r="E753" s="25"/>
      <c r="F753" s="25"/>
    </row>
    <row r="754">
      <c r="A754" s="11"/>
      <c r="B754" s="11"/>
      <c r="C754" s="25"/>
      <c r="D754" s="11"/>
      <c r="E754" s="25"/>
      <c r="F754" s="25"/>
    </row>
    <row r="755">
      <c r="A755" s="11"/>
      <c r="B755" s="11"/>
      <c r="C755" s="25"/>
      <c r="D755" s="11"/>
      <c r="E755" s="25"/>
      <c r="F755" s="25"/>
    </row>
    <row r="756">
      <c r="A756" s="11"/>
      <c r="B756" s="11"/>
      <c r="C756" s="25"/>
      <c r="D756" s="11"/>
      <c r="E756" s="25"/>
      <c r="F756" s="25"/>
    </row>
    <row r="757">
      <c r="A757" s="11"/>
      <c r="B757" s="11"/>
      <c r="C757" s="25"/>
      <c r="D757" s="11"/>
      <c r="E757" s="25"/>
      <c r="F757" s="25"/>
    </row>
    <row r="758">
      <c r="A758" s="11"/>
      <c r="B758" s="11"/>
      <c r="C758" s="25"/>
      <c r="D758" s="11"/>
      <c r="E758" s="25"/>
      <c r="F758" s="25"/>
    </row>
    <row r="759">
      <c r="A759" s="11"/>
      <c r="B759" s="11"/>
      <c r="C759" s="25"/>
      <c r="D759" s="11"/>
      <c r="E759" s="25"/>
      <c r="F759" s="25"/>
    </row>
    <row r="760">
      <c r="A760" s="11"/>
      <c r="B760" s="11"/>
      <c r="C760" s="25"/>
      <c r="D760" s="11"/>
      <c r="E760" s="25"/>
      <c r="F760" s="25"/>
    </row>
    <row r="761">
      <c r="A761" s="11"/>
      <c r="B761" s="11"/>
      <c r="C761" s="25"/>
      <c r="D761" s="11"/>
      <c r="E761" s="25"/>
      <c r="F761" s="25"/>
    </row>
    <row r="762">
      <c r="A762" s="11"/>
      <c r="B762" s="11"/>
      <c r="C762" s="25"/>
      <c r="D762" s="11"/>
      <c r="E762" s="25"/>
      <c r="F762" s="25"/>
    </row>
    <row r="763">
      <c r="A763" s="11"/>
      <c r="B763" s="11"/>
      <c r="C763" s="25"/>
      <c r="D763" s="11"/>
      <c r="E763" s="25"/>
      <c r="F763" s="25"/>
    </row>
    <row r="764">
      <c r="A764" s="11"/>
      <c r="B764" s="11"/>
      <c r="C764" s="25"/>
      <c r="D764" s="11"/>
      <c r="E764" s="25"/>
      <c r="F764" s="25"/>
    </row>
    <row r="765">
      <c r="A765" s="11"/>
      <c r="B765" s="11"/>
      <c r="C765" s="25"/>
      <c r="D765" s="11"/>
      <c r="E765" s="25"/>
      <c r="F765" s="25"/>
    </row>
    <row r="766">
      <c r="A766" s="11"/>
      <c r="B766" s="11"/>
      <c r="C766" s="25"/>
      <c r="D766" s="11"/>
      <c r="E766" s="25"/>
      <c r="F766" s="25"/>
    </row>
    <row r="767">
      <c r="A767" s="11"/>
      <c r="B767" s="11"/>
      <c r="C767" s="25"/>
      <c r="D767" s="11"/>
      <c r="E767" s="25"/>
      <c r="F767" s="25"/>
    </row>
    <row r="768">
      <c r="A768" s="11"/>
      <c r="B768" s="11"/>
      <c r="C768" s="25"/>
      <c r="D768" s="11"/>
      <c r="E768" s="25"/>
      <c r="F768" s="25"/>
    </row>
    <row r="769">
      <c r="A769" s="11"/>
      <c r="B769" s="11"/>
      <c r="C769" s="25"/>
      <c r="D769" s="11"/>
      <c r="E769" s="25"/>
      <c r="F769" s="25"/>
    </row>
    <row r="770">
      <c r="A770" s="11"/>
      <c r="B770" s="11"/>
      <c r="C770" s="25"/>
      <c r="D770" s="11"/>
      <c r="E770" s="25"/>
      <c r="F770" s="25"/>
    </row>
    <row r="771">
      <c r="A771" s="11"/>
      <c r="B771" s="11"/>
      <c r="C771" s="25"/>
      <c r="D771" s="11"/>
      <c r="E771" s="25"/>
      <c r="F771" s="25"/>
    </row>
    <row r="772">
      <c r="A772" s="11"/>
      <c r="B772" s="11"/>
      <c r="C772" s="25"/>
      <c r="D772" s="11"/>
      <c r="E772" s="25"/>
      <c r="F772" s="25"/>
    </row>
    <row r="773">
      <c r="A773" s="11"/>
      <c r="B773" s="11"/>
      <c r="C773" s="25"/>
      <c r="D773" s="11"/>
      <c r="E773" s="25"/>
      <c r="F773" s="25"/>
    </row>
    <row r="774">
      <c r="A774" s="11"/>
      <c r="B774" s="11"/>
      <c r="C774" s="25"/>
      <c r="D774" s="11"/>
      <c r="E774" s="25"/>
      <c r="F774" s="25"/>
    </row>
    <row r="775">
      <c r="A775" s="11"/>
      <c r="B775" s="11"/>
      <c r="C775" s="25"/>
      <c r="D775" s="11"/>
      <c r="E775" s="25"/>
      <c r="F775" s="25"/>
    </row>
    <row r="776">
      <c r="A776" s="11"/>
      <c r="B776" s="11"/>
      <c r="C776" s="25"/>
      <c r="D776" s="11"/>
      <c r="E776" s="25"/>
      <c r="F776" s="25"/>
    </row>
    <row r="777">
      <c r="A777" s="11"/>
      <c r="B777" s="11"/>
      <c r="C777" s="25"/>
      <c r="D777" s="11"/>
      <c r="E777" s="25"/>
      <c r="F777" s="25"/>
    </row>
    <row r="778">
      <c r="A778" s="11"/>
      <c r="B778" s="11"/>
      <c r="C778" s="25"/>
      <c r="D778" s="11"/>
      <c r="E778" s="25"/>
      <c r="F778" s="25"/>
    </row>
    <row r="779">
      <c r="A779" s="11"/>
      <c r="B779" s="11"/>
      <c r="C779" s="25"/>
      <c r="D779" s="11"/>
      <c r="E779" s="25"/>
      <c r="F779" s="25"/>
    </row>
    <row r="780">
      <c r="A780" s="11"/>
      <c r="B780" s="11"/>
      <c r="C780" s="25"/>
      <c r="D780" s="11"/>
      <c r="E780" s="25"/>
      <c r="F780" s="25"/>
    </row>
    <row r="781">
      <c r="A781" s="11"/>
      <c r="B781" s="11"/>
      <c r="C781" s="25"/>
      <c r="D781" s="11"/>
      <c r="E781" s="25"/>
      <c r="F781" s="25"/>
    </row>
    <row r="782">
      <c r="A782" s="11"/>
      <c r="B782" s="11"/>
      <c r="C782" s="25"/>
      <c r="D782" s="11"/>
      <c r="E782" s="25"/>
      <c r="F782" s="25"/>
    </row>
    <row r="783">
      <c r="A783" s="11"/>
      <c r="B783" s="11"/>
      <c r="C783" s="25"/>
      <c r="D783" s="11"/>
      <c r="E783" s="25"/>
      <c r="F783" s="25"/>
    </row>
    <row r="784">
      <c r="A784" s="11"/>
      <c r="B784" s="11"/>
      <c r="C784" s="25"/>
      <c r="D784" s="11"/>
      <c r="E784" s="25"/>
      <c r="F784" s="25"/>
    </row>
    <row r="785">
      <c r="A785" s="11"/>
      <c r="B785" s="11"/>
      <c r="C785" s="25"/>
      <c r="D785" s="11"/>
      <c r="E785" s="25"/>
      <c r="F785" s="25"/>
    </row>
    <row r="786">
      <c r="A786" s="11"/>
      <c r="B786" s="11"/>
      <c r="C786" s="25"/>
      <c r="D786" s="11"/>
      <c r="E786" s="25"/>
      <c r="F786" s="25"/>
    </row>
    <row r="787">
      <c r="A787" s="11"/>
      <c r="B787" s="11"/>
      <c r="C787" s="25"/>
      <c r="D787" s="11"/>
      <c r="E787" s="25"/>
      <c r="F787" s="25"/>
    </row>
    <row r="788">
      <c r="A788" s="11"/>
      <c r="B788" s="11"/>
      <c r="C788" s="25"/>
      <c r="D788" s="11"/>
      <c r="E788" s="25"/>
      <c r="F788" s="25"/>
    </row>
    <row r="789">
      <c r="A789" s="11"/>
      <c r="B789" s="11"/>
      <c r="C789" s="25"/>
      <c r="D789" s="11"/>
      <c r="E789" s="25"/>
      <c r="F789" s="25"/>
    </row>
    <row r="790">
      <c r="A790" s="11"/>
      <c r="B790" s="11"/>
      <c r="C790" s="25"/>
      <c r="D790" s="11"/>
      <c r="E790" s="25"/>
      <c r="F790" s="25"/>
    </row>
    <row r="791">
      <c r="A791" s="11"/>
      <c r="B791" s="11"/>
      <c r="C791" s="25"/>
      <c r="D791" s="11"/>
      <c r="E791" s="25"/>
      <c r="F791" s="25"/>
    </row>
    <row r="792">
      <c r="A792" s="11"/>
      <c r="B792" s="11"/>
      <c r="C792" s="25"/>
      <c r="D792" s="11"/>
      <c r="E792" s="25"/>
      <c r="F792" s="25"/>
    </row>
    <row r="793">
      <c r="A793" s="11"/>
      <c r="B793" s="11"/>
      <c r="C793" s="25"/>
      <c r="D793" s="11"/>
      <c r="E793" s="25"/>
      <c r="F793" s="25"/>
    </row>
    <row r="794">
      <c r="A794" s="11"/>
      <c r="B794" s="11"/>
      <c r="C794" s="25"/>
      <c r="D794" s="11"/>
      <c r="E794" s="25"/>
      <c r="F794" s="25"/>
    </row>
    <row r="795">
      <c r="A795" s="11"/>
      <c r="B795" s="11"/>
      <c r="C795" s="25"/>
      <c r="D795" s="11"/>
      <c r="E795" s="25"/>
      <c r="F795" s="25"/>
    </row>
    <row r="796">
      <c r="A796" s="11"/>
      <c r="B796" s="11"/>
      <c r="C796" s="25"/>
      <c r="D796" s="11"/>
      <c r="E796" s="25"/>
      <c r="F796" s="25"/>
    </row>
    <row r="797">
      <c r="A797" s="11"/>
      <c r="B797" s="11"/>
      <c r="C797" s="25"/>
      <c r="D797" s="11"/>
      <c r="E797" s="25"/>
      <c r="F797" s="25"/>
    </row>
    <row r="798">
      <c r="A798" s="11"/>
      <c r="B798" s="11"/>
      <c r="C798" s="25"/>
      <c r="D798" s="11"/>
      <c r="E798" s="25"/>
      <c r="F798" s="25"/>
    </row>
    <row r="799">
      <c r="A799" s="11"/>
      <c r="B799" s="11"/>
      <c r="C799" s="25"/>
      <c r="D799" s="11"/>
      <c r="E799" s="25"/>
      <c r="F799" s="25"/>
    </row>
    <row r="800">
      <c r="A800" s="11"/>
      <c r="B800" s="11"/>
      <c r="C800" s="25"/>
      <c r="D800" s="11"/>
      <c r="E800" s="25"/>
      <c r="F800" s="25"/>
    </row>
    <row r="801">
      <c r="A801" s="11"/>
      <c r="B801" s="11"/>
      <c r="C801" s="25"/>
      <c r="D801" s="11"/>
      <c r="E801" s="25"/>
      <c r="F801" s="25"/>
    </row>
    <row r="802">
      <c r="A802" s="11"/>
      <c r="B802" s="11"/>
      <c r="C802" s="25"/>
      <c r="D802" s="11"/>
      <c r="E802" s="25"/>
      <c r="F802" s="25"/>
    </row>
    <row r="803">
      <c r="A803" s="11"/>
      <c r="B803" s="11"/>
      <c r="C803" s="25"/>
      <c r="D803" s="11"/>
      <c r="E803" s="25"/>
      <c r="F803" s="25"/>
    </row>
    <row r="804">
      <c r="A804" s="11"/>
      <c r="B804" s="11"/>
      <c r="C804" s="25"/>
      <c r="D804" s="11"/>
      <c r="E804" s="25"/>
      <c r="F804" s="25"/>
    </row>
    <row r="805">
      <c r="A805" s="11"/>
      <c r="B805" s="11"/>
      <c r="C805" s="25"/>
      <c r="D805" s="11"/>
      <c r="E805" s="25"/>
      <c r="F805" s="25"/>
    </row>
    <row r="806">
      <c r="A806" s="11"/>
      <c r="B806" s="11"/>
      <c r="C806" s="25"/>
      <c r="D806" s="11"/>
      <c r="E806" s="25"/>
      <c r="F806" s="25"/>
    </row>
    <row r="807">
      <c r="A807" s="11"/>
      <c r="B807" s="11"/>
      <c r="C807" s="25"/>
      <c r="D807" s="11"/>
      <c r="E807" s="25"/>
      <c r="F807" s="25"/>
    </row>
    <row r="808">
      <c r="A808" s="11"/>
      <c r="B808" s="11"/>
      <c r="C808" s="25"/>
      <c r="D808" s="11"/>
      <c r="E808" s="25"/>
      <c r="F808" s="25"/>
    </row>
    <row r="809">
      <c r="A809" s="11"/>
      <c r="B809" s="11"/>
      <c r="C809" s="25"/>
      <c r="D809" s="11"/>
      <c r="E809" s="25"/>
      <c r="F809" s="25"/>
    </row>
    <row r="810">
      <c r="A810" s="11"/>
      <c r="B810" s="11"/>
      <c r="C810" s="25"/>
      <c r="D810" s="11"/>
      <c r="E810" s="25"/>
      <c r="F810" s="25"/>
    </row>
    <row r="811">
      <c r="A811" s="11"/>
      <c r="B811" s="11"/>
      <c r="C811" s="25"/>
      <c r="D811" s="11"/>
      <c r="E811" s="25"/>
      <c r="F811" s="25"/>
    </row>
    <row r="812">
      <c r="A812" s="11"/>
      <c r="B812" s="11"/>
      <c r="C812" s="25"/>
      <c r="D812" s="11"/>
      <c r="E812" s="25"/>
      <c r="F812" s="25"/>
    </row>
    <row r="813">
      <c r="A813" s="11"/>
      <c r="B813" s="11"/>
      <c r="C813" s="25"/>
      <c r="D813" s="11"/>
      <c r="E813" s="25"/>
      <c r="F813" s="25"/>
    </row>
    <row r="814">
      <c r="A814" s="11"/>
      <c r="B814" s="11"/>
      <c r="C814" s="25"/>
      <c r="D814" s="11"/>
      <c r="E814" s="25"/>
      <c r="F814" s="25"/>
    </row>
    <row r="815">
      <c r="A815" s="11"/>
      <c r="B815" s="11"/>
      <c r="C815" s="25"/>
      <c r="D815" s="11"/>
      <c r="E815" s="25"/>
      <c r="F815" s="25"/>
    </row>
    <row r="816">
      <c r="A816" s="11"/>
      <c r="B816" s="11"/>
      <c r="C816" s="25"/>
      <c r="D816" s="11"/>
      <c r="E816" s="25"/>
      <c r="F816" s="25"/>
    </row>
    <row r="817">
      <c r="A817" s="11"/>
      <c r="B817" s="11"/>
      <c r="C817" s="25"/>
      <c r="D817" s="11"/>
      <c r="E817" s="25"/>
      <c r="F817" s="25"/>
    </row>
    <row r="818">
      <c r="A818" s="11"/>
      <c r="B818" s="11"/>
      <c r="C818" s="25"/>
      <c r="D818" s="11"/>
      <c r="E818" s="25"/>
      <c r="F818" s="25"/>
    </row>
    <row r="819">
      <c r="A819" s="11"/>
      <c r="B819" s="11"/>
      <c r="C819" s="25"/>
      <c r="D819" s="11"/>
      <c r="E819" s="25"/>
      <c r="F819" s="25"/>
    </row>
    <row r="820">
      <c r="A820" s="11"/>
      <c r="B820" s="11"/>
      <c r="C820" s="25"/>
      <c r="D820" s="11"/>
      <c r="E820" s="25"/>
      <c r="F820" s="25"/>
    </row>
    <row r="821">
      <c r="A821" s="11"/>
      <c r="B821" s="11"/>
      <c r="C821" s="25"/>
      <c r="D821" s="11"/>
      <c r="E821" s="25"/>
      <c r="F821" s="25"/>
    </row>
    <row r="822">
      <c r="A822" s="11"/>
      <c r="B822" s="11"/>
      <c r="C822" s="25"/>
      <c r="D822" s="11"/>
      <c r="E822" s="25"/>
      <c r="F822" s="25"/>
    </row>
    <row r="823">
      <c r="A823" s="11"/>
      <c r="B823" s="11"/>
      <c r="C823" s="25"/>
      <c r="D823" s="11"/>
      <c r="E823" s="25"/>
      <c r="F823" s="25"/>
    </row>
    <row r="824">
      <c r="A824" s="11"/>
      <c r="B824" s="11"/>
      <c r="C824" s="25"/>
      <c r="D824" s="11"/>
      <c r="E824" s="25"/>
      <c r="F824" s="25"/>
    </row>
    <row r="825">
      <c r="A825" s="11"/>
      <c r="B825" s="11"/>
      <c r="C825" s="25"/>
      <c r="D825" s="11"/>
      <c r="E825" s="25"/>
      <c r="F825" s="25"/>
    </row>
    <row r="826">
      <c r="A826" s="11"/>
      <c r="B826" s="11"/>
      <c r="C826" s="25"/>
      <c r="D826" s="11"/>
      <c r="E826" s="25"/>
      <c r="F826" s="25"/>
    </row>
    <row r="827">
      <c r="A827" s="11"/>
      <c r="B827" s="11"/>
      <c r="C827" s="25"/>
      <c r="D827" s="11"/>
      <c r="E827" s="25"/>
      <c r="F827" s="25"/>
    </row>
    <row r="828">
      <c r="A828" s="11"/>
      <c r="B828" s="11"/>
      <c r="C828" s="25"/>
      <c r="D828" s="11"/>
      <c r="E828" s="25"/>
      <c r="F828" s="25"/>
    </row>
    <row r="829">
      <c r="A829" s="11"/>
      <c r="B829" s="11"/>
      <c r="C829" s="25"/>
      <c r="D829" s="11"/>
      <c r="E829" s="25"/>
      <c r="F829" s="25"/>
    </row>
    <row r="830">
      <c r="A830" s="11"/>
      <c r="B830" s="11"/>
      <c r="C830" s="25"/>
      <c r="D830" s="11"/>
      <c r="E830" s="25"/>
      <c r="F830" s="25"/>
    </row>
    <row r="831">
      <c r="A831" s="11"/>
      <c r="B831" s="11"/>
      <c r="C831" s="25"/>
      <c r="D831" s="11"/>
      <c r="E831" s="25"/>
      <c r="F831" s="25"/>
    </row>
    <row r="832">
      <c r="A832" s="11"/>
      <c r="B832" s="11"/>
      <c r="C832" s="25"/>
      <c r="D832" s="11"/>
      <c r="E832" s="25"/>
      <c r="F832" s="25"/>
    </row>
    <row r="833">
      <c r="A833" s="11"/>
      <c r="B833" s="11"/>
      <c r="C833" s="25"/>
      <c r="D833" s="11"/>
      <c r="E833" s="25"/>
      <c r="F833" s="25"/>
    </row>
    <row r="834">
      <c r="A834" s="11"/>
      <c r="B834" s="11"/>
      <c r="C834" s="25"/>
      <c r="D834" s="11"/>
      <c r="E834" s="25"/>
      <c r="F834" s="25"/>
    </row>
    <row r="835">
      <c r="A835" s="11"/>
      <c r="B835" s="11"/>
      <c r="C835" s="25"/>
      <c r="D835" s="11"/>
      <c r="E835" s="25"/>
      <c r="F835" s="25"/>
    </row>
    <row r="836">
      <c r="A836" s="11"/>
      <c r="B836" s="11"/>
      <c r="C836" s="25"/>
      <c r="D836" s="11"/>
      <c r="E836" s="25"/>
      <c r="F836" s="25"/>
    </row>
    <row r="837">
      <c r="A837" s="11"/>
      <c r="B837" s="11"/>
      <c r="C837" s="25"/>
      <c r="D837" s="11"/>
      <c r="E837" s="25"/>
      <c r="F837" s="25"/>
    </row>
    <row r="838">
      <c r="A838" s="11"/>
      <c r="B838" s="11"/>
      <c r="C838" s="25"/>
      <c r="D838" s="11"/>
      <c r="E838" s="25"/>
      <c r="F838" s="25"/>
    </row>
    <row r="839">
      <c r="A839" s="11"/>
      <c r="B839" s="11"/>
      <c r="C839" s="25"/>
      <c r="D839" s="11"/>
      <c r="E839" s="25"/>
      <c r="F839" s="25"/>
    </row>
    <row r="840">
      <c r="A840" s="11"/>
      <c r="B840" s="11"/>
      <c r="C840" s="25"/>
      <c r="D840" s="11"/>
      <c r="E840" s="25"/>
      <c r="F840" s="25"/>
    </row>
    <row r="841">
      <c r="A841" s="11"/>
      <c r="B841" s="11"/>
      <c r="C841" s="25"/>
      <c r="D841" s="11"/>
      <c r="E841" s="25"/>
      <c r="F841" s="25"/>
    </row>
    <row r="842">
      <c r="A842" s="11"/>
      <c r="B842" s="11"/>
      <c r="C842" s="25"/>
      <c r="D842" s="11"/>
      <c r="E842" s="25"/>
      <c r="F842" s="25"/>
    </row>
    <row r="843">
      <c r="A843" s="11"/>
      <c r="B843" s="11"/>
      <c r="C843" s="25"/>
      <c r="D843" s="11"/>
      <c r="E843" s="25"/>
      <c r="F843" s="25"/>
    </row>
    <row r="844">
      <c r="A844" s="11"/>
      <c r="B844" s="11"/>
      <c r="C844" s="25"/>
      <c r="D844" s="11"/>
      <c r="E844" s="25"/>
      <c r="F844" s="25"/>
    </row>
    <row r="845">
      <c r="A845" s="11"/>
      <c r="B845" s="11"/>
      <c r="C845" s="25"/>
      <c r="D845" s="11"/>
      <c r="E845" s="25"/>
      <c r="F845" s="25"/>
    </row>
    <row r="846">
      <c r="A846" s="11"/>
      <c r="B846" s="11"/>
      <c r="C846" s="25"/>
      <c r="D846" s="11"/>
      <c r="E846" s="25"/>
      <c r="F846" s="25"/>
    </row>
    <row r="847">
      <c r="A847" s="11"/>
      <c r="B847" s="11"/>
      <c r="C847" s="25"/>
      <c r="D847" s="11"/>
      <c r="E847" s="25"/>
      <c r="F847" s="25"/>
    </row>
    <row r="848">
      <c r="A848" s="11"/>
      <c r="B848" s="11"/>
      <c r="C848" s="25"/>
      <c r="D848" s="11"/>
      <c r="E848" s="25"/>
      <c r="F848" s="25"/>
    </row>
    <row r="849">
      <c r="A849" s="11"/>
      <c r="B849" s="11"/>
      <c r="C849" s="25"/>
      <c r="D849" s="11"/>
      <c r="E849" s="25"/>
      <c r="F849" s="25"/>
    </row>
    <row r="850">
      <c r="A850" s="11"/>
      <c r="B850" s="11"/>
      <c r="C850" s="25"/>
      <c r="D850" s="11"/>
      <c r="E850" s="25"/>
      <c r="F850" s="25"/>
    </row>
    <row r="851">
      <c r="A851" s="11"/>
      <c r="B851" s="11"/>
      <c r="C851" s="25"/>
      <c r="D851" s="11"/>
      <c r="E851" s="25"/>
      <c r="F851" s="25"/>
    </row>
    <row r="852">
      <c r="A852" s="11"/>
      <c r="B852" s="11"/>
      <c r="C852" s="25"/>
      <c r="D852" s="11"/>
      <c r="E852" s="25"/>
      <c r="F852" s="25"/>
    </row>
    <row r="853">
      <c r="A853" s="11"/>
      <c r="B853" s="11"/>
      <c r="C853" s="25"/>
      <c r="D853" s="11"/>
      <c r="E853" s="25"/>
      <c r="F853" s="25"/>
    </row>
    <row r="854">
      <c r="A854" s="11"/>
      <c r="B854" s="11"/>
      <c r="C854" s="25"/>
      <c r="D854" s="11"/>
      <c r="E854" s="25"/>
      <c r="F854" s="25"/>
    </row>
    <row r="855">
      <c r="A855" s="11"/>
      <c r="B855" s="11"/>
      <c r="C855" s="25"/>
      <c r="D855" s="11"/>
      <c r="E855" s="25"/>
      <c r="F855" s="25"/>
    </row>
    <row r="856">
      <c r="A856" s="11"/>
      <c r="B856" s="11"/>
      <c r="C856" s="25"/>
      <c r="D856" s="11"/>
      <c r="E856" s="25"/>
      <c r="F856" s="25"/>
    </row>
    <row r="857">
      <c r="A857" s="11"/>
      <c r="B857" s="11"/>
      <c r="C857" s="25"/>
      <c r="D857" s="11"/>
      <c r="E857" s="25"/>
      <c r="F857" s="25"/>
    </row>
    <row r="858">
      <c r="A858" s="11"/>
      <c r="B858" s="11"/>
      <c r="C858" s="25"/>
      <c r="D858" s="11"/>
      <c r="E858" s="25"/>
      <c r="F858" s="25"/>
    </row>
    <row r="859">
      <c r="A859" s="11"/>
      <c r="B859" s="11"/>
      <c r="C859" s="25"/>
      <c r="D859" s="11"/>
      <c r="E859" s="25"/>
      <c r="F859" s="25"/>
    </row>
    <row r="860">
      <c r="A860" s="11"/>
      <c r="B860" s="11"/>
      <c r="C860" s="25"/>
      <c r="D860" s="11"/>
      <c r="E860" s="25"/>
      <c r="F860" s="25"/>
    </row>
    <row r="861">
      <c r="A861" s="11"/>
      <c r="B861" s="11"/>
      <c r="C861" s="25"/>
      <c r="D861" s="11"/>
      <c r="E861" s="25"/>
      <c r="F861" s="25"/>
    </row>
    <row r="862">
      <c r="A862" s="11"/>
      <c r="B862" s="11"/>
      <c r="C862" s="25"/>
      <c r="D862" s="11"/>
      <c r="E862" s="25"/>
      <c r="F862" s="25"/>
    </row>
    <row r="863">
      <c r="A863" s="11"/>
      <c r="B863" s="11"/>
      <c r="C863" s="25"/>
      <c r="D863" s="11"/>
      <c r="E863" s="25"/>
      <c r="F863" s="25"/>
    </row>
    <row r="864">
      <c r="A864" s="11"/>
      <c r="B864" s="11"/>
      <c r="C864" s="25"/>
      <c r="D864" s="11"/>
      <c r="E864" s="25"/>
      <c r="F864" s="25"/>
    </row>
    <row r="865">
      <c r="A865" s="11"/>
      <c r="B865" s="11"/>
      <c r="C865" s="25"/>
      <c r="D865" s="11"/>
      <c r="E865" s="25"/>
      <c r="F865" s="25"/>
    </row>
    <row r="866">
      <c r="A866" s="11"/>
      <c r="B866" s="11"/>
      <c r="C866" s="25"/>
      <c r="D866" s="11"/>
      <c r="E866" s="25"/>
      <c r="F866" s="25"/>
    </row>
    <row r="867">
      <c r="A867" s="11"/>
      <c r="B867" s="11"/>
      <c r="C867" s="25"/>
      <c r="D867" s="11"/>
      <c r="E867" s="25"/>
      <c r="F867" s="25"/>
    </row>
    <row r="868">
      <c r="A868" s="11"/>
      <c r="B868" s="11"/>
      <c r="C868" s="25"/>
      <c r="D868" s="11"/>
      <c r="E868" s="25"/>
      <c r="F868" s="25"/>
    </row>
    <row r="869">
      <c r="A869" s="11"/>
      <c r="B869" s="11"/>
      <c r="C869" s="25"/>
      <c r="D869" s="11"/>
      <c r="E869" s="25"/>
      <c r="F869" s="25"/>
    </row>
    <row r="870">
      <c r="A870" s="11"/>
      <c r="B870" s="11"/>
      <c r="C870" s="25"/>
      <c r="D870" s="11"/>
      <c r="E870" s="25"/>
      <c r="F870" s="25"/>
    </row>
    <row r="871">
      <c r="A871" s="11"/>
      <c r="B871" s="11"/>
      <c r="C871" s="25"/>
      <c r="D871" s="11"/>
      <c r="E871" s="25"/>
      <c r="F871" s="25"/>
    </row>
    <row r="872">
      <c r="A872" s="11"/>
      <c r="B872" s="11"/>
      <c r="C872" s="25"/>
      <c r="D872" s="11"/>
      <c r="E872" s="25"/>
      <c r="F872" s="25"/>
    </row>
    <row r="873">
      <c r="A873" s="11"/>
      <c r="B873" s="11"/>
      <c r="C873" s="25"/>
      <c r="D873" s="11"/>
      <c r="E873" s="25"/>
      <c r="F873" s="25"/>
    </row>
    <row r="874">
      <c r="A874" s="11"/>
      <c r="B874" s="11"/>
      <c r="C874" s="25"/>
      <c r="D874" s="11"/>
      <c r="E874" s="25"/>
      <c r="F874" s="25"/>
    </row>
    <row r="875">
      <c r="A875" s="11"/>
      <c r="B875" s="11"/>
      <c r="C875" s="25"/>
      <c r="D875" s="11"/>
      <c r="E875" s="25"/>
      <c r="F875" s="25"/>
    </row>
    <row r="876">
      <c r="A876" s="11"/>
      <c r="B876" s="11"/>
      <c r="C876" s="25"/>
      <c r="D876" s="11"/>
      <c r="E876" s="25"/>
      <c r="F876" s="25"/>
    </row>
    <row r="877">
      <c r="A877" s="11"/>
      <c r="B877" s="11"/>
      <c r="C877" s="25"/>
      <c r="D877" s="11"/>
      <c r="E877" s="25"/>
      <c r="F877" s="25"/>
    </row>
    <row r="878">
      <c r="A878" s="11"/>
      <c r="B878" s="11"/>
      <c r="C878" s="25"/>
      <c r="D878" s="11"/>
      <c r="E878" s="25"/>
      <c r="F878" s="25"/>
    </row>
    <row r="879">
      <c r="A879" s="11"/>
      <c r="B879" s="11"/>
      <c r="C879" s="25"/>
      <c r="D879" s="11"/>
      <c r="E879" s="25"/>
      <c r="F879" s="25"/>
    </row>
    <row r="880">
      <c r="A880" s="11"/>
      <c r="B880" s="11"/>
      <c r="C880" s="25"/>
      <c r="D880" s="11"/>
      <c r="E880" s="25"/>
      <c r="F880" s="25"/>
    </row>
    <row r="881">
      <c r="A881" s="11"/>
      <c r="B881" s="11"/>
      <c r="C881" s="25"/>
      <c r="D881" s="11"/>
      <c r="E881" s="25"/>
      <c r="F881" s="25"/>
    </row>
    <row r="882">
      <c r="A882" s="11"/>
      <c r="B882" s="11"/>
      <c r="C882" s="25"/>
      <c r="D882" s="11"/>
      <c r="E882" s="25"/>
      <c r="F882" s="25"/>
    </row>
    <row r="883">
      <c r="A883" s="11"/>
      <c r="B883" s="11"/>
      <c r="C883" s="25"/>
      <c r="D883" s="11"/>
      <c r="E883" s="25"/>
      <c r="F883" s="25"/>
    </row>
    <row r="884">
      <c r="A884" s="11"/>
      <c r="B884" s="11"/>
      <c r="C884" s="25"/>
      <c r="D884" s="11"/>
      <c r="E884" s="25"/>
      <c r="F884" s="25"/>
    </row>
    <row r="885">
      <c r="A885" s="11"/>
      <c r="B885" s="11"/>
      <c r="C885" s="25"/>
      <c r="D885" s="11"/>
      <c r="E885" s="25"/>
      <c r="F885" s="25"/>
    </row>
    <row r="886">
      <c r="A886" s="11"/>
      <c r="B886" s="11"/>
      <c r="C886" s="25"/>
      <c r="D886" s="11"/>
      <c r="E886" s="25"/>
      <c r="F886" s="25"/>
    </row>
    <row r="887">
      <c r="A887" s="11"/>
      <c r="B887" s="11"/>
      <c r="C887" s="25"/>
      <c r="D887" s="11"/>
      <c r="E887" s="25"/>
      <c r="F887" s="25"/>
    </row>
    <row r="888">
      <c r="A888" s="11"/>
      <c r="B888" s="11"/>
      <c r="C888" s="25"/>
      <c r="D888" s="11"/>
      <c r="E888" s="25"/>
      <c r="F888" s="25"/>
    </row>
    <row r="889">
      <c r="A889" s="11"/>
      <c r="B889" s="11"/>
      <c r="C889" s="25"/>
      <c r="D889" s="11"/>
      <c r="E889" s="25"/>
      <c r="F889" s="25"/>
    </row>
    <row r="890">
      <c r="A890" s="11"/>
      <c r="B890" s="11"/>
      <c r="C890" s="25"/>
      <c r="D890" s="11"/>
      <c r="E890" s="25"/>
      <c r="F890" s="25"/>
    </row>
    <row r="891">
      <c r="A891" s="11"/>
      <c r="B891" s="11"/>
      <c r="C891" s="25"/>
      <c r="D891" s="11"/>
      <c r="E891" s="25"/>
      <c r="F891" s="25"/>
    </row>
    <row r="892">
      <c r="A892" s="11"/>
      <c r="B892" s="11"/>
      <c r="C892" s="25"/>
      <c r="D892" s="11"/>
      <c r="E892" s="25"/>
      <c r="F892" s="25"/>
    </row>
    <row r="893">
      <c r="A893" s="11"/>
      <c r="B893" s="11"/>
      <c r="C893" s="25"/>
      <c r="D893" s="11"/>
      <c r="E893" s="25"/>
      <c r="F893" s="25"/>
    </row>
    <row r="894">
      <c r="A894" s="11"/>
      <c r="B894" s="11"/>
      <c r="C894" s="25"/>
      <c r="D894" s="11"/>
      <c r="E894" s="25"/>
      <c r="F894" s="25"/>
    </row>
    <row r="895">
      <c r="A895" s="11"/>
      <c r="B895" s="11"/>
      <c r="C895" s="25"/>
      <c r="D895" s="11"/>
      <c r="E895" s="25"/>
      <c r="F895" s="25"/>
    </row>
    <row r="896">
      <c r="A896" s="11"/>
      <c r="B896" s="11"/>
      <c r="C896" s="25"/>
      <c r="D896" s="11"/>
      <c r="E896" s="25"/>
      <c r="F896" s="25"/>
    </row>
    <row r="897">
      <c r="A897" s="11"/>
      <c r="B897" s="11"/>
      <c r="C897" s="25"/>
      <c r="D897" s="11"/>
      <c r="E897" s="25"/>
      <c r="F897" s="25"/>
    </row>
    <row r="898">
      <c r="A898" s="11"/>
      <c r="B898" s="11"/>
      <c r="C898" s="25"/>
      <c r="D898" s="11"/>
      <c r="E898" s="25"/>
      <c r="F898" s="25"/>
    </row>
    <row r="899">
      <c r="A899" s="11"/>
      <c r="B899" s="11"/>
      <c r="C899" s="25"/>
      <c r="D899" s="11"/>
      <c r="E899" s="25"/>
      <c r="F899" s="25"/>
    </row>
    <row r="900">
      <c r="A900" s="11"/>
      <c r="B900" s="11"/>
      <c r="C900" s="25"/>
      <c r="D900" s="11"/>
      <c r="E900" s="25"/>
      <c r="F900" s="25"/>
    </row>
    <row r="901">
      <c r="A901" s="11"/>
      <c r="B901" s="11"/>
      <c r="C901" s="25"/>
      <c r="D901" s="11"/>
      <c r="E901" s="25"/>
      <c r="F901" s="25"/>
    </row>
    <row r="902">
      <c r="A902" s="11"/>
      <c r="B902" s="11"/>
      <c r="C902" s="25"/>
      <c r="D902" s="11"/>
      <c r="E902" s="25"/>
      <c r="F902" s="25"/>
    </row>
    <row r="903">
      <c r="A903" s="11"/>
      <c r="B903" s="11"/>
      <c r="C903" s="25"/>
      <c r="D903" s="11"/>
      <c r="E903" s="25"/>
      <c r="F903" s="25"/>
    </row>
    <row r="904">
      <c r="A904" s="11"/>
      <c r="B904" s="11"/>
      <c r="C904" s="25"/>
      <c r="D904" s="11"/>
      <c r="E904" s="25"/>
      <c r="F904" s="25"/>
    </row>
    <row r="905">
      <c r="A905" s="11"/>
      <c r="B905" s="11"/>
      <c r="C905" s="25"/>
      <c r="D905" s="11"/>
      <c r="E905" s="25"/>
      <c r="F905" s="25"/>
    </row>
    <row r="906">
      <c r="A906" s="11"/>
      <c r="B906" s="11"/>
      <c r="C906" s="25"/>
      <c r="D906" s="11"/>
      <c r="E906" s="25"/>
      <c r="F906" s="25"/>
    </row>
    <row r="907">
      <c r="A907" s="11"/>
      <c r="B907" s="11"/>
      <c r="C907" s="25"/>
      <c r="D907" s="11"/>
      <c r="E907" s="25"/>
      <c r="F907" s="25"/>
    </row>
    <row r="908">
      <c r="A908" s="11"/>
      <c r="B908" s="11"/>
      <c r="C908" s="25"/>
      <c r="D908" s="11"/>
      <c r="E908" s="25"/>
      <c r="F908" s="25"/>
    </row>
    <row r="909">
      <c r="A909" s="11"/>
      <c r="B909" s="11"/>
      <c r="C909" s="25"/>
      <c r="D909" s="11"/>
      <c r="E909" s="25"/>
      <c r="F909" s="25"/>
    </row>
    <row r="910">
      <c r="A910" s="11"/>
      <c r="B910" s="11"/>
      <c r="C910" s="25"/>
      <c r="D910" s="11"/>
      <c r="E910" s="25"/>
      <c r="F910" s="25"/>
    </row>
    <row r="911">
      <c r="A911" s="11"/>
      <c r="B911" s="11"/>
      <c r="C911" s="25"/>
      <c r="D911" s="11"/>
      <c r="E911" s="25"/>
      <c r="F911" s="25"/>
    </row>
    <row r="912">
      <c r="A912" s="11"/>
      <c r="B912" s="11"/>
      <c r="C912" s="25"/>
      <c r="D912" s="11"/>
      <c r="E912" s="25"/>
      <c r="F912" s="25"/>
    </row>
    <row r="913">
      <c r="A913" s="11"/>
      <c r="B913" s="11"/>
      <c r="C913" s="25"/>
      <c r="D913" s="11"/>
      <c r="E913" s="25"/>
      <c r="F913" s="25"/>
    </row>
    <row r="914">
      <c r="A914" s="11"/>
      <c r="B914" s="11"/>
      <c r="C914" s="25"/>
      <c r="D914" s="11"/>
      <c r="E914" s="25"/>
      <c r="F914" s="25"/>
    </row>
    <row r="915">
      <c r="A915" s="11"/>
      <c r="B915" s="11"/>
      <c r="C915" s="25"/>
      <c r="D915" s="11"/>
      <c r="E915" s="25"/>
      <c r="F915" s="25"/>
    </row>
    <row r="916">
      <c r="A916" s="11"/>
      <c r="B916" s="11"/>
      <c r="C916" s="25"/>
      <c r="D916" s="11"/>
      <c r="E916" s="25"/>
      <c r="F916" s="25"/>
    </row>
    <row r="917">
      <c r="A917" s="11"/>
      <c r="B917" s="11"/>
      <c r="C917" s="25"/>
      <c r="D917" s="11"/>
      <c r="E917" s="25"/>
      <c r="F917" s="25"/>
    </row>
    <row r="918">
      <c r="A918" s="11"/>
      <c r="B918" s="11"/>
      <c r="C918" s="25"/>
      <c r="D918" s="11"/>
      <c r="E918" s="25"/>
      <c r="F918" s="25"/>
    </row>
    <row r="919">
      <c r="A919" s="11"/>
      <c r="B919" s="11"/>
      <c r="C919" s="25"/>
      <c r="D919" s="11"/>
      <c r="E919" s="25"/>
      <c r="F919" s="25"/>
    </row>
    <row r="920">
      <c r="A920" s="11"/>
      <c r="B920" s="11"/>
      <c r="C920" s="25"/>
      <c r="D920" s="11"/>
      <c r="E920" s="25"/>
      <c r="F920" s="25"/>
    </row>
    <row r="921">
      <c r="A921" s="11"/>
      <c r="B921" s="11"/>
      <c r="C921" s="25"/>
      <c r="D921" s="11"/>
      <c r="E921" s="25"/>
      <c r="F921" s="25"/>
    </row>
    <row r="922">
      <c r="A922" s="11"/>
      <c r="B922" s="11"/>
      <c r="C922" s="25"/>
      <c r="D922" s="11"/>
      <c r="E922" s="25"/>
      <c r="F922" s="25"/>
    </row>
    <row r="923">
      <c r="A923" s="11"/>
      <c r="B923" s="11"/>
      <c r="C923" s="25"/>
      <c r="D923" s="11"/>
      <c r="E923" s="25"/>
      <c r="F923" s="25"/>
    </row>
    <row r="924">
      <c r="A924" s="11"/>
      <c r="B924" s="11"/>
      <c r="C924" s="25"/>
      <c r="D924" s="11"/>
      <c r="E924" s="25"/>
      <c r="F924" s="25"/>
    </row>
    <row r="925">
      <c r="A925" s="11"/>
      <c r="B925" s="11"/>
      <c r="C925" s="25"/>
      <c r="D925" s="11"/>
      <c r="E925" s="25"/>
      <c r="F925" s="25"/>
    </row>
    <row r="926">
      <c r="A926" s="11"/>
      <c r="B926" s="11"/>
      <c r="C926" s="25"/>
      <c r="D926" s="11"/>
      <c r="E926" s="25"/>
      <c r="F926" s="25"/>
    </row>
    <row r="927">
      <c r="A927" s="11"/>
      <c r="B927" s="11"/>
      <c r="C927" s="25"/>
      <c r="D927" s="11"/>
      <c r="E927" s="25"/>
      <c r="F927" s="25"/>
    </row>
    <row r="928">
      <c r="A928" s="11"/>
      <c r="B928" s="11"/>
      <c r="C928" s="25"/>
      <c r="D928" s="11"/>
      <c r="E928" s="25"/>
      <c r="F928" s="25"/>
    </row>
    <row r="929">
      <c r="A929" s="11"/>
      <c r="B929" s="11"/>
      <c r="C929" s="25"/>
      <c r="D929" s="11"/>
      <c r="E929" s="25"/>
      <c r="F929" s="25"/>
    </row>
    <row r="930">
      <c r="A930" s="11"/>
      <c r="B930" s="11"/>
      <c r="C930" s="25"/>
      <c r="D930" s="11"/>
      <c r="E930" s="25"/>
      <c r="F930" s="25"/>
    </row>
    <row r="931">
      <c r="A931" s="11"/>
      <c r="B931" s="11"/>
      <c r="C931" s="25"/>
      <c r="D931" s="11"/>
      <c r="E931" s="25"/>
      <c r="F931" s="25"/>
    </row>
    <row r="932">
      <c r="A932" s="11"/>
      <c r="B932" s="11"/>
      <c r="C932" s="25"/>
      <c r="D932" s="11"/>
      <c r="E932" s="25"/>
      <c r="F932" s="25"/>
    </row>
    <row r="933">
      <c r="A933" s="11"/>
      <c r="B933" s="11"/>
      <c r="C933" s="25"/>
      <c r="D933" s="11"/>
      <c r="E933" s="25"/>
      <c r="F933" s="25"/>
    </row>
    <row r="934">
      <c r="A934" s="11"/>
      <c r="B934" s="11"/>
      <c r="C934" s="25"/>
      <c r="D934" s="11"/>
      <c r="E934" s="25"/>
      <c r="F934" s="25"/>
    </row>
    <row r="935">
      <c r="A935" s="11"/>
      <c r="B935" s="11"/>
      <c r="C935" s="25"/>
      <c r="D935" s="11"/>
      <c r="E935" s="25"/>
      <c r="F935" s="25"/>
    </row>
    <row r="936">
      <c r="A936" s="11"/>
      <c r="B936" s="11"/>
      <c r="C936" s="25"/>
      <c r="D936" s="11"/>
      <c r="E936" s="25"/>
      <c r="F936" s="25"/>
    </row>
    <row r="937">
      <c r="A937" s="11"/>
      <c r="B937" s="11"/>
      <c r="C937" s="25"/>
      <c r="D937" s="11"/>
      <c r="E937" s="25"/>
      <c r="F937" s="25"/>
    </row>
    <row r="938">
      <c r="A938" s="11"/>
      <c r="B938" s="11"/>
      <c r="C938" s="25"/>
      <c r="D938" s="11"/>
      <c r="E938" s="25"/>
      <c r="F938" s="25"/>
    </row>
    <row r="939">
      <c r="A939" s="11"/>
      <c r="B939" s="11"/>
      <c r="C939" s="25"/>
      <c r="D939" s="11"/>
      <c r="E939" s="25"/>
      <c r="F939" s="25"/>
    </row>
    <row r="940">
      <c r="A940" s="11"/>
      <c r="B940" s="11"/>
      <c r="C940" s="25"/>
      <c r="D940" s="11"/>
      <c r="E940" s="25"/>
      <c r="F940" s="25"/>
    </row>
    <row r="941">
      <c r="A941" s="11"/>
      <c r="B941" s="11"/>
      <c r="C941" s="25"/>
      <c r="D941" s="11"/>
      <c r="E941" s="25"/>
      <c r="F941" s="25"/>
    </row>
    <row r="942">
      <c r="A942" s="11"/>
      <c r="B942" s="11"/>
      <c r="C942" s="25"/>
      <c r="D942" s="11"/>
      <c r="E942" s="25"/>
      <c r="F942" s="25"/>
    </row>
    <row r="943">
      <c r="A943" s="11"/>
      <c r="B943" s="11"/>
      <c r="C943" s="25"/>
      <c r="D943" s="11"/>
      <c r="E943" s="25"/>
      <c r="F943" s="25"/>
    </row>
    <row r="944">
      <c r="A944" s="11"/>
      <c r="B944" s="11"/>
      <c r="C944" s="25"/>
      <c r="D944" s="11"/>
      <c r="E944" s="25"/>
      <c r="F944" s="25"/>
    </row>
    <row r="945">
      <c r="A945" s="11"/>
      <c r="B945" s="11"/>
      <c r="C945" s="25"/>
      <c r="D945" s="11"/>
      <c r="E945" s="25"/>
      <c r="F945" s="25"/>
    </row>
    <row r="946">
      <c r="A946" s="11"/>
      <c r="B946" s="11"/>
      <c r="C946" s="25"/>
      <c r="D946" s="11"/>
      <c r="E946" s="25"/>
      <c r="F946" s="25"/>
    </row>
    <row r="947">
      <c r="A947" s="11"/>
      <c r="B947" s="11"/>
      <c r="C947" s="25"/>
      <c r="D947" s="11"/>
      <c r="E947" s="25"/>
      <c r="F947" s="25"/>
    </row>
    <row r="948">
      <c r="A948" s="11"/>
      <c r="B948" s="11"/>
      <c r="C948" s="25"/>
      <c r="D948" s="11"/>
      <c r="E948" s="25"/>
      <c r="F948" s="25"/>
    </row>
    <row r="949">
      <c r="A949" s="11"/>
      <c r="B949" s="11"/>
      <c r="C949" s="25"/>
      <c r="D949" s="11"/>
      <c r="E949" s="25"/>
      <c r="F949" s="25"/>
    </row>
    <row r="950">
      <c r="A950" s="11"/>
      <c r="B950" s="11"/>
      <c r="C950" s="25"/>
      <c r="D950" s="11"/>
      <c r="E950" s="25"/>
      <c r="F950" s="25"/>
    </row>
    <row r="951">
      <c r="A951" s="11"/>
      <c r="B951" s="11"/>
      <c r="C951" s="25"/>
      <c r="D951" s="11"/>
      <c r="E951" s="25"/>
      <c r="F951" s="25"/>
    </row>
    <row r="952">
      <c r="A952" s="11"/>
      <c r="B952" s="11"/>
      <c r="C952" s="25"/>
      <c r="D952" s="11"/>
      <c r="E952" s="25"/>
      <c r="F952" s="25"/>
    </row>
    <row r="953">
      <c r="A953" s="11"/>
      <c r="B953" s="11"/>
      <c r="C953" s="25"/>
      <c r="D953" s="11"/>
      <c r="E953" s="25"/>
      <c r="F953" s="25"/>
    </row>
    <row r="954">
      <c r="A954" s="11"/>
      <c r="B954" s="11"/>
      <c r="C954" s="25"/>
      <c r="D954" s="11"/>
      <c r="E954" s="25"/>
      <c r="F954" s="25"/>
    </row>
    <row r="955">
      <c r="A955" s="11"/>
      <c r="B955" s="11"/>
      <c r="C955" s="25"/>
      <c r="D955" s="11"/>
      <c r="E955" s="25"/>
      <c r="F955" s="25"/>
    </row>
    <row r="956">
      <c r="A956" s="11"/>
      <c r="B956" s="11"/>
      <c r="C956" s="25"/>
      <c r="D956" s="11"/>
      <c r="E956" s="25"/>
      <c r="F956" s="25"/>
    </row>
    <row r="957">
      <c r="A957" s="11"/>
      <c r="B957" s="11"/>
      <c r="C957" s="25"/>
      <c r="D957" s="11"/>
      <c r="E957" s="25"/>
      <c r="F957" s="25"/>
    </row>
    <row r="958">
      <c r="A958" s="11"/>
      <c r="B958" s="11"/>
      <c r="C958" s="25"/>
      <c r="D958" s="11"/>
      <c r="E958" s="25"/>
      <c r="F958" s="25"/>
    </row>
    <row r="959">
      <c r="A959" s="11"/>
      <c r="B959" s="11"/>
      <c r="C959" s="25"/>
      <c r="D959" s="11"/>
      <c r="E959" s="25"/>
      <c r="F959" s="25"/>
    </row>
    <row r="960">
      <c r="A960" s="11"/>
      <c r="B960" s="11"/>
      <c r="C960" s="25"/>
      <c r="D960" s="11"/>
      <c r="E960" s="25"/>
      <c r="F960" s="25"/>
    </row>
    <row r="961">
      <c r="A961" s="11"/>
      <c r="B961" s="11"/>
      <c r="C961" s="25"/>
      <c r="D961" s="11"/>
      <c r="E961" s="25"/>
      <c r="F961" s="25"/>
    </row>
    <row r="962">
      <c r="A962" s="11"/>
      <c r="B962" s="11"/>
      <c r="C962" s="25"/>
      <c r="D962" s="11"/>
      <c r="E962" s="25"/>
      <c r="F962" s="25"/>
    </row>
    <row r="963">
      <c r="A963" s="11"/>
      <c r="B963" s="11"/>
      <c r="C963" s="25"/>
      <c r="D963" s="11"/>
      <c r="E963" s="25"/>
      <c r="F963" s="25"/>
    </row>
    <row r="964">
      <c r="A964" s="11"/>
      <c r="B964" s="11"/>
      <c r="C964" s="25"/>
      <c r="D964" s="11"/>
      <c r="E964" s="25"/>
      <c r="F964" s="25"/>
    </row>
    <row r="965">
      <c r="A965" s="11"/>
      <c r="B965" s="11"/>
      <c r="C965" s="25"/>
      <c r="D965" s="11"/>
      <c r="E965" s="25"/>
      <c r="F965" s="25"/>
    </row>
    <row r="966">
      <c r="A966" s="11"/>
      <c r="B966" s="11"/>
      <c r="C966" s="25"/>
      <c r="D966" s="11"/>
      <c r="E966" s="25"/>
      <c r="F966" s="25"/>
    </row>
    <row r="967">
      <c r="A967" s="11"/>
      <c r="B967" s="11"/>
      <c r="C967" s="25"/>
      <c r="D967" s="11"/>
      <c r="E967" s="25"/>
      <c r="F967" s="25"/>
    </row>
    <row r="968">
      <c r="A968" s="11"/>
      <c r="B968" s="11"/>
      <c r="C968" s="25"/>
      <c r="D968" s="11"/>
      <c r="E968" s="25"/>
      <c r="F968" s="25"/>
    </row>
    <row r="969">
      <c r="A969" s="11"/>
      <c r="B969" s="11"/>
      <c r="C969" s="25"/>
      <c r="D969" s="11"/>
      <c r="E969" s="25"/>
      <c r="F969" s="25"/>
    </row>
    <row r="970">
      <c r="A970" s="11"/>
      <c r="B970" s="11"/>
      <c r="C970" s="25"/>
      <c r="D970" s="11"/>
      <c r="E970" s="25"/>
      <c r="F970" s="25"/>
    </row>
    <row r="971">
      <c r="A971" s="11"/>
      <c r="B971" s="11"/>
      <c r="C971" s="25"/>
      <c r="D971" s="11"/>
      <c r="E971" s="25"/>
      <c r="F971" s="25"/>
    </row>
    <row r="972">
      <c r="A972" s="11"/>
      <c r="B972" s="11"/>
      <c r="C972" s="25"/>
      <c r="D972" s="11"/>
      <c r="E972" s="25"/>
      <c r="F972" s="25"/>
    </row>
    <row r="973">
      <c r="A973" s="11"/>
      <c r="B973" s="11"/>
      <c r="C973" s="25"/>
      <c r="D973" s="11"/>
      <c r="E973" s="25"/>
      <c r="F973" s="25"/>
    </row>
    <row r="974">
      <c r="A974" s="11"/>
      <c r="B974" s="11"/>
      <c r="C974" s="25"/>
      <c r="D974" s="11"/>
      <c r="E974" s="25"/>
      <c r="F974" s="25"/>
    </row>
    <row r="975">
      <c r="A975" s="11"/>
      <c r="B975" s="11"/>
      <c r="C975" s="25"/>
      <c r="D975" s="11"/>
      <c r="E975" s="25"/>
      <c r="F975" s="25"/>
    </row>
    <row r="976">
      <c r="A976" s="11"/>
      <c r="B976" s="11"/>
      <c r="C976" s="25"/>
      <c r="D976" s="11"/>
      <c r="E976" s="25"/>
      <c r="F976" s="25"/>
    </row>
    <row r="977">
      <c r="A977" s="11"/>
      <c r="B977" s="11"/>
      <c r="C977" s="25"/>
      <c r="D977" s="11"/>
      <c r="E977" s="25"/>
      <c r="F977" s="25"/>
    </row>
    <row r="978">
      <c r="A978" s="11"/>
      <c r="B978" s="11"/>
      <c r="C978" s="25"/>
      <c r="D978" s="11"/>
      <c r="E978" s="25"/>
      <c r="F978" s="25"/>
    </row>
    <row r="979">
      <c r="A979" s="11"/>
      <c r="B979" s="11"/>
      <c r="C979" s="25"/>
      <c r="D979" s="11"/>
      <c r="E979" s="25"/>
      <c r="F979" s="25"/>
    </row>
    <row r="980">
      <c r="A980" s="11"/>
      <c r="B980" s="11"/>
      <c r="C980" s="25"/>
      <c r="D980" s="11"/>
      <c r="E980" s="25"/>
      <c r="F980" s="25"/>
    </row>
    <row r="981">
      <c r="A981" s="11"/>
      <c r="B981" s="11"/>
      <c r="C981" s="25"/>
      <c r="D981" s="11"/>
      <c r="E981" s="25"/>
      <c r="F981" s="25"/>
    </row>
    <row r="982">
      <c r="A982" s="11"/>
      <c r="B982" s="11"/>
      <c r="C982" s="25"/>
      <c r="D982" s="11"/>
      <c r="E982" s="25"/>
      <c r="F982" s="25"/>
    </row>
    <row r="983">
      <c r="A983" s="11"/>
      <c r="B983" s="11"/>
      <c r="C983" s="25"/>
      <c r="D983" s="11"/>
      <c r="E983" s="25"/>
      <c r="F983" s="25"/>
    </row>
    <row r="984">
      <c r="A984" s="11"/>
      <c r="B984" s="11"/>
      <c r="C984" s="25"/>
      <c r="D984" s="11"/>
      <c r="E984" s="25"/>
      <c r="F984" s="25"/>
    </row>
    <row r="985">
      <c r="A985" s="11"/>
      <c r="B985" s="11"/>
      <c r="C985" s="25"/>
      <c r="D985" s="11"/>
      <c r="E985" s="25"/>
      <c r="F985" s="25"/>
    </row>
    <row r="986">
      <c r="A986" s="11"/>
      <c r="B986" s="11"/>
      <c r="C986" s="25"/>
      <c r="D986" s="11"/>
      <c r="E986" s="25"/>
      <c r="F986" s="25"/>
    </row>
    <row r="987">
      <c r="A987" s="11"/>
      <c r="B987" s="11"/>
      <c r="C987" s="25"/>
      <c r="D987" s="11"/>
      <c r="E987" s="25"/>
      <c r="F987" s="25"/>
    </row>
    <row r="988">
      <c r="A988" s="11"/>
      <c r="B988" s="11"/>
      <c r="C988" s="25"/>
      <c r="D988" s="11"/>
      <c r="E988" s="25"/>
      <c r="F988" s="25"/>
    </row>
    <row r="989">
      <c r="A989" s="11"/>
      <c r="B989" s="11"/>
      <c r="C989" s="25"/>
      <c r="D989" s="11"/>
      <c r="E989" s="25"/>
      <c r="F989" s="25"/>
    </row>
    <row r="990">
      <c r="A990" s="11"/>
      <c r="B990" s="11"/>
      <c r="C990" s="25"/>
      <c r="D990" s="11"/>
      <c r="E990" s="25"/>
      <c r="F990" s="25"/>
    </row>
    <row r="991">
      <c r="A991" s="11"/>
      <c r="B991" s="11"/>
      <c r="C991" s="25"/>
      <c r="D991" s="11"/>
      <c r="E991" s="25"/>
      <c r="F991" s="25"/>
    </row>
    <row r="992">
      <c r="A992" s="11"/>
      <c r="B992" s="11"/>
      <c r="C992" s="25"/>
      <c r="D992" s="11"/>
      <c r="E992" s="25"/>
      <c r="F992" s="25"/>
    </row>
    <row r="993">
      <c r="A993" s="11"/>
      <c r="B993" s="11"/>
      <c r="C993" s="25"/>
      <c r="D993" s="11"/>
      <c r="E993" s="25"/>
      <c r="F993" s="25"/>
    </row>
    <row r="994">
      <c r="A994" s="11"/>
      <c r="B994" s="11"/>
      <c r="C994" s="25"/>
      <c r="D994" s="11"/>
      <c r="E994" s="25"/>
      <c r="F994" s="25"/>
    </row>
    <row r="995">
      <c r="A995" s="11"/>
      <c r="B995" s="11"/>
      <c r="C995" s="25"/>
      <c r="D995" s="11"/>
      <c r="E995" s="25"/>
      <c r="F995" s="25"/>
    </row>
    <row r="996">
      <c r="A996" s="11"/>
      <c r="B996" s="11"/>
      <c r="C996" s="25"/>
      <c r="D996" s="11"/>
      <c r="E996" s="25"/>
      <c r="F996" s="25"/>
    </row>
    <row r="997">
      <c r="A997" s="11"/>
      <c r="B997" s="11"/>
      <c r="C997" s="25"/>
      <c r="D997" s="11"/>
      <c r="E997" s="25"/>
      <c r="F997" s="25"/>
    </row>
    <row r="998">
      <c r="A998" s="11"/>
      <c r="B998" s="11"/>
      <c r="C998" s="25"/>
      <c r="D998" s="11"/>
      <c r="E998" s="25"/>
      <c r="F998" s="25"/>
    </row>
    <row r="999">
      <c r="A999" s="11"/>
      <c r="B999" s="11"/>
      <c r="C999" s="25"/>
      <c r="D999" s="11"/>
      <c r="E999" s="25"/>
      <c r="F999" s="25"/>
    </row>
    <row r="1000">
      <c r="A1000" s="11"/>
      <c r="B1000" s="11"/>
      <c r="C1000" s="25"/>
      <c r="D1000" s="11"/>
      <c r="E1000" s="25"/>
      <c r="F1000" s="25"/>
    </row>
    <row r="1001">
      <c r="A1001" s="11"/>
      <c r="B1001" s="11"/>
      <c r="C1001" s="25"/>
      <c r="D1001" s="11"/>
      <c r="E1001" s="25"/>
      <c r="F1001" s="25"/>
    </row>
    <row r="1002">
      <c r="A1002" s="11"/>
      <c r="B1002" s="11"/>
      <c r="C1002" s="25"/>
      <c r="D1002" s="11"/>
      <c r="E1002" s="25"/>
      <c r="F1002" s="25"/>
    </row>
    <row r="1003">
      <c r="A1003" s="11"/>
      <c r="B1003" s="11"/>
      <c r="C1003" s="25"/>
      <c r="D1003" s="11"/>
      <c r="E1003" s="25"/>
      <c r="F1003" s="25"/>
    </row>
    <row r="1004">
      <c r="A1004" s="11"/>
      <c r="B1004" s="11"/>
      <c r="C1004" s="25"/>
      <c r="D1004" s="11"/>
      <c r="E1004" s="25"/>
      <c r="F1004" s="25"/>
    </row>
    <row r="1005">
      <c r="A1005" s="11"/>
      <c r="B1005" s="11"/>
      <c r="C1005" s="25"/>
      <c r="D1005" s="11"/>
      <c r="E1005" s="25"/>
      <c r="F1005" s="25"/>
    </row>
    <row r="1006">
      <c r="A1006" s="11"/>
      <c r="B1006" s="11"/>
      <c r="C1006" s="25"/>
      <c r="D1006" s="11"/>
      <c r="E1006" s="25"/>
      <c r="F1006" s="25"/>
    </row>
    <row r="1007">
      <c r="A1007" s="11"/>
      <c r="B1007" s="11"/>
      <c r="C1007" s="25"/>
      <c r="D1007" s="11"/>
      <c r="E1007" s="25"/>
      <c r="F1007" s="25"/>
    </row>
    <row r="1008">
      <c r="A1008" s="11"/>
      <c r="B1008" s="11"/>
      <c r="C1008" s="25"/>
      <c r="D1008" s="11"/>
      <c r="E1008" s="25"/>
      <c r="F1008" s="25"/>
    </row>
    <row r="1009">
      <c r="A1009" s="11"/>
      <c r="B1009" s="11"/>
      <c r="C1009" s="25"/>
      <c r="D1009" s="11"/>
      <c r="E1009" s="25"/>
      <c r="F1009" s="25"/>
    </row>
    <row r="1010">
      <c r="A1010" s="11"/>
      <c r="B1010" s="11"/>
      <c r="C1010" s="25"/>
      <c r="D1010" s="11"/>
      <c r="E1010" s="25"/>
      <c r="F1010" s="25"/>
    </row>
    <row r="1011">
      <c r="A1011" s="11"/>
      <c r="B1011" s="11"/>
      <c r="C1011" s="25"/>
      <c r="D1011" s="11"/>
      <c r="E1011" s="25"/>
      <c r="F1011" s="25"/>
    </row>
    <row r="1012">
      <c r="A1012" s="11"/>
      <c r="B1012" s="11"/>
      <c r="C1012" s="25"/>
      <c r="D1012" s="11"/>
      <c r="E1012" s="25"/>
      <c r="F1012" s="25"/>
    </row>
    <row r="1013">
      <c r="A1013" s="11"/>
      <c r="B1013" s="11"/>
      <c r="C1013" s="25"/>
      <c r="D1013" s="11"/>
      <c r="E1013" s="25"/>
      <c r="F1013" s="25"/>
    </row>
    <row r="1014">
      <c r="A1014" s="11"/>
      <c r="B1014" s="11"/>
      <c r="C1014" s="25"/>
      <c r="D1014" s="11"/>
      <c r="E1014" s="25"/>
      <c r="F1014" s="25"/>
    </row>
    <row r="1015">
      <c r="A1015" s="11"/>
      <c r="B1015" s="11"/>
      <c r="C1015" s="25"/>
      <c r="D1015" s="11"/>
      <c r="E1015" s="25"/>
      <c r="F1015" s="25"/>
    </row>
    <row r="1016">
      <c r="A1016" s="11"/>
      <c r="B1016" s="11"/>
      <c r="C1016" s="25"/>
      <c r="D1016" s="11"/>
      <c r="E1016" s="25"/>
      <c r="F1016" s="25"/>
    </row>
    <row r="1017">
      <c r="A1017" s="11"/>
      <c r="B1017" s="11"/>
      <c r="C1017" s="25"/>
      <c r="D1017" s="11"/>
      <c r="E1017" s="25"/>
      <c r="F1017" s="25"/>
    </row>
    <row r="1018">
      <c r="A1018" s="11"/>
      <c r="B1018" s="11"/>
      <c r="C1018" s="25"/>
      <c r="D1018" s="11"/>
      <c r="E1018" s="25"/>
      <c r="F1018" s="25"/>
    </row>
    <row r="1019">
      <c r="A1019" s="11"/>
      <c r="B1019" s="11"/>
      <c r="C1019" s="25"/>
      <c r="D1019" s="11"/>
      <c r="E1019" s="25"/>
      <c r="F1019" s="25"/>
    </row>
  </sheetData>
  <mergeCells count="65">
    <mergeCell ref="A96:E96"/>
    <mergeCell ref="A97:E97"/>
    <mergeCell ref="A100:E100"/>
    <mergeCell ref="A101:E101"/>
    <mergeCell ref="A103:A104"/>
    <mergeCell ref="B103:B104"/>
    <mergeCell ref="E103:E104"/>
    <mergeCell ref="A105:A106"/>
    <mergeCell ref="A107:A110"/>
    <mergeCell ref="B107:B110"/>
    <mergeCell ref="E107:E110"/>
    <mergeCell ref="A113:E113"/>
    <mergeCell ref="B116:B117"/>
    <mergeCell ref="A119:E119"/>
    <mergeCell ref="A38:A41"/>
    <mergeCell ref="A42:A45"/>
    <mergeCell ref="B42:B45"/>
    <mergeCell ref="A47:A52"/>
    <mergeCell ref="B47:B52"/>
    <mergeCell ref="A56:A60"/>
    <mergeCell ref="B56:B60"/>
    <mergeCell ref="A2:E2"/>
    <mergeCell ref="A4:E4"/>
    <mergeCell ref="A5:A29"/>
    <mergeCell ref="B5:B29"/>
    <mergeCell ref="A30:A36"/>
    <mergeCell ref="B30:B36"/>
    <mergeCell ref="B38:B41"/>
    <mergeCell ref="A61:A64"/>
    <mergeCell ref="A65:A66"/>
    <mergeCell ref="A70:A72"/>
    <mergeCell ref="A46:E46"/>
    <mergeCell ref="E47:E54"/>
    <mergeCell ref="A53:A54"/>
    <mergeCell ref="B53:B54"/>
    <mergeCell ref="A55:E55"/>
    <mergeCell ref="E56:E66"/>
    <mergeCell ref="B61:B64"/>
    <mergeCell ref="B65:B66"/>
    <mergeCell ref="A69:E69"/>
    <mergeCell ref="B70:E70"/>
    <mergeCell ref="B71:E71"/>
    <mergeCell ref="B72:E72"/>
    <mergeCell ref="A75:E75"/>
    <mergeCell ref="A84:E84"/>
    <mergeCell ref="A85:E85"/>
    <mergeCell ref="A86:E86"/>
    <mergeCell ref="A89:E89"/>
    <mergeCell ref="A90:E90"/>
    <mergeCell ref="A93:E93"/>
    <mergeCell ref="A94:E94"/>
    <mergeCell ref="A95:E95"/>
    <mergeCell ref="A127:A128"/>
    <mergeCell ref="B127:B128"/>
    <mergeCell ref="E127:E128"/>
    <mergeCell ref="A129:A130"/>
    <mergeCell ref="B129:B130"/>
    <mergeCell ref="E129:E130"/>
    <mergeCell ref="A116:A117"/>
    <mergeCell ref="A120:A121"/>
    <mergeCell ref="B120:B121"/>
    <mergeCell ref="A123:E123"/>
    <mergeCell ref="A124:A126"/>
    <mergeCell ref="B124:B126"/>
    <mergeCell ref="E124:E126"/>
  </mergeCells>
  <dataValidations>
    <dataValidation type="list" allowBlank="1" showErrorMessage="1" sqref="D5:D45 D47:D54 D56:D66">
      <formula1>"LIVE,Inactive,NOT LIVE"</formula1>
    </dataValidation>
  </dataValidations>
  <hyperlinks>
    <hyperlink r:id="rId1" ref="A86"/>
    <hyperlink r:id="rId2" ref="A90"/>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22.13"/>
    <col customWidth="1" min="3" max="3" width="26.88"/>
    <col customWidth="1" min="4" max="4" width="34.5"/>
    <col customWidth="1" min="5" max="5" width="31.5"/>
    <col customWidth="1" min="6" max="6" width="25.0"/>
    <col customWidth="1" min="7" max="7" width="45.38"/>
  </cols>
  <sheetData>
    <row r="1">
      <c r="A1" s="27" t="s">
        <v>517</v>
      </c>
      <c r="B1" s="48"/>
      <c r="C1" s="10"/>
      <c r="E1" s="10"/>
      <c r="G1" s="10"/>
    </row>
    <row r="2">
      <c r="A2" s="27" t="s">
        <v>368</v>
      </c>
      <c r="B2" s="48"/>
      <c r="C2" s="10"/>
      <c r="E2" s="10"/>
      <c r="G2" s="10"/>
    </row>
    <row r="3">
      <c r="A3" s="10"/>
      <c r="B3" s="48"/>
      <c r="C3" s="10"/>
      <c r="E3" s="10"/>
      <c r="G3" s="10"/>
    </row>
    <row r="4">
      <c r="A4" s="1" t="s">
        <v>46</v>
      </c>
      <c r="B4" s="49" t="s">
        <v>5</v>
      </c>
      <c r="C4" s="1" t="s">
        <v>836</v>
      </c>
      <c r="E4" s="10"/>
      <c r="G4" s="10"/>
    </row>
    <row r="5">
      <c r="A5" s="4" t="s">
        <v>837</v>
      </c>
      <c r="B5" s="50" t="s">
        <v>838</v>
      </c>
      <c r="C5" s="4" t="s">
        <v>839</v>
      </c>
      <c r="E5" s="10"/>
      <c r="G5" s="10"/>
    </row>
    <row r="6">
      <c r="A6" s="4" t="s">
        <v>840</v>
      </c>
      <c r="B6" s="50" t="s">
        <v>841</v>
      </c>
      <c r="C6" s="4" t="s">
        <v>842</v>
      </c>
      <c r="E6" s="10"/>
      <c r="G6" s="10"/>
    </row>
    <row r="7">
      <c r="A7" s="4" t="s">
        <v>843</v>
      </c>
      <c r="B7" s="50" t="s">
        <v>844</v>
      </c>
      <c r="C7" s="4" t="s">
        <v>845</v>
      </c>
      <c r="E7" s="10"/>
      <c r="G7" s="10"/>
    </row>
    <row r="8">
      <c r="A8" s="4" t="s">
        <v>846</v>
      </c>
      <c r="B8" s="50" t="s">
        <v>847</v>
      </c>
      <c r="C8" s="10"/>
      <c r="E8" s="10"/>
      <c r="G8" s="10"/>
    </row>
    <row r="9">
      <c r="A9" s="4" t="s">
        <v>848</v>
      </c>
      <c r="B9" s="50" t="s">
        <v>849</v>
      </c>
      <c r="C9" s="10"/>
      <c r="E9" s="10"/>
      <c r="G9" s="10"/>
    </row>
    <row r="10">
      <c r="A10" s="4" t="s">
        <v>850</v>
      </c>
      <c r="B10" s="50" t="s">
        <v>851</v>
      </c>
      <c r="C10" s="10"/>
      <c r="E10" s="10"/>
      <c r="G10" s="10"/>
    </row>
    <row r="11">
      <c r="A11" s="4" t="s">
        <v>852</v>
      </c>
      <c r="B11" s="50" t="s">
        <v>853</v>
      </c>
      <c r="C11" s="10"/>
      <c r="E11" s="10"/>
      <c r="G11" s="10"/>
    </row>
    <row r="12">
      <c r="A12" s="4" t="s">
        <v>854</v>
      </c>
      <c r="B12" s="50" t="s">
        <v>855</v>
      </c>
      <c r="C12" s="10"/>
      <c r="E12" s="10"/>
      <c r="G12" s="10"/>
    </row>
    <row r="13">
      <c r="A13" s="4" t="s">
        <v>856</v>
      </c>
      <c r="B13" s="50" t="s">
        <v>857</v>
      </c>
      <c r="C13" s="10"/>
      <c r="E13" s="10"/>
      <c r="G13" s="10"/>
    </row>
    <row r="14">
      <c r="A14" s="10"/>
      <c r="B14" s="48"/>
      <c r="C14" s="10"/>
      <c r="E14" s="10"/>
      <c r="G14" s="10"/>
    </row>
    <row r="15">
      <c r="A15" s="10"/>
      <c r="B15" s="48"/>
      <c r="C15" s="10"/>
      <c r="E15" s="10"/>
      <c r="G15" s="10"/>
    </row>
    <row r="16">
      <c r="A16" s="1" t="s">
        <v>47</v>
      </c>
      <c r="B16" s="49" t="s">
        <v>66</v>
      </c>
      <c r="C16" s="49" t="s">
        <v>104</v>
      </c>
      <c r="D16" s="1" t="s">
        <v>369</v>
      </c>
      <c r="E16" s="1" t="s">
        <v>105</v>
      </c>
      <c r="F16" s="51" t="s">
        <v>370</v>
      </c>
      <c r="G16" s="1" t="s">
        <v>858</v>
      </c>
    </row>
    <row r="17">
      <c r="A17" s="37" t="s">
        <v>113</v>
      </c>
    </row>
    <row r="18">
      <c r="A18" s="52" t="s">
        <v>859</v>
      </c>
      <c r="B18" s="4" t="s">
        <v>75</v>
      </c>
      <c r="C18" s="4" t="s">
        <v>372</v>
      </c>
      <c r="D18" s="3" t="s">
        <v>373</v>
      </c>
      <c r="E18" s="4" t="s">
        <v>374</v>
      </c>
      <c r="F18" s="3" t="s">
        <v>860</v>
      </c>
      <c r="G18" s="4" t="s">
        <v>861</v>
      </c>
    </row>
    <row r="19">
      <c r="A19" s="52" t="s">
        <v>862</v>
      </c>
      <c r="B19" s="4" t="s">
        <v>75</v>
      </c>
      <c r="C19" s="4" t="s">
        <v>381</v>
      </c>
      <c r="D19" s="3" t="s">
        <v>373</v>
      </c>
      <c r="E19" s="4" t="s">
        <v>153</v>
      </c>
      <c r="F19" s="3" t="s">
        <v>382</v>
      </c>
      <c r="G19" s="4" t="s">
        <v>863</v>
      </c>
    </row>
    <row r="20">
      <c r="A20" s="52" t="s">
        <v>864</v>
      </c>
      <c r="B20" s="4" t="s">
        <v>75</v>
      </c>
      <c r="C20" s="4" t="s">
        <v>381</v>
      </c>
      <c r="D20" s="3" t="s">
        <v>373</v>
      </c>
      <c r="E20" s="4" t="s">
        <v>153</v>
      </c>
      <c r="F20" s="3" t="s">
        <v>384</v>
      </c>
      <c r="G20" s="4" t="s">
        <v>865</v>
      </c>
    </row>
    <row r="21">
      <c r="A21" s="52" t="s">
        <v>143</v>
      </c>
      <c r="B21" s="4" t="s">
        <v>82</v>
      </c>
      <c r="C21" s="4" t="s">
        <v>372</v>
      </c>
      <c r="D21" s="3" t="s">
        <v>373</v>
      </c>
      <c r="E21" s="4" t="s">
        <v>142</v>
      </c>
      <c r="F21" s="3" t="s">
        <v>866</v>
      </c>
      <c r="G21" s="4" t="s">
        <v>867</v>
      </c>
    </row>
    <row r="22">
      <c r="A22" s="52" t="s">
        <v>167</v>
      </c>
      <c r="B22" s="4" t="s">
        <v>82</v>
      </c>
      <c r="C22" s="4" t="s">
        <v>381</v>
      </c>
      <c r="D22" s="3" t="s">
        <v>373</v>
      </c>
      <c r="E22" s="4" t="s">
        <v>166</v>
      </c>
      <c r="F22" s="3" t="s">
        <v>396</v>
      </c>
      <c r="G22" s="4" t="s">
        <v>868</v>
      </c>
    </row>
    <row r="23">
      <c r="A23" s="52" t="s">
        <v>397</v>
      </c>
      <c r="B23" s="4" t="s">
        <v>82</v>
      </c>
      <c r="C23" s="4" t="s">
        <v>381</v>
      </c>
      <c r="D23" s="3" t="s">
        <v>373</v>
      </c>
      <c r="E23" s="4" t="s">
        <v>398</v>
      </c>
      <c r="F23" s="3" t="s">
        <v>869</v>
      </c>
      <c r="G23" s="4" t="s">
        <v>870</v>
      </c>
    </row>
    <row r="24">
      <c r="A24" s="52" t="s">
        <v>511</v>
      </c>
      <c r="B24" s="4" t="s">
        <v>82</v>
      </c>
      <c r="C24" s="4" t="s">
        <v>381</v>
      </c>
      <c r="D24" s="3" t="s">
        <v>373</v>
      </c>
      <c r="E24" s="4" t="s">
        <v>401</v>
      </c>
      <c r="F24" s="3" t="s">
        <v>402</v>
      </c>
      <c r="G24" s="4" t="s">
        <v>871</v>
      </c>
    </row>
    <row r="25">
      <c r="A25" s="52" t="s">
        <v>872</v>
      </c>
      <c r="B25" s="4" t="s">
        <v>75</v>
      </c>
      <c r="C25" s="4" t="s">
        <v>388</v>
      </c>
      <c r="D25" s="3" t="s">
        <v>373</v>
      </c>
      <c r="E25" s="4" t="s">
        <v>226</v>
      </c>
      <c r="F25" s="3" t="s">
        <v>873</v>
      </c>
      <c r="G25" s="4" t="s">
        <v>874</v>
      </c>
    </row>
    <row r="26">
      <c r="A26" s="52" t="s">
        <v>875</v>
      </c>
      <c r="B26" s="4" t="s">
        <v>82</v>
      </c>
      <c r="C26" s="4" t="s">
        <v>388</v>
      </c>
      <c r="D26" s="3" t="s">
        <v>373</v>
      </c>
      <c r="E26" s="4" t="s">
        <v>203</v>
      </c>
      <c r="F26" s="3" t="s">
        <v>876</v>
      </c>
      <c r="G26" s="4" t="s">
        <v>877</v>
      </c>
    </row>
    <row r="27">
      <c r="A27" s="52" t="s">
        <v>878</v>
      </c>
      <c r="B27" s="4" t="s">
        <v>82</v>
      </c>
      <c r="C27" s="4" t="s">
        <v>388</v>
      </c>
      <c r="D27" s="3" t="s">
        <v>373</v>
      </c>
      <c r="E27" s="4" t="s">
        <v>406</v>
      </c>
      <c r="F27" s="3" t="s">
        <v>879</v>
      </c>
      <c r="G27" s="4" t="s">
        <v>880</v>
      </c>
    </row>
    <row r="28">
      <c r="A28" s="37" t="s">
        <v>78</v>
      </c>
    </row>
    <row r="29">
      <c r="A29" s="52" t="s">
        <v>407</v>
      </c>
      <c r="B29" s="4" t="s">
        <v>78</v>
      </c>
      <c r="C29" s="4" t="s">
        <v>381</v>
      </c>
      <c r="D29" s="3" t="s">
        <v>408</v>
      </c>
      <c r="E29" s="4" t="s">
        <v>269</v>
      </c>
      <c r="F29" s="3" t="s">
        <v>409</v>
      </c>
      <c r="G29" s="4" t="s">
        <v>881</v>
      </c>
    </row>
    <row r="30">
      <c r="A30" s="52" t="s">
        <v>163</v>
      </c>
      <c r="B30" s="4" t="s">
        <v>78</v>
      </c>
      <c r="C30" s="4" t="s">
        <v>381</v>
      </c>
      <c r="D30" s="3" t="s">
        <v>408</v>
      </c>
      <c r="E30" s="4" t="s">
        <v>410</v>
      </c>
      <c r="F30" s="3" t="s">
        <v>411</v>
      </c>
      <c r="G30" s="4" t="s">
        <v>882</v>
      </c>
    </row>
    <row r="31">
      <c r="A31" s="52" t="s">
        <v>883</v>
      </c>
      <c r="B31" s="4" t="s">
        <v>78</v>
      </c>
      <c r="C31" s="4" t="s">
        <v>388</v>
      </c>
      <c r="D31" s="3" t="s">
        <v>557</v>
      </c>
      <c r="E31" s="4" t="s">
        <v>284</v>
      </c>
      <c r="F31" s="3" t="s">
        <v>884</v>
      </c>
      <c r="G31" s="4" t="s">
        <v>885</v>
      </c>
    </row>
    <row r="32">
      <c r="A32" s="52" t="s">
        <v>886</v>
      </c>
      <c r="B32" s="4" t="s">
        <v>78</v>
      </c>
      <c r="C32" s="4" t="s">
        <v>388</v>
      </c>
      <c r="D32" s="3" t="s">
        <v>557</v>
      </c>
      <c r="E32" s="4" t="s">
        <v>284</v>
      </c>
      <c r="F32" s="3" t="s">
        <v>887</v>
      </c>
      <c r="G32" s="4" t="s">
        <v>888</v>
      </c>
    </row>
    <row r="33">
      <c r="A33" s="52" t="s">
        <v>889</v>
      </c>
      <c r="B33" s="4" t="s">
        <v>78</v>
      </c>
      <c r="C33" s="4" t="s">
        <v>388</v>
      </c>
      <c r="D33" s="3" t="s">
        <v>557</v>
      </c>
      <c r="E33" s="4" t="s">
        <v>284</v>
      </c>
      <c r="F33" s="3" t="s">
        <v>890</v>
      </c>
      <c r="G33" s="4" t="s">
        <v>891</v>
      </c>
    </row>
    <row r="34">
      <c r="A34" s="52" t="s">
        <v>892</v>
      </c>
      <c r="B34" s="4" t="s">
        <v>78</v>
      </c>
      <c r="C34" s="4" t="s">
        <v>388</v>
      </c>
      <c r="D34" s="3" t="s">
        <v>557</v>
      </c>
      <c r="E34" s="4" t="s">
        <v>284</v>
      </c>
      <c r="F34" s="3" t="s">
        <v>893</v>
      </c>
      <c r="G34" s="4" t="s">
        <v>894</v>
      </c>
    </row>
    <row r="35">
      <c r="A35" s="37" t="s">
        <v>85</v>
      </c>
    </row>
    <row r="36">
      <c r="A36" s="52" t="s">
        <v>418</v>
      </c>
      <c r="B36" s="4" t="s">
        <v>85</v>
      </c>
      <c r="C36" s="4" t="s">
        <v>381</v>
      </c>
      <c r="D36" s="3" t="s">
        <v>421</v>
      </c>
      <c r="E36" s="4" t="s">
        <v>303</v>
      </c>
      <c r="F36" s="3" t="s">
        <v>420</v>
      </c>
      <c r="G36" s="4" t="s">
        <v>895</v>
      </c>
    </row>
    <row r="37">
      <c r="A37" s="52" t="s">
        <v>896</v>
      </c>
      <c r="B37" s="4" t="s">
        <v>85</v>
      </c>
      <c r="C37" s="4" t="s">
        <v>372</v>
      </c>
      <c r="D37" s="3" t="s">
        <v>421</v>
      </c>
      <c r="E37" s="4" t="s">
        <v>308</v>
      </c>
      <c r="F37" s="3" t="s">
        <v>422</v>
      </c>
      <c r="G37" s="4" t="s">
        <v>897</v>
      </c>
    </row>
    <row r="38">
      <c r="A38" s="52" t="s">
        <v>898</v>
      </c>
      <c r="B38" s="4" t="s">
        <v>85</v>
      </c>
      <c r="C38" s="4" t="s">
        <v>388</v>
      </c>
      <c r="D38" s="3" t="s">
        <v>421</v>
      </c>
      <c r="E38" s="4" t="s">
        <v>318</v>
      </c>
      <c r="F38" s="3" t="s">
        <v>899</v>
      </c>
      <c r="G38" s="4" t="s">
        <v>900</v>
      </c>
    </row>
    <row r="39">
      <c r="A39" s="10"/>
      <c r="B39" s="10"/>
      <c r="C39" s="10"/>
      <c r="E39" s="10"/>
      <c r="G39" s="10"/>
    </row>
    <row r="40">
      <c r="A40" s="10"/>
      <c r="B40" s="10"/>
      <c r="C40" s="10"/>
      <c r="E40" s="10"/>
      <c r="G40" s="10"/>
    </row>
    <row r="41">
      <c r="A41" s="1" t="s">
        <v>901</v>
      </c>
      <c r="B41" s="49" t="s">
        <v>5</v>
      </c>
      <c r="C41" s="49" t="s">
        <v>836</v>
      </c>
      <c r="E41" s="10"/>
      <c r="G41" s="10"/>
    </row>
    <row r="42">
      <c r="A42" s="4" t="s">
        <v>902</v>
      </c>
      <c r="B42" s="50" t="s">
        <v>903</v>
      </c>
      <c r="C42" s="53" t="s">
        <v>904</v>
      </c>
      <c r="E42" s="10"/>
      <c r="G42" s="10"/>
    </row>
    <row r="43">
      <c r="A43" s="4" t="s">
        <v>905</v>
      </c>
      <c r="B43" s="50" t="s">
        <v>906</v>
      </c>
      <c r="E43" s="10"/>
      <c r="G43" s="10"/>
    </row>
    <row r="44">
      <c r="A44" s="4" t="s">
        <v>907</v>
      </c>
      <c r="B44" s="50" t="s">
        <v>908</v>
      </c>
      <c r="E44" s="10"/>
      <c r="G44" s="10"/>
    </row>
    <row r="45">
      <c r="A45" s="4" t="s">
        <v>280</v>
      </c>
      <c r="B45" s="50" t="s">
        <v>909</v>
      </c>
      <c r="E45" s="10"/>
      <c r="G45" s="10"/>
    </row>
    <row r="46">
      <c r="A46" s="4" t="s">
        <v>910</v>
      </c>
      <c r="B46" s="50" t="s">
        <v>911</v>
      </c>
      <c r="E46" s="10"/>
      <c r="G46" s="10"/>
    </row>
    <row r="47">
      <c r="A47" s="4" t="s">
        <v>912</v>
      </c>
      <c r="B47" s="50" t="s">
        <v>913</v>
      </c>
      <c r="E47" s="10"/>
      <c r="G47" s="10"/>
    </row>
    <row r="48">
      <c r="A48" s="4" t="s">
        <v>914</v>
      </c>
      <c r="B48" s="50" t="s">
        <v>915</v>
      </c>
      <c r="E48" s="10"/>
      <c r="G48" s="10"/>
    </row>
    <row r="49">
      <c r="A49" s="10"/>
      <c r="B49" s="48"/>
      <c r="C49" s="10"/>
      <c r="E49" s="10"/>
      <c r="G49" s="10"/>
    </row>
    <row r="50">
      <c r="A50" s="10"/>
      <c r="B50" s="48"/>
      <c r="C50" s="10"/>
      <c r="E50" s="10"/>
      <c r="G50" s="10"/>
    </row>
    <row r="51">
      <c r="A51" s="1" t="s">
        <v>916</v>
      </c>
      <c r="B51" s="49" t="s">
        <v>5</v>
      </c>
      <c r="C51" s="10"/>
      <c r="E51" s="10"/>
      <c r="G51" s="10"/>
    </row>
    <row r="52">
      <c r="A52" s="4" t="s">
        <v>917</v>
      </c>
      <c r="B52" s="50" t="s">
        <v>918</v>
      </c>
      <c r="C52" s="10"/>
      <c r="E52" s="10"/>
      <c r="G52" s="10"/>
    </row>
    <row r="53">
      <c r="A53" s="4" t="s">
        <v>919</v>
      </c>
      <c r="B53" s="50" t="s">
        <v>920</v>
      </c>
      <c r="C53" s="10"/>
      <c r="E53" s="10"/>
      <c r="G53" s="10"/>
    </row>
    <row r="54">
      <c r="A54" s="4" t="s">
        <v>921</v>
      </c>
      <c r="B54" s="50" t="s">
        <v>922</v>
      </c>
      <c r="C54" s="10"/>
      <c r="E54" s="10"/>
      <c r="G54" s="10"/>
    </row>
    <row r="55">
      <c r="A55" s="4" t="s">
        <v>923</v>
      </c>
      <c r="B55" s="50" t="s">
        <v>924</v>
      </c>
      <c r="C55" s="10"/>
      <c r="E55" s="10"/>
      <c r="G55" s="10"/>
    </row>
    <row r="56">
      <c r="A56" s="10"/>
      <c r="B56" s="48"/>
      <c r="C56" s="10"/>
      <c r="E56" s="10"/>
      <c r="G56" s="10"/>
    </row>
    <row r="57">
      <c r="A57" s="10"/>
      <c r="B57" s="48"/>
      <c r="C57" s="10"/>
      <c r="E57" s="10"/>
      <c r="G57" s="10"/>
    </row>
    <row r="58">
      <c r="A58" s="10"/>
      <c r="B58" s="48"/>
      <c r="C58" s="10"/>
      <c r="E58" s="10"/>
      <c r="G58" s="10"/>
    </row>
    <row r="59">
      <c r="A59" s="10"/>
      <c r="B59" s="48"/>
      <c r="C59" s="10"/>
      <c r="E59" s="10"/>
      <c r="G59" s="10"/>
    </row>
    <row r="60">
      <c r="A60" s="10"/>
      <c r="B60" s="48"/>
      <c r="C60" s="10"/>
      <c r="E60" s="10"/>
      <c r="G60" s="10"/>
    </row>
    <row r="61">
      <c r="A61" s="10"/>
      <c r="B61" s="48"/>
      <c r="C61" s="10"/>
      <c r="E61" s="10"/>
      <c r="G61" s="10"/>
    </row>
    <row r="62">
      <c r="A62" s="10"/>
      <c r="B62" s="48"/>
      <c r="C62" s="10"/>
      <c r="E62" s="10"/>
      <c r="G62" s="10"/>
    </row>
    <row r="63">
      <c r="A63" s="10"/>
      <c r="B63" s="48"/>
      <c r="C63" s="10"/>
      <c r="E63" s="10"/>
      <c r="G63" s="10"/>
    </row>
    <row r="64">
      <c r="A64" s="10"/>
      <c r="B64" s="48"/>
      <c r="C64" s="10"/>
      <c r="E64" s="10"/>
      <c r="G64" s="10"/>
    </row>
    <row r="65">
      <c r="A65" s="10"/>
      <c r="B65" s="48"/>
      <c r="C65" s="10"/>
      <c r="E65" s="10"/>
      <c r="G65" s="10"/>
    </row>
    <row r="66">
      <c r="A66" s="10"/>
      <c r="B66" s="48"/>
      <c r="C66" s="10"/>
      <c r="E66" s="10"/>
      <c r="G66" s="10"/>
    </row>
    <row r="67">
      <c r="A67" s="10"/>
      <c r="B67" s="48"/>
      <c r="C67" s="10"/>
      <c r="E67" s="10"/>
      <c r="G67" s="10"/>
    </row>
    <row r="68">
      <c r="A68" s="10"/>
      <c r="B68" s="48"/>
      <c r="C68" s="10"/>
      <c r="E68" s="10"/>
      <c r="G68" s="10"/>
    </row>
    <row r="69">
      <c r="A69" s="10"/>
      <c r="B69" s="48"/>
      <c r="C69" s="10"/>
      <c r="E69" s="10"/>
      <c r="G69" s="10"/>
    </row>
    <row r="70">
      <c r="A70" s="10"/>
      <c r="B70" s="48"/>
      <c r="C70" s="10"/>
      <c r="E70" s="10"/>
      <c r="G70" s="10"/>
    </row>
    <row r="71">
      <c r="A71" s="10"/>
      <c r="B71" s="48"/>
      <c r="C71" s="10"/>
      <c r="E71" s="10"/>
      <c r="G71" s="10"/>
    </row>
    <row r="72">
      <c r="A72" s="10"/>
      <c r="B72" s="48"/>
      <c r="C72" s="10"/>
      <c r="E72" s="10"/>
      <c r="G72" s="10"/>
    </row>
    <row r="73">
      <c r="A73" s="10"/>
      <c r="B73" s="48"/>
      <c r="C73" s="10"/>
      <c r="E73" s="10"/>
      <c r="G73" s="10"/>
    </row>
    <row r="74">
      <c r="A74" s="10"/>
      <c r="B74" s="48"/>
      <c r="C74" s="10"/>
      <c r="E74" s="10"/>
      <c r="G74" s="10"/>
    </row>
    <row r="75">
      <c r="A75" s="10"/>
      <c r="B75" s="48"/>
      <c r="C75" s="10"/>
      <c r="E75" s="10"/>
      <c r="G75" s="10"/>
    </row>
    <row r="76">
      <c r="A76" s="10"/>
      <c r="B76" s="48"/>
      <c r="C76" s="10"/>
      <c r="E76" s="10"/>
      <c r="G76" s="10"/>
    </row>
    <row r="77">
      <c r="A77" s="10"/>
      <c r="B77" s="48"/>
      <c r="C77" s="10"/>
      <c r="E77" s="10"/>
      <c r="G77" s="10"/>
    </row>
    <row r="78">
      <c r="A78" s="10"/>
      <c r="B78" s="48"/>
      <c r="C78" s="10"/>
      <c r="E78" s="10"/>
      <c r="G78" s="10"/>
    </row>
    <row r="79">
      <c r="A79" s="10"/>
      <c r="B79" s="48"/>
      <c r="C79" s="10"/>
      <c r="E79" s="10"/>
      <c r="G79" s="10"/>
    </row>
    <row r="80">
      <c r="A80" s="10"/>
      <c r="B80" s="48"/>
      <c r="C80" s="10"/>
      <c r="E80" s="10"/>
      <c r="G80" s="10"/>
    </row>
    <row r="81">
      <c r="A81" s="10"/>
      <c r="B81" s="48"/>
      <c r="C81" s="10"/>
      <c r="E81" s="10"/>
      <c r="G81" s="10"/>
    </row>
    <row r="82">
      <c r="A82" s="10"/>
      <c r="B82" s="48"/>
      <c r="C82" s="10"/>
      <c r="E82" s="10"/>
      <c r="G82" s="10"/>
    </row>
    <row r="83">
      <c r="A83" s="10"/>
      <c r="B83" s="48"/>
      <c r="C83" s="10"/>
      <c r="E83" s="10"/>
      <c r="G83" s="10"/>
    </row>
    <row r="84">
      <c r="A84" s="10"/>
      <c r="B84" s="48"/>
      <c r="C84" s="10"/>
      <c r="E84" s="10"/>
      <c r="G84" s="10"/>
    </row>
    <row r="85">
      <c r="A85" s="10"/>
      <c r="B85" s="48"/>
      <c r="C85" s="10"/>
      <c r="E85" s="10"/>
      <c r="G85" s="10"/>
    </row>
    <row r="86">
      <c r="A86" s="10"/>
      <c r="B86" s="48"/>
      <c r="C86" s="10"/>
      <c r="E86" s="10"/>
      <c r="G86" s="10"/>
    </row>
    <row r="87">
      <c r="A87" s="10"/>
      <c r="B87" s="48"/>
      <c r="C87" s="10"/>
      <c r="E87" s="10"/>
      <c r="G87" s="10"/>
    </row>
    <row r="88">
      <c r="A88" s="10"/>
      <c r="B88" s="48"/>
      <c r="C88" s="10"/>
      <c r="E88" s="10"/>
      <c r="G88" s="10"/>
    </row>
    <row r="89">
      <c r="A89" s="10"/>
      <c r="B89" s="48"/>
      <c r="C89" s="10"/>
      <c r="E89" s="10"/>
      <c r="G89" s="10"/>
    </row>
    <row r="90">
      <c r="A90" s="10"/>
      <c r="B90" s="48"/>
      <c r="C90" s="10"/>
      <c r="E90" s="10"/>
      <c r="G90" s="10"/>
    </row>
    <row r="91">
      <c r="A91" s="10"/>
      <c r="B91" s="48"/>
      <c r="C91" s="10"/>
      <c r="E91" s="10"/>
      <c r="G91" s="10"/>
    </row>
    <row r="92">
      <c r="A92" s="10"/>
      <c r="B92" s="48"/>
      <c r="C92" s="10"/>
      <c r="E92" s="10"/>
      <c r="G92" s="10"/>
    </row>
    <row r="93">
      <c r="A93" s="10"/>
      <c r="B93" s="48"/>
      <c r="C93" s="10"/>
      <c r="E93" s="10"/>
      <c r="G93" s="10"/>
    </row>
    <row r="94">
      <c r="A94" s="10"/>
      <c r="B94" s="48"/>
      <c r="C94" s="10"/>
      <c r="E94" s="10"/>
      <c r="G94" s="10"/>
    </row>
    <row r="95">
      <c r="A95" s="10"/>
      <c r="B95" s="48"/>
      <c r="C95" s="10"/>
      <c r="E95" s="10"/>
      <c r="G95" s="10"/>
    </row>
    <row r="96">
      <c r="A96" s="10"/>
      <c r="B96" s="48"/>
      <c r="C96" s="10"/>
      <c r="E96" s="10"/>
      <c r="G96" s="10"/>
    </row>
    <row r="97">
      <c r="A97" s="10"/>
      <c r="B97" s="48"/>
      <c r="C97" s="10"/>
      <c r="E97" s="10"/>
      <c r="G97" s="10"/>
    </row>
    <row r="98">
      <c r="A98" s="10"/>
      <c r="B98" s="48"/>
      <c r="C98" s="10"/>
      <c r="E98" s="10"/>
      <c r="G98" s="10"/>
    </row>
    <row r="99">
      <c r="A99" s="10"/>
      <c r="B99" s="48"/>
      <c r="C99" s="10"/>
      <c r="E99" s="10"/>
      <c r="G99" s="10"/>
    </row>
    <row r="100">
      <c r="A100" s="10"/>
      <c r="B100" s="48"/>
      <c r="C100" s="10"/>
      <c r="E100" s="10"/>
      <c r="G100" s="10"/>
    </row>
    <row r="101">
      <c r="A101" s="10"/>
      <c r="B101" s="48"/>
      <c r="C101" s="10"/>
      <c r="E101" s="10"/>
      <c r="G101" s="10"/>
    </row>
    <row r="102">
      <c r="A102" s="10"/>
      <c r="B102" s="48"/>
      <c r="C102" s="10"/>
      <c r="E102" s="10"/>
      <c r="G102" s="10"/>
    </row>
    <row r="103">
      <c r="A103" s="10"/>
      <c r="B103" s="48"/>
      <c r="C103" s="10"/>
      <c r="E103" s="10"/>
      <c r="G103" s="10"/>
    </row>
    <row r="104">
      <c r="A104" s="10"/>
      <c r="B104" s="48"/>
      <c r="C104" s="10"/>
      <c r="E104" s="10"/>
      <c r="G104" s="10"/>
    </row>
    <row r="105">
      <c r="A105" s="10"/>
      <c r="B105" s="48"/>
      <c r="C105" s="10"/>
      <c r="E105" s="10"/>
      <c r="G105" s="10"/>
    </row>
    <row r="106">
      <c r="A106" s="10"/>
      <c r="B106" s="48"/>
      <c r="C106" s="10"/>
      <c r="E106" s="10"/>
      <c r="G106" s="10"/>
    </row>
    <row r="107">
      <c r="A107" s="10"/>
      <c r="B107" s="48"/>
      <c r="C107" s="10"/>
      <c r="E107" s="10"/>
      <c r="G107" s="10"/>
    </row>
    <row r="108">
      <c r="A108" s="10"/>
      <c r="B108" s="48"/>
      <c r="C108" s="10"/>
      <c r="E108" s="10"/>
      <c r="G108" s="10"/>
    </row>
    <row r="109">
      <c r="A109" s="10"/>
      <c r="B109" s="48"/>
      <c r="C109" s="10"/>
      <c r="E109" s="10"/>
      <c r="G109" s="10"/>
    </row>
    <row r="110">
      <c r="A110" s="10"/>
      <c r="B110" s="48"/>
      <c r="C110" s="10"/>
      <c r="E110" s="10"/>
      <c r="G110" s="10"/>
    </row>
    <row r="111">
      <c r="A111" s="10"/>
      <c r="B111" s="48"/>
      <c r="C111" s="10"/>
      <c r="E111" s="10"/>
      <c r="G111" s="10"/>
    </row>
    <row r="112">
      <c r="A112" s="10"/>
      <c r="B112" s="48"/>
      <c r="C112" s="10"/>
      <c r="E112" s="10"/>
      <c r="G112" s="10"/>
    </row>
    <row r="113">
      <c r="A113" s="10"/>
      <c r="B113" s="48"/>
      <c r="C113" s="10"/>
      <c r="E113" s="10"/>
      <c r="G113" s="10"/>
    </row>
    <row r="114">
      <c r="A114" s="10"/>
      <c r="B114" s="48"/>
      <c r="C114" s="10"/>
      <c r="E114" s="10"/>
      <c r="G114" s="10"/>
    </row>
    <row r="115">
      <c r="A115" s="10"/>
      <c r="B115" s="48"/>
      <c r="C115" s="10"/>
      <c r="E115" s="10"/>
      <c r="G115" s="10"/>
    </row>
    <row r="116">
      <c r="A116" s="10"/>
      <c r="B116" s="48"/>
      <c r="C116" s="10"/>
      <c r="E116" s="10"/>
      <c r="G116" s="10"/>
    </row>
    <row r="117">
      <c r="A117" s="10"/>
      <c r="B117" s="48"/>
      <c r="C117" s="10"/>
      <c r="E117" s="10"/>
      <c r="G117" s="10"/>
    </row>
    <row r="118">
      <c r="A118" s="10"/>
      <c r="B118" s="48"/>
      <c r="C118" s="10"/>
      <c r="E118" s="10"/>
      <c r="G118" s="10"/>
    </row>
    <row r="119">
      <c r="A119" s="10"/>
      <c r="B119" s="48"/>
      <c r="C119" s="10"/>
      <c r="E119" s="10"/>
      <c r="G119" s="10"/>
    </row>
    <row r="120">
      <c r="A120" s="10"/>
      <c r="B120" s="48"/>
      <c r="C120" s="10"/>
      <c r="E120" s="10"/>
      <c r="G120" s="10"/>
    </row>
    <row r="121">
      <c r="A121" s="10"/>
      <c r="B121" s="48"/>
      <c r="C121" s="10"/>
      <c r="E121" s="10"/>
      <c r="G121" s="10"/>
    </row>
    <row r="122">
      <c r="A122" s="10"/>
      <c r="B122" s="48"/>
      <c r="C122" s="10"/>
      <c r="E122" s="10"/>
      <c r="G122" s="10"/>
    </row>
    <row r="123">
      <c r="A123" s="10"/>
      <c r="B123" s="48"/>
      <c r="C123" s="10"/>
      <c r="E123" s="10"/>
      <c r="G123" s="10"/>
    </row>
    <row r="124">
      <c r="A124" s="10"/>
      <c r="B124" s="48"/>
      <c r="C124" s="10"/>
      <c r="E124" s="10"/>
      <c r="G124" s="10"/>
    </row>
    <row r="125">
      <c r="A125" s="10"/>
      <c r="B125" s="48"/>
      <c r="C125" s="10"/>
      <c r="E125" s="10"/>
      <c r="G125" s="10"/>
    </row>
    <row r="126">
      <c r="A126" s="10"/>
      <c r="B126" s="48"/>
      <c r="C126" s="10"/>
      <c r="E126" s="10"/>
      <c r="G126" s="10"/>
    </row>
    <row r="127">
      <c r="A127" s="10"/>
      <c r="B127" s="48"/>
      <c r="C127" s="10"/>
      <c r="E127" s="10"/>
      <c r="G127" s="10"/>
    </row>
    <row r="128">
      <c r="A128" s="10"/>
      <c r="B128" s="48"/>
      <c r="C128" s="10"/>
      <c r="E128" s="10"/>
      <c r="G128" s="10"/>
    </row>
    <row r="129">
      <c r="A129" s="10"/>
      <c r="B129" s="48"/>
      <c r="C129" s="10"/>
      <c r="E129" s="10"/>
      <c r="G129" s="10"/>
    </row>
    <row r="130">
      <c r="A130" s="10"/>
      <c r="B130" s="48"/>
      <c r="C130" s="10"/>
      <c r="E130" s="10"/>
      <c r="G130" s="10"/>
    </row>
    <row r="131">
      <c r="A131" s="10"/>
      <c r="B131" s="48"/>
      <c r="C131" s="10"/>
      <c r="E131" s="10"/>
      <c r="G131" s="10"/>
    </row>
    <row r="132">
      <c r="A132" s="10"/>
      <c r="B132" s="48"/>
      <c r="C132" s="10"/>
      <c r="E132" s="10"/>
      <c r="G132" s="10"/>
    </row>
    <row r="133">
      <c r="A133" s="10"/>
      <c r="B133" s="48"/>
      <c r="C133" s="10"/>
      <c r="E133" s="10"/>
      <c r="G133" s="10"/>
    </row>
    <row r="134">
      <c r="A134" s="10"/>
      <c r="B134" s="48"/>
      <c r="C134" s="10"/>
      <c r="E134" s="10"/>
      <c r="G134" s="10"/>
    </row>
    <row r="135">
      <c r="A135" s="10"/>
      <c r="B135" s="48"/>
      <c r="C135" s="10"/>
      <c r="E135" s="10"/>
      <c r="G135" s="10"/>
    </row>
    <row r="136">
      <c r="A136" s="10"/>
      <c r="B136" s="48"/>
      <c r="C136" s="10"/>
      <c r="E136" s="10"/>
      <c r="G136" s="10"/>
    </row>
    <row r="137">
      <c r="A137" s="10"/>
      <c r="B137" s="48"/>
      <c r="C137" s="10"/>
      <c r="E137" s="10"/>
      <c r="G137" s="10"/>
    </row>
    <row r="138">
      <c r="A138" s="10"/>
      <c r="B138" s="48"/>
      <c r="C138" s="10"/>
      <c r="E138" s="10"/>
      <c r="G138" s="10"/>
    </row>
    <row r="139">
      <c r="A139" s="10"/>
      <c r="B139" s="48"/>
      <c r="C139" s="10"/>
      <c r="E139" s="10"/>
      <c r="G139" s="10"/>
    </row>
    <row r="140">
      <c r="A140" s="10"/>
      <c r="B140" s="48"/>
      <c r="C140" s="10"/>
      <c r="E140" s="10"/>
      <c r="G140" s="10"/>
    </row>
    <row r="141">
      <c r="A141" s="10"/>
      <c r="B141" s="48"/>
      <c r="C141" s="10"/>
      <c r="E141" s="10"/>
      <c r="G141" s="10"/>
    </row>
    <row r="142">
      <c r="A142" s="10"/>
      <c r="B142" s="48"/>
      <c r="C142" s="10"/>
      <c r="E142" s="10"/>
      <c r="G142" s="10"/>
    </row>
    <row r="143">
      <c r="A143" s="10"/>
      <c r="B143" s="48"/>
      <c r="C143" s="10"/>
      <c r="E143" s="10"/>
      <c r="G143" s="10"/>
    </row>
    <row r="144">
      <c r="A144" s="10"/>
      <c r="B144" s="48"/>
      <c r="C144" s="10"/>
      <c r="E144" s="10"/>
      <c r="G144" s="10"/>
    </row>
    <row r="145">
      <c r="A145" s="10"/>
      <c r="B145" s="48"/>
      <c r="C145" s="10"/>
      <c r="E145" s="10"/>
      <c r="G145" s="10"/>
    </row>
    <row r="146">
      <c r="A146" s="10"/>
      <c r="B146" s="48"/>
      <c r="C146" s="10"/>
      <c r="E146" s="10"/>
      <c r="G146" s="10"/>
    </row>
    <row r="147">
      <c r="A147" s="10"/>
      <c r="B147" s="48"/>
      <c r="C147" s="10"/>
      <c r="E147" s="10"/>
      <c r="G147" s="10"/>
    </row>
    <row r="148">
      <c r="A148" s="10"/>
      <c r="B148" s="48"/>
      <c r="C148" s="10"/>
      <c r="E148" s="10"/>
      <c r="G148" s="10"/>
    </row>
    <row r="149">
      <c r="A149" s="10"/>
      <c r="B149" s="48"/>
      <c r="C149" s="10"/>
      <c r="E149" s="10"/>
      <c r="G149" s="10"/>
    </row>
    <row r="150">
      <c r="A150" s="10"/>
      <c r="B150" s="48"/>
      <c r="C150" s="10"/>
      <c r="E150" s="10"/>
      <c r="G150" s="10"/>
    </row>
    <row r="151">
      <c r="A151" s="10"/>
      <c r="B151" s="48"/>
      <c r="C151" s="10"/>
      <c r="E151" s="10"/>
      <c r="G151" s="10"/>
    </row>
    <row r="152">
      <c r="A152" s="10"/>
      <c r="B152" s="48"/>
      <c r="C152" s="10"/>
      <c r="E152" s="10"/>
      <c r="G152" s="10"/>
    </row>
    <row r="153">
      <c r="A153" s="10"/>
      <c r="B153" s="48"/>
      <c r="C153" s="10"/>
      <c r="E153" s="10"/>
      <c r="G153" s="10"/>
    </row>
    <row r="154">
      <c r="A154" s="10"/>
      <c r="B154" s="48"/>
      <c r="C154" s="10"/>
      <c r="E154" s="10"/>
      <c r="G154" s="10"/>
    </row>
    <row r="155">
      <c r="A155" s="10"/>
      <c r="B155" s="48"/>
      <c r="C155" s="10"/>
      <c r="E155" s="10"/>
      <c r="G155" s="10"/>
    </row>
    <row r="156">
      <c r="A156" s="10"/>
      <c r="B156" s="48"/>
      <c r="C156" s="10"/>
      <c r="E156" s="10"/>
      <c r="G156" s="10"/>
    </row>
    <row r="157">
      <c r="A157" s="10"/>
      <c r="B157" s="48"/>
      <c r="C157" s="10"/>
      <c r="E157" s="10"/>
      <c r="G157" s="10"/>
    </row>
    <row r="158">
      <c r="A158" s="10"/>
      <c r="B158" s="48"/>
      <c r="C158" s="10"/>
      <c r="E158" s="10"/>
      <c r="G158" s="10"/>
    </row>
    <row r="159">
      <c r="A159" s="10"/>
      <c r="B159" s="48"/>
      <c r="C159" s="10"/>
      <c r="E159" s="10"/>
      <c r="G159" s="10"/>
    </row>
    <row r="160">
      <c r="A160" s="10"/>
      <c r="B160" s="48"/>
      <c r="C160" s="10"/>
      <c r="E160" s="10"/>
      <c r="G160" s="10"/>
    </row>
    <row r="161">
      <c r="A161" s="10"/>
      <c r="B161" s="48"/>
      <c r="C161" s="10"/>
      <c r="E161" s="10"/>
      <c r="G161" s="10"/>
    </row>
    <row r="162">
      <c r="A162" s="10"/>
      <c r="B162" s="48"/>
      <c r="C162" s="10"/>
      <c r="E162" s="10"/>
      <c r="G162" s="10"/>
    </row>
    <row r="163">
      <c r="A163" s="10"/>
      <c r="B163" s="48"/>
      <c r="C163" s="10"/>
      <c r="E163" s="10"/>
      <c r="G163" s="10"/>
    </row>
    <row r="164">
      <c r="A164" s="10"/>
      <c r="B164" s="48"/>
      <c r="C164" s="10"/>
      <c r="E164" s="10"/>
      <c r="G164" s="10"/>
    </row>
    <row r="165">
      <c r="A165" s="10"/>
      <c r="B165" s="48"/>
      <c r="C165" s="10"/>
      <c r="E165" s="10"/>
      <c r="G165" s="10"/>
    </row>
    <row r="166">
      <c r="A166" s="10"/>
      <c r="B166" s="48"/>
      <c r="C166" s="10"/>
      <c r="E166" s="10"/>
      <c r="G166" s="10"/>
    </row>
    <row r="167">
      <c r="A167" s="10"/>
      <c r="B167" s="48"/>
      <c r="C167" s="10"/>
      <c r="E167" s="10"/>
      <c r="G167" s="10"/>
    </row>
    <row r="168">
      <c r="A168" s="10"/>
      <c r="B168" s="48"/>
      <c r="C168" s="10"/>
      <c r="E168" s="10"/>
      <c r="G168" s="10"/>
    </row>
    <row r="169">
      <c r="A169" s="10"/>
      <c r="B169" s="48"/>
      <c r="C169" s="10"/>
      <c r="E169" s="10"/>
      <c r="G169" s="10"/>
    </row>
    <row r="170">
      <c r="A170" s="10"/>
      <c r="B170" s="48"/>
      <c r="C170" s="10"/>
      <c r="E170" s="10"/>
      <c r="G170" s="10"/>
    </row>
    <row r="171">
      <c r="A171" s="10"/>
      <c r="B171" s="48"/>
      <c r="C171" s="10"/>
      <c r="E171" s="10"/>
      <c r="G171" s="10"/>
    </row>
    <row r="172">
      <c r="A172" s="10"/>
      <c r="B172" s="48"/>
      <c r="C172" s="10"/>
      <c r="E172" s="10"/>
      <c r="G172" s="10"/>
    </row>
    <row r="173">
      <c r="A173" s="10"/>
      <c r="B173" s="48"/>
      <c r="C173" s="10"/>
      <c r="E173" s="10"/>
      <c r="G173" s="10"/>
    </row>
    <row r="174">
      <c r="A174" s="10"/>
      <c r="B174" s="48"/>
      <c r="C174" s="10"/>
      <c r="E174" s="10"/>
      <c r="G174" s="10"/>
    </row>
    <row r="175">
      <c r="A175" s="10"/>
      <c r="B175" s="48"/>
      <c r="C175" s="10"/>
      <c r="E175" s="10"/>
      <c r="G175" s="10"/>
    </row>
    <row r="176">
      <c r="A176" s="10"/>
      <c r="B176" s="48"/>
      <c r="C176" s="10"/>
      <c r="E176" s="10"/>
      <c r="G176" s="10"/>
    </row>
    <row r="177">
      <c r="A177" s="10"/>
      <c r="B177" s="48"/>
      <c r="C177" s="10"/>
      <c r="E177" s="10"/>
      <c r="G177" s="10"/>
    </row>
    <row r="178">
      <c r="A178" s="10"/>
      <c r="B178" s="48"/>
      <c r="C178" s="10"/>
      <c r="E178" s="10"/>
      <c r="G178" s="10"/>
    </row>
    <row r="179">
      <c r="A179" s="10"/>
      <c r="B179" s="48"/>
      <c r="C179" s="10"/>
      <c r="E179" s="10"/>
      <c r="G179" s="10"/>
    </row>
    <row r="180">
      <c r="A180" s="10"/>
      <c r="B180" s="48"/>
      <c r="C180" s="10"/>
      <c r="E180" s="10"/>
      <c r="G180" s="10"/>
    </row>
    <row r="181">
      <c r="A181" s="10"/>
      <c r="B181" s="48"/>
      <c r="C181" s="10"/>
      <c r="E181" s="10"/>
      <c r="G181" s="10"/>
    </row>
    <row r="182">
      <c r="A182" s="10"/>
      <c r="B182" s="48"/>
      <c r="C182" s="10"/>
      <c r="E182" s="10"/>
      <c r="G182" s="10"/>
    </row>
    <row r="183">
      <c r="A183" s="10"/>
      <c r="B183" s="48"/>
      <c r="C183" s="10"/>
      <c r="E183" s="10"/>
      <c r="G183" s="10"/>
    </row>
    <row r="184">
      <c r="A184" s="10"/>
      <c r="B184" s="48"/>
      <c r="C184" s="10"/>
      <c r="E184" s="10"/>
      <c r="G184" s="10"/>
    </row>
    <row r="185">
      <c r="A185" s="10"/>
      <c r="B185" s="48"/>
      <c r="C185" s="10"/>
      <c r="E185" s="10"/>
      <c r="G185" s="10"/>
    </row>
    <row r="186">
      <c r="A186" s="10"/>
      <c r="B186" s="48"/>
      <c r="C186" s="10"/>
      <c r="E186" s="10"/>
      <c r="G186" s="10"/>
    </row>
    <row r="187">
      <c r="A187" s="10"/>
      <c r="B187" s="48"/>
      <c r="C187" s="10"/>
      <c r="E187" s="10"/>
      <c r="G187" s="10"/>
    </row>
    <row r="188">
      <c r="A188" s="10"/>
      <c r="B188" s="48"/>
      <c r="C188" s="10"/>
      <c r="E188" s="10"/>
      <c r="G188" s="10"/>
    </row>
    <row r="189">
      <c r="A189" s="10"/>
      <c r="B189" s="48"/>
      <c r="C189" s="10"/>
      <c r="E189" s="10"/>
      <c r="G189" s="10"/>
    </row>
    <row r="190">
      <c r="A190" s="10"/>
      <c r="B190" s="48"/>
      <c r="C190" s="10"/>
      <c r="E190" s="10"/>
      <c r="G190" s="10"/>
    </row>
    <row r="191">
      <c r="A191" s="10"/>
      <c r="B191" s="48"/>
      <c r="C191" s="10"/>
      <c r="E191" s="10"/>
      <c r="G191" s="10"/>
    </row>
    <row r="192">
      <c r="A192" s="10"/>
      <c r="B192" s="48"/>
      <c r="C192" s="10"/>
      <c r="E192" s="10"/>
      <c r="G192" s="10"/>
    </row>
    <row r="193">
      <c r="A193" s="10"/>
      <c r="B193" s="48"/>
      <c r="C193" s="10"/>
      <c r="E193" s="10"/>
      <c r="G193" s="10"/>
    </row>
    <row r="194">
      <c r="A194" s="10"/>
      <c r="B194" s="48"/>
      <c r="C194" s="10"/>
      <c r="E194" s="10"/>
      <c r="G194" s="10"/>
    </row>
    <row r="195">
      <c r="A195" s="10"/>
      <c r="B195" s="48"/>
      <c r="C195" s="10"/>
      <c r="E195" s="10"/>
      <c r="G195" s="10"/>
    </row>
    <row r="196">
      <c r="A196" s="10"/>
      <c r="B196" s="48"/>
      <c r="C196" s="10"/>
      <c r="E196" s="10"/>
      <c r="G196" s="10"/>
    </row>
    <row r="197">
      <c r="A197" s="10"/>
      <c r="B197" s="48"/>
      <c r="C197" s="10"/>
      <c r="E197" s="10"/>
      <c r="G197" s="10"/>
    </row>
    <row r="198">
      <c r="A198" s="10"/>
      <c r="B198" s="48"/>
      <c r="C198" s="10"/>
      <c r="E198" s="10"/>
      <c r="G198" s="10"/>
    </row>
    <row r="199">
      <c r="A199" s="10"/>
      <c r="B199" s="48"/>
      <c r="C199" s="10"/>
      <c r="E199" s="10"/>
      <c r="G199" s="10"/>
    </row>
    <row r="200">
      <c r="A200" s="10"/>
      <c r="B200" s="48"/>
      <c r="C200" s="10"/>
      <c r="E200" s="10"/>
      <c r="G200" s="10"/>
    </row>
    <row r="201">
      <c r="A201" s="10"/>
      <c r="B201" s="48"/>
      <c r="C201" s="10"/>
      <c r="E201" s="10"/>
      <c r="G201" s="10"/>
    </row>
    <row r="202">
      <c r="A202" s="10"/>
      <c r="B202" s="48"/>
      <c r="C202" s="10"/>
      <c r="E202" s="10"/>
      <c r="G202" s="10"/>
    </row>
    <row r="203">
      <c r="A203" s="10"/>
      <c r="B203" s="48"/>
      <c r="C203" s="10"/>
      <c r="E203" s="10"/>
      <c r="G203" s="10"/>
    </row>
    <row r="204">
      <c r="A204" s="10"/>
      <c r="B204" s="48"/>
      <c r="C204" s="10"/>
      <c r="E204" s="10"/>
      <c r="G204" s="10"/>
    </row>
    <row r="205">
      <c r="A205" s="10"/>
      <c r="B205" s="48"/>
      <c r="C205" s="10"/>
      <c r="E205" s="10"/>
      <c r="G205" s="10"/>
    </row>
    <row r="206">
      <c r="A206" s="10"/>
      <c r="B206" s="48"/>
      <c r="C206" s="10"/>
      <c r="E206" s="10"/>
      <c r="G206" s="10"/>
    </row>
    <row r="207">
      <c r="A207" s="10"/>
      <c r="B207" s="48"/>
      <c r="C207" s="10"/>
      <c r="E207" s="10"/>
      <c r="G207" s="10"/>
    </row>
    <row r="208">
      <c r="A208" s="10"/>
      <c r="B208" s="48"/>
      <c r="C208" s="10"/>
      <c r="E208" s="10"/>
      <c r="G208" s="10"/>
    </row>
    <row r="209">
      <c r="A209" s="10"/>
      <c r="B209" s="48"/>
      <c r="C209" s="10"/>
      <c r="E209" s="10"/>
      <c r="G209" s="10"/>
    </row>
    <row r="210">
      <c r="A210" s="10"/>
      <c r="B210" s="48"/>
      <c r="C210" s="10"/>
      <c r="E210" s="10"/>
      <c r="G210" s="10"/>
    </row>
    <row r="211">
      <c r="A211" s="10"/>
      <c r="B211" s="48"/>
      <c r="C211" s="10"/>
      <c r="E211" s="10"/>
      <c r="G211" s="10"/>
    </row>
    <row r="212">
      <c r="A212" s="10"/>
      <c r="B212" s="48"/>
      <c r="C212" s="10"/>
      <c r="E212" s="10"/>
      <c r="G212" s="10"/>
    </row>
    <row r="213">
      <c r="A213" s="10"/>
      <c r="B213" s="48"/>
      <c r="C213" s="10"/>
      <c r="E213" s="10"/>
      <c r="G213" s="10"/>
    </row>
    <row r="214">
      <c r="A214" s="10"/>
      <c r="B214" s="48"/>
      <c r="C214" s="10"/>
      <c r="E214" s="10"/>
      <c r="G214" s="10"/>
    </row>
    <row r="215">
      <c r="A215" s="10"/>
      <c r="B215" s="48"/>
      <c r="C215" s="10"/>
      <c r="E215" s="10"/>
      <c r="G215" s="10"/>
    </row>
    <row r="216">
      <c r="A216" s="10"/>
      <c r="B216" s="48"/>
      <c r="C216" s="10"/>
      <c r="E216" s="10"/>
      <c r="G216" s="10"/>
    </row>
    <row r="217">
      <c r="A217" s="10"/>
      <c r="B217" s="48"/>
      <c r="C217" s="10"/>
      <c r="E217" s="10"/>
      <c r="G217" s="10"/>
    </row>
    <row r="218">
      <c r="A218" s="10"/>
      <c r="B218" s="48"/>
      <c r="C218" s="10"/>
      <c r="E218" s="10"/>
      <c r="G218" s="10"/>
    </row>
    <row r="219">
      <c r="A219" s="10"/>
      <c r="B219" s="48"/>
      <c r="C219" s="10"/>
      <c r="E219" s="10"/>
      <c r="G219" s="10"/>
    </row>
    <row r="220">
      <c r="A220" s="10"/>
      <c r="B220" s="48"/>
      <c r="C220" s="10"/>
      <c r="E220" s="10"/>
      <c r="G220" s="10"/>
    </row>
    <row r="221">
      <c r="A221" s="10"/>
      <c r="B221" s="48"/>
      <c r="C221" s="10"/>
      <c r="E221" s="10"/>
      <c r="G221" s="10"/>
    </row>
    <row r="222">
      <c r="A222" s="10"/>
      <c r="B222" s="48"/>
      <c r="C222" s="10"/>
      <c r="E222" s="10"/>
      <c r="G222" s="10"/>
    </row>
    <row r="223">
      <c r="A223" s="10"/>
      <c r="B223" s="48"/>
      <c r="C223" s="10"/>
      <c r="E223" s="10"/>
      <c r="G223" s="10"/>
    </row>
    <row r="224">
      <c r="A224" s="10"/>
      <c r="B224" s="48"/>
      <c r="C224" s="10"/>
      <c r="E224" s="10"/>
      <c r="G224" s="10"/>
    </row>
    <row r="225">
      <c r="A225" s="10"/>
      <c r="B225" s="48"/>
      <c r="C225" s="10"/>
      <c r="E225" s="10"/>
      <c r="G225" s="10"/>
    </row>
    <row r="226">
      <c r="A226" s="10"/>
      <c r="B226" s="48"/>
      <c r="C226" s="10"/>
      <c r="E226" s="10"/>
      <c r="G226" s="10"/>
    </row>
    <row r="227">
      <c r="A227" s="10"/>
      <c r="B227" s="48"/>
      <c r="C227" s="10"/>
      <c r="E227" s="10"/>
      <c r="G227" s="10"/>
    </row>
    <row r="228">
      <c r="A228" s="10"/>
      <c r="B228" s="48"/>
      <c r="C228" s="10"/>
      <c r="E228" s="10"/>
      <c r="G228" s="10"/>
    </row>
    <row r="229">
      <c r="A229" s="10"/>
      <c r="B229" s="48"/>
      <c r="C229" s="10"/>
      <c r="E229" s="10"/>
      <c r="G229" s="10"/>
    </row>
    <row r="230">
      <c r="A230" s="10"/>
      <c r="B230" s="48"/>
      <c r="C230" s="10"/>
      <c r="E230" s="10"/>
      <c r="G230" s="10"/>
    </row>
    <row r="231">
      <c r="A231" s="10"/>
      <c r="B231" s="48"/>
      <c r="C231" s="10"/>
      <c r="E231" s="10"/>
      <c r="G231" s="10"/>
    </row>
    <row r="232">
      <c r="A232" s="10"/>
      <c r="B232" s="48"/>
      <c r="C232" s="10"/>
      <c r="E232" s="10"/>
      <c r="G232" s="10"/>
    </row>
    <row r="233">
      <c r="A233" s="10"/>
      <c r="B233" s="48"/>
      <c r="C233" s="10"/>
      <c r="E233" s="10"/>
      <c r="G233" s="10"/>
    </row>
    <row r="234">
      <c r="A234" s="10"/>
      <c r="B234" s="48"/>
      <c r="C234" s="10"/>
      <c r="E234" s="10"/>
      <c r="G234" s="10"/>
    </row>
    <row r="235">
      <c r="A235" s="10"/>
      <c r="B235" s="48"/>
      <c r="C235" s="10"/>
      <c r="E235" s="10"/>
      <c r="G235" s="10"/>
    </row>
    <row r="236">
      <c r="A236" s="10"/>
      <c r="B236" s="48"/>
      <c r="C236" s="10"/>
      <c r="E236" s="10"/>
      <c r="G236" s="10"/>
    </row>
    <row r="237">
      <c r="A237" s="10"/>
      <c r="B237" s="48"/>
      <c r="C237" s="10"/>
      <c r="E237" s="10"/>
      <c r="G237" s="10"/>
    </row>
    <row r="238">
      <c r="A238" s="10"/>
      <c r="B238" s="48"/>
      <c r="C238" s="10"/>
      <c r="E238" s="10"/>
      <c r="G238" s="10"/>
    </row>
    <row r="239">
      <c r="A239" s="10"/>
      <c r="B239" s="48"/>
      <c r="C239" s="10"/>
      <c r="E239" s="10"/>
      <c r="G239" s="10"/>
    </row>
    <row r="240">
      <c r="A240" s="10"/>
      <c r="B240" s="48"/>
      <c r="C240" s="10"/>
      <c r="E240" s="10"/>
      <c r="G240" s="10"/>
    </row>
    <row r="241">
      <c r="A241" s="10"/>
      <c r="B241" s="48"/>
      <c r="C241" s="10"/>
      <c r="E241" s="10"/>
      <c r="G241" s="10"/>
    </row>
    <row r="242">
      <c r="A242" s="10"/>
      <c r="B242" s="48"/>
      <c r="C242" s="10"/>
      <c r="E242" s="10"/>
      <c r="G242" s="10"/>
    </row>
    <row r="243">
      <c r="A243" s="10"/>
      <c r="B243" s="48"/>
      <c r="C243" s="10"/>
      <c r="E243" s="10"/>
      <c r="G243" s="10"/>
    </row>
    <row r="244">
      <c r="A244" s="10"/>
      <c r="B244" s="48"/>
      <c r="C244" s="10"/>
      <c r="E244" s="10"/>
      <c r="G244" s="10"/>
    </row>
    <row r="245">
      <c r="A245" s="10"/>
      <c r="B245" s="48"/>
      <c r="C245" s="10"/>
      <c r="E245" s="10"/>
      <c r="G245" s="10"/>
    </row>
    <row r="246">
      <c r="A246" s="10"/>
      <c r="B246" s="48"/>
      <c r="C246" s="10"/>
      <c r="E246" s="10"/>
      <c r="G246" s="10"/>
    </row>
    <row r="247">
      <c r="A247" s="10"/>
      <c r="B247" s="48"/>
      <c r="C247" s="10"/>
      <c r="E247" s="10"/>
      <c r="G247" s="10"/>
    </row>
    <row r="248">
      <c r="A248" s="10"/>
      <c r="B248" s="48"/>
      <c r="C248" s="10"/>
      <c r="E248" s="10"/>
      <c r="G248" s="10"/>
    </row>
    <row r="249">
      <c r="A249" s="10"/>
      <c r="B249" s="48"/>
      <c r="C249" s="10"/>
      <c r="E249" s="10"/>
      <c r="G249" s="10"/>
    </row>
    <row r="250">
      <c r="A250" s="10"/>
      <c r="B250" s="48"/>
      <c r="C250" s="10"/>
      <c r="E250" s="10"/>
      <c r="G250" s="10"/>
    </row>
    <row r="251">
      <c r="A251" s="10"/>
      <c r="B251" s="48"/>
      <c r="C251" s="10"/>
      <c r="E251" s="10"/>
      <c r="G251" s="10"/>
    </row>
    <row r="252">
      <c r="A252" s="10"/>
      <c r="B252" s="48"/>
      <c r="C252" s="10"/>
      <c r="E252" s="10"/>
      <c r="G252" s="10"/>
    </row>
    <row r="253">
      <c r="A253" s="10"/>
      <c r="B253" s="48"/>
      <c r="C253" s="10"/>
      <c r="E253" s="10"/>
      <c r="G253" s="10"/>
    </row>
    <row r="254">
      <c r="A254" s="10"/>
      <c r="B254" s="48"/>
      <c r="C254" s="10"/>
      <c r="E254" s="10"/>
      <c r="G254" s="10"/>
    </row>
    <row r="255">
      <c r="A255" s="10"/>
      <c r="B255" s="48"/>
      <c r="C255" s="10"/>
      <c r="E255" s="10"/>
      <c r="G255" s="10"/>
    </row>
    <row r="256">
      <c r="A256" s="10"/>
      <c r="B256" s="48"/>
      <c r="C256" s="10"/>
      <c r="E256" s="10"/>
      <c r="G256" s="10"/>
    </row>
    <row r="257">
      <c r="A257" s="10"/>
      <c r="B257" s="48"/>
      <c r="C257" s="10"/>
      <c r="E257" s="10"/>
      <c r="G257" s="10"/>
    </row>
    <row r="258">
      <c r="A258" s="10"/>
      <c r="B258" s="48"/>
      <c r="C258" s="10"/>
      <c r="E258" s="10"/>
      <c r="G258" s="10"/>
    </row>
    <row r="259">
      <c r="A259" s="10"/>
      <c r="B259" s="48"/>
      <c r="C259" s="10"/>
      <c r="E259" s="10"/>
      <c r="G259" s="10"/>
    </row>
    <row r="260">
      <c r="A260" s="10"/>
      <c r="B260" s="48"/>
      <c r="C260" s="10"/>
      <c r="E260" s="10"/>
      <c r="G260" s="10"/>
    </row>
    <row r="261">
      <c r="A261" s="10"/>
      <c r="B261" s="48"/>
      <c r="C261" s="10"/>
      <c r="E261" s="10"/>
      <c r="G261" s="10"/>
    </row>
    <row r="262">
      <c r="A262" s="10"/>
      <c r="B262" s="48"/>
      <c r="C262" s="10"/>
      <c r="E262" s="10"/>
      <c r="G262" s="10"/>
    </row>
    <row r="263">
      <c r="A263" s="10"/>
      <c r="B263" s="48"/>
      <c r="C263" s="10"/>
      <c r="E263" s="10"/>
      <c r="G263" s="10"/>
    </row>
    <row r="264">
      <c r="A264" s="10"/>
      <c r="B264" s="48"/>
      <c r="C264" s="10"/>
      <c r="E264" s="10"/>
      <c r="G264" s="10"/>
    </row>
    <row r="265">
      <c r="A265" s="10"/>
      <c r="B265" s="48"/>
      <c r="C265" s="10"/>
      <c r="E265" s="10"/>
      <c r="G265" s="10"/>
    </row>
    <row r="266">
      <c r="A266" s="10"/>
      <c r="B266" s="48"/>
      <c r="C266" s="10"/>
      <c r="E266" s="10"/>
      <c r="G266" s="10"/>
    </row>
    <row r="267">
      <c r="A267" s="10"/>
      <c r="B267" s="48"/>
      <c r="C267" s="10"/>
      <c r="E267" s="10"/>
      <c r="G267" s="10"/>
    </row>
    <row r="268">
      <c r="A268" s="10"/>
      <c r="B268" s="48"/>
      <c r="C268" s="10"/>
      <c r="E268" s="10"/>
      <c r="G268" s="10"/>
    </row>
    <row r="269">
      <c r="A269" s="10"/>
      <c r="B269" s="48"/>
      <c r="C269" s="10"/>
      <c r="E269" s="10"/>
      <c r="G269" s="10"/>
    </row>
    <row r="270">
      <c r="A270" s="10"/>
      <c r="B270" s="48"/>
      <c r="C270" s="10"/>
      <c r="E270" s="10"/>
      <c r="G270" s="10"/>
    </row>
    <row r="271">
      <c r="A271" s="10"/>
      <c r="B271" s="48"/>
      <c r="C271" s="10"/>
      <c r="E271" s="10"/>
      <c r="G271" s="10"/>
    </row>
    <row r="272">
      <c r="A272" s="10"/>
      <c r="B272" s="48"/>
      <c r="C272" s="10"/>
      <c r="E272" s="10"/>
      <c r="G272" s="10"/>
    </row>
    <row r="273">
      <c r="A273" s="10"/>
      <c r="B273" s="48"/>
      <c r="C273" s="10"/>
      <c r="E273" s="10"/>
      <c r="G273" s="10"/>
    </row>
    <row r="274">
      <c r="A274" s="10"/>
      <c r="B274" s="48"/>
      <c r="C274" s="10"/>
      <c r="E274" s="10"/>
      <c r="G274" s="10"/>
    </row>
    <row r="275">
      <c r="A275" s="10"/>
      <c r="B275" s="48"/>
      <c r="C275" s="10"/>
      <c r="E275" s="10"/>
      <c r="G275" s="10"/>
    </row>
    <row r="276">
      <c r="A276" s="10"/>
      <c r="B276" s="48"/>
      <c r="C276" s="10"/>
      <c r="E276" s="10"/>
      <c r="G276" s="10"/>
    </row>
    <row r="277">
      <c r="A277" s="10"/>
      <c r="B277" s="48"/>
      <c r="C277" s="10"/>
      <c r="E277" s="10"/>
      <c r="G277" s="10"/>
    </row>
    <row r="278">
      <c r="A278" s="10"/>
      <c r="B278" s="48"/>
      <c r="C278" s="10"/>
      <c r="E278" s="10"/>
      <c r="G278" s="10"/>
    </row>
    <row r="279">
      <c r="A279" s="10"/>
      <c r="B279" s="48"/>
      <c r="C279" s="10"/>
      <c r="E279" s="10"/>
      <c r="G279" s="10"/>
    </row>
    <row r="280">
      <c r="A280" s="10"/>
      <c r="B280" s="48"/>
      <c r="C280" s="10"/>
      <c r="E280" s="10"/>
      <c r="G280" s="10"/>
    </row>
    <row r="281">
      <c r="A281" s="10"/>
      <c r="B281" s="48"/>
      <c r="C281" s="10"/>
      <c r="E281" s="10"/>
      <c r="G281" s="10"/>
    </row>
    <row r="282">
      <c r="A282" s="10"/>
      <c r="B282" s="48"/>
      <c r="C282" s="10"/>
      <c r="E282" s="10"/>
      <c r="G282" s="10"/>
    </row>
    <row r="283">
      <c r="A283" s="10"/>
      <c r="B283" s="48"/>
      <c r="C283" s="10"/>
      <c r="E283" s="10"/>
      <c r="G283" s="10"/>
    </row>
    <row r="284">
      <c r="A284" s="10"/>
      <c r="B284" s="48"/>
      <c r="C284" s="10"/>
      <c r="E284" s="10"/>
      <c r="G284" s="10"/>
    </row>
    <row r="285">
      <c r="A285" s="10"/>
      <c r="B285" s="48"/>
      <c r="C285" s="10"/>
      <c r="E285" s="10"/>
      <c r="G285" s="10"/>
    </row>
    <row r="286">
      <c r="A286" s="10"/>
      <c r="B286" s="48"/>
      <c r="C286" s="10"/>
      <c r="E286" s="10"/>
      <c r="G286" s="10"/>
    </row>
    <row r="287">
      <c r="A287" s="10"/>
      <c r="B287" s="48"/>
      <c r="C287" s="10"/>
      <c r="E287" s="10"/>
      <c r="G287" s="10"/>
    </row>
    <row r="288">
      <c r="A288" s="10"/>
      <c r="B288" s="48"/>
      <c r="C288" s="10"/>
      <c r="E288" s="10"/>
      <c r="G288" s="10"/>
    </row>
    <row r="289">
      <c r="A289" s="10"/>
      <c r="B289" s="48"/>
      <c r="C289" s="10"/>
      <c r="E289" s="10"/>
      <c r="G289" s="10"/>
    </row>
    <row r="290">
      <c r="A290" s="10"/>
      <c r="B290" s="48"/>
      <c r="C290" s="10"/>
      <c r="E290" s="10"/>
      <c r="G290" s="10"/>
    </row>
    <row r="291">
      <c r="A291" s="10"/>
      <c r="B291" s="48"/>
      <c r="C291" s="10"/>
      <c r="E291" s="10"/>
      <c r="G291" s="10"/>
    </row>
    <row r="292">
      <c r="A292" s="10"/>
      <c r="B292" s="48"/>
      <c r="C292" s="10"/>
      <c r="E292" s="10"/>
      <c r="G292" s="10"/>
    </row>
    <row r="293">
      <c r="A293" s="10"/>
      <c r="B293" s="48"/>
      <c r="C293" s="10"/>
      <c r="E293" s="10"/>
      <c r="G293" s="10"/>
    </row>
    <row r="294">
      <c r="A294" s="10"/>
      <c r="B294" s="48"/>
      <c r="C294" s="10"/>
      <c r="E294" s="10"/>
      <c r="G294" s="10"/>
    </row>
    <row r="295">
      <c r="A295" s="10"/>
      <c r="B295" s="48"/>
      <c r="C295" s="10"/>
      <c r="E295" s="10"/>
      <c r="G295" s="10"/>
    </row>
    <row r="296">
      <c r="A296" s="10"/>
      <c r="B296" s="48"/>
      <c r="C296" s="10"/>
      <c r="E296" s="10"/>
      <c r="G296" s="10"/>
    </row>
    <row r="297">
      <c r="A297" s="10"/>
      <c r="B297" s="48"/>
      <c r="C297" s="10"/>
      <c r="E297" s="10"/>
      <c r="G297" s="10"/>
    </row>
    <row r="298">
      <c r="A298" s="10"/>
      <c r="B298" s="48"/>
      <c r="C298" s="10"/>
      <c r="E298" s="10"/>
      <c r="G298" s="10"/>
    </row>
    <row r="299">
      <c r="A299" s="10"/>
      <c r="B299" s="48"/>
      <c r="C299" s="10"/>
      <c r="E299" s="10"/>
      <c r="G299" s="10"/>
    </row>
    <row r="300">
      <c r="A300" s="10"/>
      <c r="B300" s="48"/>
      <c r="C300" s="10"/>
      <c r="E300" s="10"/>
      <c r="G300" s="10"/>
    </row>
    <row r="301">
      <c r="A301" s="10"/>
      <c r="B301" s="48"/>
      <c r="C301" s="10"/>
      <c r="E301" s="10"/>
      <c r="G301" s="10"/>
    </row>
    <row r="302">
      <c r="A302" s="10"/>
      <c r="B302" s="48"/>
      <c r="C302" s="10"/>
      <c r="E302" s="10"/>
      <c r="G302" s="10"/>
    </row>
    <row r="303">
      <c r="A303" s="10"/>
      <c r="B303" s="48"/>
      <c r="C303" s="10"/>
      <c r="E303" s="10"/>
      <c r="G303" s="10"/>
    </row>
    <row r="304">
      <c r="A304" s="10"/>
      <c r="B304" s="48"/>
      <c r="C304" s="10"/>
      <c r="E304" s="10"/>
      <c r="G304" s="10"/>
    </row>
    <row r="305">
      <c r="A305" s="10"/>
      <c r="B305" s="48"/>
      <c r="C305" s="10"/>
      <c r="E305" s="10"/>
      <c r="G305" s="10"/>
    </row>
    <row r="306">
      <c r="A306" s="10"/>
      <c r="B306" s="48"/>
      <c r="C306" s="10"/>
      <c r="E306" s="10"/>
      <c r="G306" s="10"/>
    </row>
    <row r="307">
      <c r="A307" s="10"/>
      <c r="B307" s="48"/>
      <c r="C307" s="10"/>
      <c r="E307" s="10"/>
      <c r="G307" s="10"/>
    </row>
    <row r="308">
      <c r="A308" s="10"/>
      <c r="B308" s="48"/>
      <c r="C308" s="10"/>
      <c r="E308" s="10"/>
      <c r="G308" s="10"/>
    </row>
    <row r="309">
      <c r="A309" s="10"/>
      <c r="B309" s="48"/>
      <c r="C309" s="10"/>
      <c r="E309" s="10"/>
      <c r="G309" s="10"/>
    </row>
    <row r="310">
      <c r="A310" s="10"/>
      <c r="B310" s="48"/>
      <c r="C310" s="10"/>
      <c r="E310" s="10"/>
      <c r="G310" s="10"/>
    </row>
    <row r="311">
      <c r="A311" s="10"/>
      <c r="B311" s="48"/>
      <c r="C311" s="10"/>
      <c r="E311" s="10"/>
      <c r="G311" s="10"/>
    </row>
    <row r="312">
      <c r="A312" s="10"/>
      <c r="B312" s="48"/>
      <c r="C312" s="10"/>
      <c r="E312" s="10"/>
      <c r="G312" s="10"/>
    </row>
    <row r="313">
      <c r="A313" s="10"/>
      <c r="B313" s="48"/>
      <c r="C313" s="10"/>
      <c r="E313" s="10"/>
      <c r="G313" s="10"/>
    </row>
    <row r="314">
      <c r="A314" s="10"/>
      <c r="B314" s="48"/>
      <c r="C314" s="10"/>
      <c r="E314" s="10"/>
      <c r="G314" s="10"/>
    </row>
    <row r="315">
      <c r="A315" s="10"/>
      <c r="B315" s="48"/>
      <c r="C315" s="10"/>
      <c r="E315" s="10"/>
      <c r="G315" s="10"/>
    </row>
    <row r="316">
      <c r="A316" s="10"/>
      <c r="B316" s="48"/>
      <c r="C316" s="10"/>
      <c r="E316" s="10"/>
      <c r="G316" s="10"/>
    </row>
    <row r="317">
      <c r="A317" s="10"/>
      <c r="B317" s="48"/>
      <c r="C317" s="10"/>
      <c r="E317" s="10"/>
      <c r="G317" s="10"/>
    </row>
    <row r="318">
      <c r="A318" s="10"/>
      <c r="B318" s="48"/>
      <c r="C318" s="10"/>
      <c r="E318" s="10"/>
      <c r="G318" s="10"/>
    </row>
    <row r="319">
      <c r="A319" s="10"/>
      <c r="B319" s="48"/>
      <c r="C319" s="10"/>
      <c r="E319" s="10"/>
      <c r="G319" s="10"/>
    </row>
    <row r="320">
      <c r="A320" s="10"/>
      <c r="B320" s="48"/>
      <c r="C320" s="10"/>
      <c r="E320" s="10"/>
      <c r="G320" s="10"/>
    </row>
    <row r="321">
      <c r="A321" s="10"/>
      <c r="B321" s="48"/>
      <c r="C321" s="10"/>
      <c r="E321" s="10"/>
      <c r="G321" s="10"/>
    </row>
    <row r="322">
      <c r="A322" s="10"/>
      <c r="B322" s="48"/>
      <c r="C322" s="10"/>
      <c r="E322" s="10"/>
      <c r="G322" s="10"/>
    </row>
    <row r="323">
      <c r="A323" s="10"/>
      <c r="B323" s="48"/>
      <c r="C323" s="10"/>
      <c r="E323" s="10"/>
      <c r="G323" s="10"/>
    </row>
    <row r="324">
      <c r="A324" s="10"/>
      <c r="B324" s="48"/>
      <c r="C324" s="10"/>
      <c r="E324" s="10"/>
      <c r="G324" s="10"/>
    </row>
    <row r="325">
      <c r="A325" s="10"/>
      <c r="B325" s="48"/>
      <c r="C325" s="10"/>
      <c r="E325" s="10"/>
      <c r="G325" s="10"/>
    </row>
    <row r="326">
      <c r="A326" s="10"/>
      <c r="B326" s="48"/>
      <c r="C326" s="10"/>
      <c r="E326" s="10"/>
      <c r="G326" s="10"/>
    </row>
    <row r="327">
      <c r="A327" s="10"/>
      <c r="B327" s="48"/>
      <c r="C327" s="10"/>
      <c r="E327" s="10"/>
      <c r="G327" s="10"/>
    </row>
    <row r="328">
      <c r="A328" s="10"/>
      <c r="B328" s="48"/>
      <c r="C328" s="10"/>
      <c r="E328" s="10"/>
      <c r="G328" s="10"/>
    </row>
    <row r="329">
      <c r="A329" s="10"/>
      <c r="B329" s="48"/>
      <c r="C329" s="10"/>
      <c r="E329" s="10"/>
      <c r="G329" s="10"/>
    </row>
    <row r="330">
      <c r="A330" s="10"/>
      <c r="B330" s="48"/>
      <c r="C330" s="10"/>
      <c r="E330" s="10"/>
      <c r="G330" s="10"/>
    </row>
    <row r="331">
      <c r="A331" s="10"/>
      <c r="B331" s="48"/>
      <c r="C331" s="10"/>
      <c r="E331" s="10"/>
      <c r="G331" s="10"/>
    </row>
    <row r="332">
      <c r="A332" s="10"/>
      <c r="B332" s="48"/>
      <c r="C332" s="10"/>
      <c r="E332" s="10"/>
      <c r="G332" s="10"/>
    </row>
    <row r="333">
      <c r="A333" s="10"/>
      <c r="B333" s="48"/>
      <c r="C333" s="10"/>
      <c r="E333" s="10"/>
      <c r="G333" s="10"/>
    </row>
    <row r="334">
      <c r="A334" s="10"/>
      <c r="B334" s="48"/>
      <c r="C334" s="10"/>
      <c r="E334" s="10"/>
      <c r="G334" s="10"/>
    </row>
    <row r="335">
      <c r="A335" s="10"/>
      <c r="B335" s="48"/>
      <c r="C335" s="10"/>
      <c r="E335" s="10"/>
      <c r="G335" s="10"/>
    </row>
    <row r="336">
      <c r="A336" s="10"/>
      <c r="B336" s="48"/>
      <c r="C336" s="10"/>
      <c r="E336" s="10"/>
      <c r="G336" s="10"/>
    </row>
    <row r="337">
      <c r="A337" s="10"/>
      <c r="B337" s="48"/>
      <c r="C337" s="10"/>
      <c r="E337" s="10"/>
      <c r="G337" s="10"/>
    </row>
    <row r="338">
      <c r="A338" s="10"/>
      <c r="B338" s="48"/>
      <c r="C338" s="10"/>
      <c r="E338" s="10"/>
      <c r="G338" s="10"/>
    </row>
    <row r="339">
      <c r="A339" s="10"/>
      <c r="B339" s="48"/>
      <c r="C339" s="10"/>
      <c r="E339" s="10"/>
      <c r="G339" s="10"/>
    </row>
    <row r="340">
      <c r="A340" s="10"/>
      <c r="B340" s="48"/>
      <c r="C340" s="10"/>
      <c r="E340" s="10"/>
      <c r="G340" s="10"/>
    </row>
    <row r="341">
      <c r="A341" s="10"/>
      <c r="B341" s="48"/>
      <c r="C341" s="10"/>
      <c r="E341" s="10"/>
      <c r="G341" s="10"/>
    </row>
    <row r="342">
      <c r="A342" s="10"/>
      <c r="B342" s="48"/>
      <c r="C342" s="10"/>
      <c r="E342" s="10"/>
      <c r="G342" s="10"/>
    </row>
    <row r="343">
      <c r="A343" s="10"/>
      <c r="B343" s="48"/>
      <c r="C343" s="10"/>
      <c r="E343" s="10"/>
      <c r="G343" s="10"/>
    </row>
    <row r="344">
      <c r="A344" s="10"/>
      <c r="B344" s="48"/>
      <c r="C344" s="10"/>
      <c r="E344" s="10"/>
      <c r="G344" s="10"/>
    </row>
    <row r="345">
      <c r="A345" s="10"/>
      <c r="B345" s="48"/>
      <c r="C345" s="10"/>
      <c r="E345" s="10"/>
      <c r="G345" s="10"/>
    </row>
    <row r="346">
      <c r="A346" s="10"/>
      <c r="B346" s="48"/>
      <c r="C346" s="10"/>
      <c r="E346" s="10"/>
      <c r="G346" s="10"/>
    </row>
    <row r="347">
      <c r="A347" s="10"/>
      <c r="B347" s="48"/>
      <c r="C347" s="10"/>
      <c r="E347" s="10"/>
      <c r="G347" s="10"/>
    </row>
    <row r="348">
      <c r="A348" s="10"/>
      <c r="B348" s="48"/>
      <c r="C348" s="10"/>
      <c r="E348" s="10"/>
      <c r="G348" s="10"/>
    </row>
    <row r="349">
      <c r="A349" s="10"/>
      <c r="B349" s="48"/>
      <c r="C349" s="10"/>
      <c r="E349" s="10"/>
      <c r="G349" s="10"/>
    </row>
    <row r="350">
      <c r="A350" s="10"/>
      <c r="B350" s="48"/>
      <c r="C350" s="10"/>
      <c r="E350" s="10"/>
      <c r="G350" s="10"/>
    </row>
    <row r="351">
      <c r="A351" s="10"/>
      <c r="B351" s="48"/>
      <c r="C351" s="10"/>
      <c r="E351" s="10"/>
      <c r="G351" s="10"/>
    </row>
    <row r="352">
      <c r="A352" s="10"/>
      <c r="B352" s="48"/>
      <c r="C352" s="10"/>
      <c r="E352" s="10"/>
      <c r="G352" s="10"/>
    </row>
    <row r="353">
      <c r="A353" s="10"/>
      <c r="B353" s="48"/>
      <c r="C353" s="10"/>
      <c r="E353" s="10"/>
      <c r="G353" s="10"/>
    </row>
    <row r="354">
      <c r="A354" s="10"/>
      <c r="B354" s="48"/>
      <c r="C354" s="10"/>
      <c r="E354" s="10"/>
      <c r="G354" s="10"/>
    </row>
    <row r="355">
      <c r="A355" s="10"/>
      <c r="B355" s="48"/>
      <c r="C355" s="10"/>
      <c r="E355" s="10"/>
      <c r="G355" s="10"/>
    </row>
    <row r="356">
      <c r="A356" s="10"/>
      <c r="B356" s="48"/>
      <c r="C356" s="10"/>
      <c r="E356" s="10"/>
      <c r="G356" s="10"/>
    </row>
    <row r="357">
      <c r="A357" s="10"/>
      <c r="B357" s="48"/>
      <c r="C357" s="10"/>
      <c r="E357" s="10"/>
      <c r="G357" s="10"/>
    </row>
    <row r="358">
      <c r="A358" s="10"/>
      <c r="B358" s="48"/>
      <c r="C358" s="10"/>
      <c r="E358" s="10"/>
      <c r="G358" s="10"/>
    </row>
    <row r="359">
      <c r="A359" s="10"/>
      <c r="B359" s="48"/>
      <c r="C359" s="10"/>
      <c r="E359" s="10"/>
      <c r="G359" s="10"/>
    </row>
    <row r="360">
      <c r="A360" s="10"/>
      <c r="B360" s="48"/>
      <c r="C360" s="10"/>
      <c r="E360" s="10"/>
      <c r="G360" s="10"/>
    </row>
    <row r="361">
      <c r="A361" s="10"/>
      <c r="B361" s="48"/>
      <c r="C361" s="10"/>
      <c r="E361" s="10"/>
      <c r="G361" s="10"/>
    </row>
    <row r="362">
      <c r="A362" s="10"/>
      <c r="B362" s="48"/>
      <c r="C362" s="10"/>
      <c r="E362" s="10"/>
      <c r="G362" s="10"/>
    </row>
    <row r="363">
      <c r="A363" s="10"/>
      <c r="B363" s="48"/>
      <c r="C363" s="10"/>
      <c r="E363" s="10"/>
      <c r="G363" s="10"/>
    </row>
    <row r="364">
      <c r="A364" s="10"/>
      <c r="B364" s="48"/>
      <c r="C364" s="10"/>
      <c r="E364" s="10"/>
      <c r="G364" s="10"/>
    </row>
    <row r="365">
      <c r="A365" s="10"/>
      <c r="B365" s="48"/>
      <c r="C365" s="10"/>
      <c r="E365" s="10"/>
      <c r="G365" s="10"/>
    </row>
    <row r="366">
      <c r="A366" s="10"/>
      <c r="B366" s="48"/>
      <c r="C366" s="10"/>
      <c r="E366" s="10"/>
      <c r="G366" s="10"/>
    </row>
    <row r="367">
      <c r="A367" s="10"/>
      <c r="B367" s="48"/>
      <c r="C367" s="10"/>
      <c r="E367" s="10"/>
      <c r="G367" s="10"/>
    </row>
    <row r="368">
      <c r="A368" s="10"/>
      <c r="B368" s="48"/>
      <c r="C368" s="10"/>
      <c r="E368" s="10"/>
      <c r="G368" s="10"/>
    </row>
    <row r="369">
      <c r="A369" s="10"/>
      <c r="B369" s="48"/>
      <c r="C369" s="10"/>
      <c r="E369" s="10"/>
      <c r="G369" s="10"/>
    </row>
    <row r="370">
      <c r="A370" s="10"/>
      <c r="B370" s="48"/>
      <c r="C370" s="10"/>
      <c r="E370" s="10"/>
      <c r="G370" s="10"/>
    </row>
    <row r="371">
      <c r="A371" s="10"/>
      <c r="B371" s="48"/>
      <c r="C371" s="10"/>
      <c r="E371" s="10"/>
      <c r="G371" s="10"/>
    </row>
    <row r="372">
      <c r="A372" s="10"/>
      <c r="B372" s="48"/>
      <c r="C372" s="10"/>
      <c r="E372" s="10"/>
      <c r="G372" s="10"/>
    </row>
    <row r="373">
      <c r="A373" s="10"/>
      <c r="B373" s="48"/>
      <c r="C373" s="10"/>
      <c r="E373" s="10"/>
      <c r="G373" s="10"/>
    </row>
    <row r="374">
      <c r="A374" s="10"/>
      <c r="B374" s="48"/>
      <c r="C374" s="10"/>
      <c r="E374" s="10"/>
      <c r="G374" s="10"/>
    </row>
    <row r="375">
      <c r="A375" s="10"/>
      <c r="B375" s="48"/>
      <c r="C375" s="10"/>
      <c r="E375" s="10"/>
      <c r="G375" s="10"/>
    </row>
    <row r="376">
      <c r="A376" s="10"/>
      <c r="B376" s="48"/>
      <c r="C376" s="10"/>
      <c r="E376" s="10"/>
      <c r="G376" s="10"/>
    </row>
    <row r="377">
      <c r="A377" s="10"/>
      <c r="B377" s="48"/>
      <c r="C377" s="10"/>
      <c r="E377" s="10"/>
      <c r="G377" s="10"/>
    </row>
    <row r="378">
      <c r="A378" s="10"/>
      <c r="B378" s="48"/>
      <c r="C378" s="10"/>
      <c r="E378" s="10"/>
      <c r="G378" s="10"/>
    </row>
    <row r="379">
      <c r="A379" s="10"/>
      <c r="B379" s="48"/>
      <c r="C379" s="10"/>
      <c r="E379" s="10"/>
      <c r="G379" s="10"/>
    </row>
    <row r="380">
      <c r="A380" s="10"/>
      <c r="B380" s="48"/>
      <c r="C380" s="10"/>
      <c r="E380" s="10"/>
      <c r="G380" s="10"/>
    </row>
    <row r="381">
      <c r="A381" s="10"/>
      <c r="B381" s="48"/>
      <c r="C381" s="10"/>
      <c r="E381" s="10"/>
      <c r="G381" s="10"/>
    </row>
    <row r="382">
      <c r="A382" s="10"/>
      <c r="B382" s="48"/>
      <c r="C382" s="10"/>
      <c r="E382" s="10"/>
      <c r="G382" s="10"/>
    </row>
    <row r="383">
      <c r="A383" s="10"/>
      <c r="B383" s="48"/>
      <c r="C383" s="10"/>
      <c r="E383" s="10"/>
      <c r="G383" s="10"/>
    </row>
    <row r="384">
      <c r="A384" s="10"/>
      <c r="B384" s="48"/>
      <c r="C384" s="10"/>
      <c r="E384" s="10"/>
      <c r="G384" s="10"/>
    </row>
    <row r="385">
      <c r="A385" s="10"/>
      <c r="B385" s="48"/>
      <c r="C385" s="10"/>
      <c r="E385" s="10"/>
      <c r="G385" s="10"/>
    </row>
    <row r="386">
      <c r="A386" s="10"/>
      <c r="B386" s="48"/>
      <c r="C386" s="10"/>
      <c r="E386" s="10"/>
      <c r="G386" s="10"/>
    </row>
    <row r="387">
      <c r="A387" s="10"/>
      <c r="B387" s="48"/>
      <c r="C387" s="10"/>
      <c r="E387" s="10"/>
      <c r="G387" s="10"/>
    </row>
    <row r="388">
      <c r="A388" s="10"/>
      <c r="B388" s="48"/>
      <c r="C388" s="10"/>
      <c r="E388" s="10"/>
      <c r="G388" s="10"/>
    </row>
    <row r="389">
      <c r="A389" s="10"/>
      <c r="B389" s="48"/>
      <c r="C389" s="10"/>
      <c r="E389" s="10"/>
      <c r="G389" s="10"/>
    </row>
    <row r="390">
      <c r="A390" s="10"/>
      <c r="B390" s="48"/>
      <c r="C390" s="10"/>
      <c r="E390" s="10"/>
      <c r="G390" s="10"/>
    </row>
    <row r="391">
      <c r="A391" s="10"/>
      <c r="B391" s="48"/>
      <c r="C391" s="10"/>
      <c r="E391" s="10"/>
      <c r="G391" s="10"/>
    </row>
    <row r="392">
      <c r="A392" s="10"/>
      <c r="B392" s="48"/>
      <c r="C392" s="10"/>
      <c r="E392" s="10"/>
      <c r="G392" s="10"/>
    </row>
    <row r="393">
      <c r="A393" s="10"/>
      <c r="B393" s="48"/>
      <c r="C393" s="10"/>
      <c r="E393" s="10"/>
      <c r="G393" s="10"/>
    </row>
    <row r="394">
      <c r="A394" s="10"/>
      <c r="B394" s="48"/>
      <c r="C394" s="10"/>
      <c r="E394" s="10"/>
      <c r="G394" s="10"/>
    </row>
    <row r="395">
      <c r="A395" s="10"/>
      <c r="B395" s="48"/>
      <c r="C395" s="10"/>
      <c r="E395" s="10"/>
      <c r="G395" s="10"/>
    </row>
    <row r="396">
      <c r="A396" s="10"/>
      <c r="B396" s="48"/>
      <c r="C396" s="10"/>
      <c r="E396" s="10"/>
      <c r="G396" s="10"/>
    </row>
    <row r="397">
      <c r="A397" s="10"/>
      <c r="B397" s="48"/>
      <c r="C397" s="10"/>
      <c r="E397" s="10"/>
      <c r="G397" s="10"/>
    </row>
    <row r="398">
      <c r="A398" s="10"/>
      <c r="B398" s="48"/>
      <c r="C398" s="10"/>
      <c r="E398" s="10"/>
      <c r="G398" s="10"/>
    </row>
    <row r="399">
      <c r="A399" s="10"/>
      <c r="B399" s="48"/>
      <c r="C399" s="10"/>
      <c r="E399" s="10"/>
      <c r="G399" s="10"/>
    </row>
    <row r="400">
      <c r="A400" s="10"/>
      <c r="B400" s="48"/>
      <c r="C400" s="10"/>
      <c r="E400" s="10"/>
      <c r="G400" s="10"/>
    </row>
    <row r="401">
      <c r="A401" s="10"/>
      <c r="B401" s="48"/>
      <c r="C401" s="10"/>
      <c r="E401" s="10"/>
      <c r="G401" s="10"/>
    </row>
    <row r="402">
      <c r="A402" s="10"/>
      <c r="B402" s="48"/>
      <c r="C402" s="10"/>
      <c r="E402" s="10"/>
      <c r="G402" s="10"/>
    </row>
    <row r="403">
      <c r="A403" s="10"/>
      <c r="B403" s="48"/>
      <c r="C403" s="10"/>
      <c r="E403" s="10"/>
      <c r="G403" s="10"/>
    </row>
    <row r="404">
      <c r="A404" s="10"/>
      <c r="B404" s="48"/>
      <c r="C404" s="10"/>
      <c r="E404" s="10"/>
      <c r="G404" s="10"/>
    </row>
    <row r="405">
      <c r="A405" s="10"/>
      <c r="B405" s="48"/>
      <c r="C405" s="10"/>
      <c r="E405" s="10"/>
      <c r="G405" s="10"/>
    </row>
    <row r="406">
      <c r="A406" s="10"/>
      <c r="B406" s="48"/>
      <c r="C406" s="10"/>
      <c r="E406" s="10"/>
      <c r="G406" s="10"/>
    </row>
    <row r="407">
      <c r="A407" s="10"/>
      <c r="B407" s="48"/>
      <c r="C407" s="10"/>
      <c r="E407" s="10"/>
      <c r="G407" s="10"/>
    </row>
    <row r="408">
      <c r="A408" s="10"/>
      <c r="B408" s="48"/>
      <c r="C408" s="10"/>
      <c r="E408" s="10"/>
      <c r="G408" s="10"/>
    </row>
    <row r="409">
      <c r="A409" s="10"/>
      <c r="B409" s="48"/>
      <c r="C409" s="10"/>
      <c r="E409" s="10"/>
      <c r="G409" s="10"/>
    </row>
    <row r="410">
      <c r="A410" s="10"/>
      <c r="B410" s="48"/>
      <c r="C410" s="10"/>
      <c r="E410" s="10"/>
      <c r="G410" s="10"/>
    </row>
    <row r="411">
      <c r="A411" s="10"/>
      <c r="B411" s="48"/>
      <c r="C411" s="10"/>
      <c r="E411" s="10"/>
      <c r="G411" s="10"/>
    </row>
    <row r="412">
      <c r="A412" s="10"/>
      <c r="B412" s="48"/>
      <c r="C412" s="10"/>
      <c r="E412" s="10"/>
      <c r="G412" s="10"/>
    </row>
    <row r="413">
      <c r="A413" s="10"/>
      <c r="B413" s="48"/>
      <c r="C413" s="10"/>
      <c r="E413" s="10"/>
      <c r="G413" s="10"/>
    </row>
    <row r="414">
      <c r="A414" s="10"/>
      <c r="B414" s="48"/>
      <c r="C414" s="10"/>
      <c r="E414" s="10"/>
      <c r="G414" s="10"/>
    </row>
    <row r="415">
      <c r="A415" s="10"/>
      <c r="B415" s="48"/>
      <c r="C415" s="10"/>
      <c r="E415" s="10"/>
      <c r="G415" s="10"/>
    </row>
    <row r="416">
      <c r="A416" s="10"/>
      <c r="B416" s="48"/>
      <c r="C416" s="10"/>
      <c r="E416" s="10"/>
      <c r="G416" s="10"/>
    </row>
    <row r="417">
      <c r="A417" s="10"/>
      <c r="B417" s="48"/>
      <c r="C417" s="10"/>
      <c r="E417" s="10"/>
      <c r="G417" s="10"/>
    </row>
    <row r="418">
      <c r="A418" s="10"/>
      <c r="B418" s="48"/>
      <c r="C418" s="10"/>
      <c r="E418" s="10"/>
      <c r="G418" s="10"/>
    </row>
    <row r="419">
      <c r="A419" s="10"/>
      <c r="B419" s="48"/>
      <c r="C419" s="10"/>
      <c r="E419" s="10"/>
      <c r="G419" s="10"/>
    </row>
    <row r="420">
      <c r="A420" s="10"/>
      <c r="B420" s="48"/>
      <c r="C420" s="10"/>
      <c r="E420" s="10"/>
      <c r="G420" s="10"/>
    </row>
    <row r="421">
      <c r="A421" s="10"/>
      <c r="B421" s="48"/>
      <c r="C421" s="10"/>
      <c r="E421" s="10"/>
      <c r="G421" s="10"/>
    </row>
    <row r="422">
      <c r="A422" s="10"/>
      <c r="B422" s="48"/>
      <c r="C422" s="10"/>
      <c r="E422" s="10"/>
      <c r="G422" s="10"/>
    </row>
    <row r="423">
      <c r="A423" s="10"/>
      <c r="B423" s="48"/>
      <c r="C423" s="10"/>
      <c r="E423" s="10"/>
      <c r="G423" s="10"/>
    </row>
    <row r="424">
      <c r="A424" s="10"/>
      <c r="B424" s="48"/>
      <c r="C424" s="10"/>
      <c r="E424" s="10"/>
      <c r="G424" s="10"/>
    </row>
    <row r="425">
      <c r="A425" s="10"/>
      <c r="B425" s="48"/>
      <c r="C425" s="10"/>
      <c r="E425" s="10"/>
      <c r="G425" s="10"/>
    </row>
    <row r="426">
      <c r="A426" s="10"/>
      <c r="B426" s="48"/>
      <c r="C426" s="10"/>
      <c r="E426" s="10"/>
      <c r="G426" s="10"/>
    </row>
    <row r="427">
      <c r="A427" s="10"/>
      <c r="B427" s="48"/>
      <c r="C427" s="10"/>
      <c r="E427" s="10"/>
      <c r="G427" s="10"/>
    </row>
    <row r="428">
      <c r="A428" s="10"/>
      <c r="B428" s="48"/>
      <c r="C428" s="10"/>
      <c r="E428" s="10"/>
      <c r="G428" s="10"/>
    </row>
    <row r="429">
      <c r="A429" s="10"/>
      <c r="B429" s="48"/>
      <c r="C429" s="10"/>
      <c r="E429" s="10"/>
      <c r="G429" s="10"/>
    </row>
    <row r="430">
      <c r="A430" s="10"/>
      <c r="B430" s="48"/>
      <c r="C430" s="10"/>
      <c r="E430" s="10"/>
      <c r="G430" s="10"/>
    </row>
    <row r="431">
      <c r="A431" s="10"/>
      <c r="B431" s="48"/>
      <c r="C431" s="10"/>
      <c r="E431" s="10"/>
      <c r="G431" s="10"/>
    </row>
    <row r="432">
      <c r="A432" s="10"/>
      <c r="B432" s="48"/>
      <c r="C432" s="10"/>
      <c r="E432" s="10"/>
      <c r="G432" s="10"/>
    </row>
    <row r="433">
      <c r="A433" s="10"/>
      <c r="B433" s="48"/>
      <c r="C433" s="10"/>
      <c r="E433" s="10"/>
      <c r="G433" s="10"/>
    </row>
    <row r="434">
      <c r="A434" s="10"/>
      <c r="B434" s="48"/>
      <c r="C434" s="10"/>
      <c r="E434" s="10"/>
      <c r="G434" s="10"/>
    </row>
    <row r="435">
      <c r="A435" s="10"/>
      <c r="B435" s="48"/>
      <c r="C435" s="10"/>
      <c r="E435" s="10"/>
      <c r="G435" s="10"/>
    </row>
    <row r="436">
      <c r="A436" s="10"/>
      <c r="B436" s="48"/>
      <c r="C436" s="10"/>
      <c r="E436" s="10"/>
      <c r="G436" s="10"/>
    </row>
    <row r="437">
      <c r="A437" s="10"/>
      <c r="B437" s="48"/>
      <c r="C437" s="10"/>
      <c r="E437" s="10"/>
      <c r="G437" s="10"/>
    </row>
    <row r="438">
      <c r="A438" s="10"/>
      <c r="B438" s="48"/>
      <c r="C438" s="10"/>
      <c r="E438" s="10"/>
      <c r="G438" s="10"/>
    </row>
    <row r="439">
      <c r="A439" s="10"/>
      <c r="B439" s="48"/>
      <c r="C439" s="10"/>
      <c r="E439" s="10"/>
      <c r="G439" s="10"/>
    </row>
    <row r="440">
      <c r="A440" s="10"/>
      <c r="B440" s="48"/>
      <c r="C440" s="10"/>
      <c r="E440" s="10"/>
      <c r="G440" s="10"/>
    </row>
    <row r="441">
      <c r="A441" s="10"/>
      <c r="B441" s="48"/>
      <c r="C441" s="10"/>
      <c r="E441" s="10"/>
      <c r="G441" s="10"/>
    </row>
    <row r="442">
      <c r="A442" s="10"/>
      <c r="B442" s="48"/>
      <c r="C442" s="10"/>
      <c r="E442" s="10"/>
      <c r="G442" s="10"/>
    </row>
    <row r="443">
      <c r="A443" s="10"/>
      <c r="B443" s="48"/>
      <c r="C443" s="10"/>
      <c r="E443" s="10"/>
      <c r="G443" s="10"/>
    </row>
    <row r="444">
      <c r="A444" s="10"/>
      <c r="B444" s="48"/>
      <c r="C444" s="10"/>
      <c r="E444" s="10"/>
      <c r="G444" s="10"/>
    </row>
    <row r="445">
      <c r="A445" s="10"/>
      <c r="B445" s="48"/>
      <c r="C445" s="10"/>
      <c r="E445" s="10"/>
      <c r="G445" s="10"/>
    </row>
    <row r="446">
      <c r="A446" s="10"/>
      <c r="B446" s="48"/>
      <c r="C446" s="10"/>
      <c r="E446" s="10"/>
      <c r="G446" s="10"/>
    </row>
    <row r="447">
      <c r="A447" s="10"/>
      <c r="B447" s="48"/>
      <c r="C447" s="10"/>
      <c r="E447" s="10"/>
      <c r="G447" s="10"/>
    </row>
    <row r="448">
      <c r="A448" s="10"/>
      <c r="B448" s="48"/>
      <c r="C448" s="10"/>
      <c r="E448" s="10"/>
      <c r="G448" s="10"/>
    </row>
    <row r="449">
      <c r="A449" s="10"/>
      <c r="B449" s="48"/>
      <c r="C449" s="10"/>
      <c r="E449" s="10"/>
      <c r="G449" s="10"/>
    </row>
    <row r="450">
      <c r="A450" s="10"/>
      <c r="B450" s="48"/>
      <c r="C450" s="10"/>
      <c r="E450" s="10"/>
      <c r="G450" s="10"/>
    </row>
    <row r="451">
      <c r="A451" s="10"/>
      <c r="B451" s="48"/>
      <c r="C451" s="10"/>
      <c r="E451" s="10"/>
      <c r="G451" s="10"/>
    </row>
    <row r="452">
      <c r="A452" s="10"/>
      <c r="B452" s="48"/>
      <c r="C452" s="10"/>
      <c r="E452" s="10"/>
      <c r="G452" s="10"/>
    </row>
    <row r="453">
      <c r="A453" s="10"/>
      <c r="B453" s="48"/>
      <c r="C453" s="10"/>
      <c r="E453" s="10"/>
      <c r="G453" s="10"/>
    </row>
    <row r="454">
      <c r="A454" s="10"/>
      <c r="B454" s="48"/>
      <c r="C454" s="10"/>
      <c r="E454" s="10"/>
      <c r="G454" s="10"/>
    </row>
    <row r="455">
      <c r="A455" s="10"/>
      <c r="B455" s="48"/>
      <c r="C455" s="10"/>
      <c r="E455" s="10"/>
      <c r="G455" s="10"/>
    </row>
    <row r="456">
      <c r="A456" s="10"/>
      <c r="B456" s="48"/>
      <c r="C456" s="10"/>
      <c r="E456" s="10"/>
      <c r="G456" s="10"/>
    </row>
    <row r="457">
      <c r="A457" s="10"/>
      <c r="B457" s="48"/>
      <c r="C457" s="10"/>
      <c r="E457" s="10"/>
      <c r="G457" s="10"/>
    </row>
    <row r="458">
      <c r="A458" s="10"/>
      <c r="B458" s="48"/>
      <c r="C458" s="10"/>
      <c r="E458" s="10"/>
      <c r="G458" s="10"/>
    </row>
    <row r="459">
      <c r="A459" s="10"/>
      <c r="B459" s="48"/>
      <c r="C459" s="10"/>
      <c r="E459" s="10"/>
      <c r="G459" s="10"/>
    </row>
    <row r="460">
      <c r="A460" s="10"/>
      <c r="B460" s="48"/>
      <c r="C460" s="10"/>
      <c r="E460" s="10"/>
      <c r="G460" s="10"/>
    </row>
    <row r="461">
      <c r="A461" s="10"/>
      <c r="B461" s="48"/>
      <c r="C461" s="10"/>
      <c r="E461" s="10"/>
      <c r="G461" s="10"/>
    </row>
    <row r="462">
      <c r="A462" s="10"/>
      <c r="B462" s="48"/>
      <c r="C462" s="10"/>
      <c r="E462" s="10"/>
      <c r="G462" s="10"/>
    </row>
    <row r="463">
      <c r="A463" s="10"/>
      <c r="B463" s="48"/>
      <c r="C463" s="10"/>
      <c r="E463" s="10"/>
      <c r="G463" s="10"/>
    </row>
    <row r="464">
      <c r="A464" s="10"/>
      <c r="B464" s="48"/>
      <c r="C464" s="10"/>
      <c r="E464" s="10"/>
      <c r="G464" s="10"/>
    </row>
    <row r="465">
      <c r="A465" s="10"/>
      <c r="B465" s="48"/>
      <c r="C465" s="10"/>
      <c r="E465" s="10"/>
      <c r="G465" s="10"/>
    </row>
    <row r="466">
      <c r="A466" s="10"/>
      <c r="B466" s="48"/>
      <c r="C466" s="10"/>
      <c r="E466" s="10"/>
      <c r="G466" s="10"/>
    </row>
    <row r="467">
      <c r="A467" s="10"/>
      <c r="B467" s="48"/>
      <c r="C467" s="10"/>
      <c r="E467" s="10"/>
      <c r="G467" s="10"/>
    </row>
    <row r="468">
      <c r="A468" s="10"/>
      <c r="B468" s="48"/>
      <c r="C468" s="10"/>
      <c r="E468" s="10"/>
      <c r="G468" s="10"/>
    </row>
    <row r="469">
      <c r="A469" s="10"/>
      <c r="B469" s="48"/>
      <c r="C469" s="10"/>
      <c r="E469" s="10"/>
      <c r="G469" s="10"/>
    </row>
    <row r="470">
      <c r="A470" s="10"/>
      <c r="B470" s="48"/>
      <c r="C470" s="10"/>
      <c r="E470" s="10"/>
      <c r="G470" s="10"/>
    </row>
    <row r="471">
      <c r="A471" s="10"/>
      <c r="B471" s="48"/>
      <c r="C471" s="10"/>
      <c r="E471" s="10"/>
      <c r="G471" s="10"/>
    </row>
    <row r="472">
      <c r="A472" s="10"/>
      <c r="B472" s="48"/>
      <c r="C472" s="10"/>
      <c r="E472" s="10"/>
      <c r="G472" s="10"/>
    </row>
    <row r="473">
      <c r="A473" s="10"/>
      <c r="B473" s="48"/>
      <c r="C473" s="10"/>
      <c r="E473" s="10"/>
      <c r="G473" s="10"/>
    </row>
    <row r="474">
      <c r="A474" s="10"/>
      <c r="B474" s="48"/>
      <c r="C474" s="10"/>
      <c r="E474" s="10"/>
      <c r="G474" s="10"/>
    </row>
    <row r="475">
      <c r="A475" s="10"/>
      <c r="B475" s="48"/>
      <c r="C475" s="10"/>
      <c r="E475" s="10"/>
      <c r="G475" s="10"/>
    </row>
    <row r="476">
      <c r="A476" s="10"/>
      <c r="B476" s="48"/>
      <c r="C476" s="10"/>
      <c r="E476" s="10"/>
      <c r="G476" s="10"/>
    </row>
    <row r="477">
      <c r="A477" s="10"/>
      <c r="B477" s="48"/>
      <c r="C477" s="10"/>
      <c r="E477" s="10"/>
      <c r="G477" s="10"/>
    </row>
    <row r="478">
      <c r="A478" s="10"/>
      <c r="B478" s="48"/>
      <c r="C478" s="10"/>
      <c r="E478" s="10"/>
      <c r="G478" s="10"/>
    </row>
    <row r="479">
      <c r="A479" s="10"/>
      <c r="B479" s="48"/>
      <c r="C479" s="10"/>
      <c r="E479" s="10"/>
      <c r="G479" s="10"/>
    </row>
    <row r="480">
      <c r="A480" s="10"/>
      <c r="B480" s="48"/>
      <c r="C480" s="10"/>
      <c r="E480" s="10"/>
      <c r="G480" s="10"/>
    </row>
    <row r="481">
      <c r="A481" s="10"/>
      <c r="B481" s="48"/>
      <c r="C481" s="10"/>
      <c r="E481" s="10"/>
      <c r="G481" s="10"/>
    </row>
    <row r="482">
      <c r="A482" s="10"/>
      <c r="B482" s="48"/>
      <c r="C482" s="10"/>
      <c r="E482" s="10"/>
      <c r="G482" s="10"/>
    </row>
    <row r="483">
      <c r="A483" s="10"/>
      <c r="B483" s="48"/>
      <c r="C483" s="10"/>
      <c r="E483" s="10"/>
      <c r="G483" s="10"/>
    </row>
    <row r="484">
      <c r="A484" s="10"/>
      <c r="B484" s="48"/>
      <c r="C484" s="10"/>
      <c r="E484" s="10"/>
      <c r="G484" s="10"/>
    </row>
    <row r="485">
      <c r="A485" s="10"/>
      <c r="B485" s="48"/>
      <c r="C485" s="10"/>
      <c r="E485" s="10"/>
      <c r="G485" s="10"/>
    </row>
    <row r="486">
      <c r="A486" s="10"/>
      <c r="B486" s="48"/>
      <c r="C486" s="10"/>
      <c r="E486" s="10"/>
      <c r="G486" s="10"/>
    </row>
    <row r="487">
      <c r="A487" s="10"/>
      <c r="B487" s="48"/>
      <c r="C487" s="10"/>
      <c r="E487" s="10"/>
      <c r="G487" s="10"/>
    </row>
    <row r="488">
      <c r="A488" s="10"/>
      <c r="B488" s="48"/>
      <c r="C488" s="10"/>
      <c r="E488" s="10"/>
      <c r="G488" s="10"/>
    </row>
    <row r="489">
      <c r="A489" s="10"/>
      <c r="B489" s="48"/>
      <c r="C489" s="10"/>
      <c r="E489" s="10"/>
      <c r="G489" s="10"/>
    </row>
    <row r="490">
      <c r="A490" s="10"/>
      <c r="B490" s="48"/>
      <c r="C490" s="10"/>
      <c r="E490" s="10"/>
      <c r="G490" s="10"/>
    </row>
    <row r="491">
      <c r="A491" s="10"/>
      <c r="B491" s="48"/>
      <c r="C491" s="10"/>
      <c r="E491" s="10"/>
      <c r="G491" s="10"/>
    </row>
    <row r="492">
      <c r="A492" s="10"/>
      <c r="B492" s="48"/>
      <c r="C492" s="10"/>
      <c r="E492" s="10"/>
      <c r="G492" s="10"/>
    </row>
    <row r="493">
      <c r="A493" s="10"/>
      <c r="B493" s="48"/>
      <c r="C493" s="10"/>
      <c r="E493" s="10"/>
      <c r="G493" s="10"/>
    </row>
    <row r="494">
      <c r="A494" s="10"/>
      <c r="B494" s="48"/>
      <c r="C494" s="10"/>
      <c r="E494" s="10"/>
      <c r="G494" s="10"/>
    </row>
    <row r="495">
      <c r="A495" s="10"/>
      <c r="B495" s="48"/>
      <c r="C495" s="10"/>
      <c r="E495" s="10"/>
      <c r="G495" s="10"/>
    </row>
    <row r="496">
      <c r="A496" s="10"/>
      <c r="B496" s="48"/>
      <c r="C496" s="10"/>
      <c r="E496" s="10"/>
      <c r="G496" s="10"/>
    </row>
    <row r="497">
      <c r="A497" s="10"/>
      <c r="B497" s="48"/>
      <c r="C497" s="10"/>
      <c r="E497" s="10"/>
      <c r="G497" s="10"/>
    </row>
    <row r="498">
      <c r="A498" s="10"/>
      <c r="B498" s="48"/>
      <c r="C498" s="10"/>
      <c r="E498" s="10"/>
      <c r="G498" s="10"/>
    </row>
    <row r="499">
      <c r="A499" s="10"/>
      <c r="B499" s="48"/>
      <c r="C499" s="10"/>
      <c r="E499" s="10"/>
      <c r="G499" s="10"/>
    </row>
    <row r="500">
      <c r="A500" s="10"/>
      <c r="B500" s="48"/>
      <c r="C500" s="10"/>
      <c r="E500" s="10"/>
      <c r="G500" s="10"/>
    </row>
    <row r="501">
      <c r="A501" s="10"/>
      <c r="B501" s="48"/>
      <c r="C501" s="10"/>
      <c r="E501" s="10"/>
      <c r="G501" s="10"/>
    </row>
    <row r="502">
      <c r="A502" s="10"/>
      <c r="B502" s="48"/>
      <c r="C502" s="10"/>
      <c r="E502" s="10"/>
      <c r="G502" s="10"/>
    </row>
    <row r="503">
      <c r="A503" s="10"/>
      <c r="B503" s="48"/>
      <c r="C503" s="10"/>
      <c r="E503" s="10"/>
      <c r="G503" s="10"/>
    </row>
    <row r="504">
      <c r="A504" s="10"/>
      <c r="B504" s="48"/>
      <c r="C504" s="10"/>
      <c r="E504" s="10"/>
      <c r="G504" s="10"/>
    </row>
    <row r="505">
      <c r="A505" s="10"/>
      <c r="B505" s="48"/>
      <c r="C505" s="10"/>
      <c r="E505" s="10"/>
      <c r="G505" s="10"/>
    </row>
    <row r="506">
      <c r="A506" s="10"/>
      <c r="B506" s="48"/>
      <c r="C506" s="10"/>
      <c r="E506" s="10"/>
      <c r="G506" s="10"/>
    </row>
    <row r="507">
      <c r="A507" s="10"/>
      <c r="B507" s="48"/>
      <c r="C507" s="10"/>
      <c r="E507" s="10"/>
      <c r="G507" s="10"/>
    </row>
    <row r="508">
      <c r="A508" s="10"/>
      <c r="B508" s="48"/>
      <c r="C508" s="10"/>
      <c r="E508" s="10"/>
      <c r="G508" s="10"/>
    </row>
    <row r="509">
      <c r="A509" s="10"/>
      <c r="B509" s="48"/>
      <c r="C509" s="10"/>
      <c r="E509" s="10"/>
      <c r="G509" s="10"/>
    </row>
    <row r="510">
      <c r="A510" s="10"/>
      <c r="B510" s="48"/>
      <c r="C510" s="10"/>
      <c r="E510" s="10"/>
      <c r="G510" s="10"/>
    </row>
    <row r="511">
      <c r="A511" s="10"/>
      <c r="B511" s="48"/>
      <c r="C511" s="10"/>
      <c r="E511" s="10"/>
      <c r="G511" s="10"/>
    </row>
    <row r="512">
      <c r="A512" s="10"/>
      <c r="B512" s="48"/>
      <c r="C512" s="10"/>
      <c r="E512" s="10"/>
      <c r="G512" s="10"/>
    </row>
    <row r="513">
      <c r="A513" s="10"/>
      <c r="B513" s="48"/>
      <c r="C513" s="10"/>
      <c r="E513" s="10"/>
      <c r="G513" s="10"/>
    </row>
    <row r="514">
      <c r="A514" s="10"/>
      <c r="B514" s="48"/>
      <c r="C514" s="10"/>
      <c r="E514" s="10"/>
      <c r="G514" s="10"/>
    </row>
    <row r="515">
      <c r="A515" s="10"/>
      <c r="B515" s="48"/>
      <c r="C515" s="10"/>
      <c r="E515" s="10"/>
      <c r="G515" s="10"/>
    </row>
    <row r="516">
      <c r="A516" s="10"/>
      <c r="B516" s="48"/>
      <c r="C516" s="10"/>
      <c r="E516" s="10"/>
      <c r="G516" s="10"/>
    </row>
    <row r="517">
      <c r="A517" s="10"/>
      <c r="B517" s="48"/>
      <c r="C517" s="10"/>
      <c r="E517" s="10"/>
      <c r="G517" s="10"/>
    </row>
    <row r="518">
      <c r="A518" s="10"/>
      <c r="B518" s="48"/>
      <c r="C518" s="10"/>
      <c r="E518" s="10"/>
      <c r="G518" s="10"/>
    </row>
    <row r="519">
      <c r="A519" s="10"/>
      <c r="B519" s="48"/>
      <c r="C519" s="10"/>
      <c r="E519" s="10"/>
      <c r="G519" s="10"/>
    </row>
    <row r="520">
      <c r="A520" s="10"/>
      <c r="B520" s="48"/>
      <c r="C520" s="10"/>
      <c r="E520" s="10"/>
      <c r="G520" s="10"/>
    </row>
    <row r="521">
      <c r="A521" s="10"/>
      <c r="B521" s="48"/>
      <c r="C521" s="10"/>
      <c r="E521" s="10"/>
      <c r="G521" s="10"/>
    </row>
    <row r="522">
      <c r="A522" s="10"/>
      <c r="B522" s="48"/>
      <c r="C522" s="10"/>
      <c r="E522" s="10"/>
      <c r="G522" s="10"/>
    </row>
    <row r="523">
      <c r="A523" s="10"/>
      <c r="B523" s="48"/>
      <c r="C523" s="10"/>
      <c r="E523" s="10"/>
      <c r="G523" s="10"/>
    </row>
    <row r="524">
      <c r="A524" s="10"/>
      <c r="B524" s="48"/>
      <c r="C524" s="10"/>
      <c r="E524" s="10"/>
      <c r="G524" s="10"/>
    </row>
    <row r="525">
      <c r="A525" s="10"/>
      <c r="B525" s="48"/>
      <c r="C525" s="10"/>
      <c r="E525" s="10"/>
      <c r="G525" s="10"/>
    </row>
    <row r="526">
      <c r="A526" s="10"/>
      <c r="B526" s="48"/>
      <c r="C526" s="10"/>
      <c r="E526" s="10"/>
      <c r="G526" s="10"/>
    </row>
    <row r="527">
      <c r="A527" s="10"/>
      <c r="B527" s="48"/>
      <c r="C527" s="10"/>
      <c r="E527" s="10"/>
      <c r="G527" s="10"/>
    </row>
    <row r="528">
      <c r="A528" s="10"/>
      <c r="B528" s="48"/>
      <c r="C528" s="10"/>
      <c r="E528" s="10"/>
      <c r="G528" s="10"/>
    </row>
    <row r="529">
      <c r="A529" s="10"/>
      <c r="B529" s="48"/>
      <c r="C529" s="10"/>
      <c r="E529" s="10"/>
      <c r="G529" s="10"/>
    </row>
    <row r="530">
      <c r="A530" s="10"/>
      <c r="B530" s="48"/>
      <c r="C530" s="10"/>
      <c r="E530" s="10"/>
      <c r="G530" s="10"/>
    </row>
    <row r="531">
      <c r="A531" s="10"/>
      <c r="B531" s="48"/>
      <c r="C531" s="10"/>
      <c r="E531" s="10"/>
      <c r="G531" s="10"/>
    </row>
    <row r="532">
      <c r="A532" s="10"/>
      <c r="B532" s="48"/>
      <c r="C532" s="10"/>
      <c r="E532" s="10"/>
      <c r="G532" s="10"/>
    </row>
    <row r="533">
      <c r="A533" s="10"/>
      <c r="B533" s="48"/>
      <c r="C533" s="10"/>
      <c r="E533" s="10"/>
      <c r="G533" s="10"/>
    </row>
    <row r="534">
      <c r="A534" s="10"/>
      <c r="B534" s="48"/>
      <c r="C534" s="10"/>
      <c r="E534" s="10"/>
      <c r="G534" s="10"/>
    </row>
    <row r="535">
      <c r="A535" s="10"/>
      <c r="B535" s="48"/>
      <c r="C535" s="10"/>
      <c r="E535" s="10"/>
      <c r="G535" s="10"/>
    </row>
    <row r="536">
      <c r="A536" s="10"/>
      <c r="B536" s="48"/>
      <c r="C536" s="10"/>
      <c r="E536" s="10"/>
      <c r="G536" s="10"/>
    </row>
    <row r="537">
      <c r="A537" s="10"/>
      <c r="B537" s="48"/>
      <c r="C537" s="10"/>
      <c r="E537" s="10"/>
      <c r="G537" s="10"/>
    </row>
    <row r="538">
      <c r="A538" s="10"/>
      <c r="B538" s="48"/>
      <c r="C538" s="10"/>
      <c r="E538" s="10"/>
      <c r="G538" s="10"/>
    </row>
    <row r="539">
      <c r="A539" s="10"/>
      <c r="B539" s="48"/>
      <c r="C539" s="10"/>
      <c r="E539" s="10"/>
      <c r="G539" s="10"/>
    </row>
    <row r="540">
      <c r="A540" s="10"/>
      <c r="B540" s="48"/>
      <c r="C540" s="10"/>
      <c r="E540" s="10"/>
      <c r="G540" s="10"/>
    </row>
    <row r="541">
      <c r="A541" s="10"/>
      <c r="B541" s="48"/>
      <c r="C541" s="10"/>
      <c r="E541" s="10"/>
      <c r="G541" s="10"/>
    </row>
    <row r="542">
      <c r="A542" s="10"/>
      <c r="B542" s="48"/>
      <c r="C542" s="10"/>
      <c r="E542" s="10"/>
      <c r="G542" s="10"/>
    </row>
    <row r="543">
      <c r="A543" s="10"/>
      <c r="B543" s="48"/>
      <c r="C543" s="10"/>
      <c r="E543" s="10"/>
      <c r="G543" s="10"/>
    </row>
    <row r="544">
      <c r="A544" s="10"/>
      <c r="B544" s="48"/>
      <c r="C544" s="10"/>
      <c r="E544" s="10"/>
      <c r="G544" s="10"/>
    </row>
    <row r="545">
      <c r="A545" s="10"/>
      <c r="B545" s="48"/>
      <c r="C545" s="10"/>
      <c r="E545" s="10"/>
      <c r="G545" s="10"/>
    </row>
    <row r="546">
      <c r="A546" s="10"/>
      <c r="B546" s="48"/>
      <c r="C546" s="10"/>
      <c r="E546" s="10"/>
      <c r="G546" s="10"/>
    </row>
    <row r="547">
      <c r="A547" s="10"/>
      <c r="B547" s="48"/>
      <c r="C547" s="10"/>
      <c r="E547" s="10"/>
      <c r="G547" s="10"/>
    </row>
    <row r="548">
      <c r="A548" s="10"/>
      <c r="B548" s="48"/>
      <c r="C548" s="10"/>
      <c r="E548" s="10"/>
      <c r="G548" s="10"/>
    </row>
    <row r="549">
      <c r="A549" s="10"/>
      <c r="B549" s="48"/>
      <c r="C549" s="10"/>
      <c r="E549" s="10"/>
      <c r="G549" s="10"/>
    </row>
    <row r="550">
      <c r="A550" s="10"/>
      <c r="B550" s="48"/>
      <c r="C550" s="10"/>
      <c r="E550" s="10"/>
      <c r="G550" s="10"/>
    </row>
    <row r="551">
      <c r="A551" s="10"/>
      <c r="B551" s="48"/>
      <c r="C551" s="10"/>
      <c r="E551" s="10"/>
      <c r="G551" s="10"/>
    </row>
    <row r="552">
      <c r="A552" s="10"/>
      <c r="B552" s="48"/>
      <c r="C552" s="10"/>
      <c r="E552" s="10"/>
      <c r="G552" s="10"/>
    </row>
    <row r="553">
      <c r="A553" s="10"/>
      <c r="B553" s="48"/>
      <c r="C553" s="10"/>
      <c r="E553" s="10"/>
      <c r="G553" s="10"/>
    </row>
    <row r="554">
      <c r="A554" s="10"/>
      <c r="B554" s="48"/>
      <c r="C554" s="10"/>
      <c r="E554" s="10"/>
      <c r="G554" s="10"/>
    </row>
    <row r="555">
      <c r="A555" s="10"/>
      <c r="B555" s="48"/>
      <c r="C555" s="10"/>
      <c r="E555" s="10"/>
      <c r="G555" s="10"/>
    </row>
    <row r="556">
      <c r="A556" s="10"/>
      <c r="B556" s="48"/>
      <c r="C556" s="10"/>
      <c r="E556" s="10"/>
      <c r="G556" s="10"/>
    </row>
    <row r="557">
      <c r="A557" s="10"/>
      <c r="B557" s="48"/>
      <c r="C557" s="10"/>
      <c r="E557" s="10"/>
      <c r="G557" s="10"/>
    </row>
    <row r="558">
      <c r="A558" s="10"/>
      <c r="B558" s="48"/>
      <c r="C558" s="10"/>
      <c r="E558" s="10"/>
      <c r="G558" s="10"/>
    </row>
    <row r="559">
      <c r="A559" s="10"/>
      <c r="B559" s="48"/>
      <c r="C559" s="10"/>
      <c r="E559" s="10"/>
      <c r="G559" s="10"/>
    </row>
    <row r="560">
      <c r="A560" s="10"/>
      <c r="B560" s="48"/>
      <c r="C560" s="10"/>
      <c r="E560" s="10"/>
      <c r="G560" s="10"/>
    </row>
    <row r="561">
      <c r="A561" s="10"/>
      <c r="B561" s="48"/>
      <c r="C561" s="10"/>
      <c r="E561" s="10"/>
      <c r="G561" s="10"/>
    </row>
    <row r="562">
      <c r="A562" s="10"/>
      <c r="B562" s="48"/>
      <c r="C562" s="10"/>
      <c r="E562" s="10"/>
      <c r="G562" s="10"/>
    </row>
    <row r="563">
      <c r="A563" s="10"/>
      <c r="B563" s="48"/>
      <c r="C563" s="10"/>
      <c r="E563" s="10"/>
      <c r="G563" s="10"/>
    </row>
    <row r="564">
      <c r="A564" s="10"/>
      <c r="B564" s="48"/>
      <c r="C564" s="10"/>
      <c r="E564" s="10"/>
      <c r="G564" s="10"/>
    </row>
    <row r="565">
      <c r="A565" s="10"/>
      <c r="B565" s="48"/>
      <c r="C565" s="10"/>
      <c r="E565" s="10"/>
      <c r="G565" s="10"/>
    </row>
    <row r="566">
      <c r="A566" s="10"/>
      <c r="B566" s="48"/>
      <c r="C566" s="10"/>
      <c r="E566" s="10"/>
      <c r="G566" s="10"/>
    </row>
    <row r="567">
      <c r="A567" s="10"/>
      <c r="B567" s="48"/>
      <c r="C567" s="10"/>
      <c r="E567" s="10"/>
      <c r="G567" s="10"/>
    </row>
    <row r="568">
      <c r="A568" s="10"/>
      <c r="B568" s="48"/>
      <c r="C568" s="10"/>
      <c r="E568" s="10"/>
      <c r="G568" s="10"/>
    </row>
    <row r="569">
      <c r="A569" s="10"/>
      <c r="B569" s="48"/>
      <c r="C569" s="10"/>
      <c r="E569" s="10"/>
      <c r="G569" s="10"/>
    </row>
    <row r="570">
      <c r="A570" s="10"/>
      <c r="B570" s="48"/>
      <c r="C570" s="10"/>
      <c r="E570" s="10"/>
      <c r="G570" s="10"/>
    </row>
    <row r="571">
      <c r="A571" s="10"/>
      <c r="B571" s="48"/>
      <c r="C571" s="10"/>
      <c r="E571" s="10"/>
      <c r="G571" s="10"/>
    </row>
    <row r="572">
      <c r="A572" s="10"/>
      <c r="B572" s="48"/>
      <c r="C572" s="10"/>
      <c r="E572" s="10"/>
      <c r="G572" s="10"/>
    </row>
    <row r="573">
      <c r="A573" s="10"/>
      <c r="B573" s="48"/>
      <c r="C573" s="10"/>
      <c r="E573" s="10"/>
      <c r="G573" s="10"/>
    </row>
    <row r="574">
      <c r="A574" s="10"/>
      <c r="B574" s="48"/>
      <c r="C574" s="10"/>
      <c r="E574" s="10"/>
      <c r="G574" s="10"/>
    </row>
    <row r="575">
      <c r="A575" s="10"/>
      <c r="B575" s="48"/>
      <c r="C575" s="10"/>
      <c r="E575" s="10"/>
      <c r="G575" s="10"/>
    </row>
    <row r="576">
      <c r="A576" s="10"/>
      <c r="B576" s="48"/>
      <c r="C576" s="10"/>
      <c r="E576" s="10"/>
      <c r="G576" s="10"/>
    </row>
    <row r="577">
      <c r="A577" s="10"/>
      <c r="B577" s="48"/>
      <c r="C577" s="10"/>
      <c r="E577" s="10"/>
      <c r="G577" s="10"/>
    </row>
    <row r="578">
      <c r="A578" s="10"/>
      <c r="B578" s="48"/>
      <c r="C578" s="10"/>
      <c r="E578" s="10"/>
      <c r="G578" s="10"/>
    </row>
    <row r="579">
      <c r="A579" s="10"/>
      <c r="B579" s="48"/>
      <c r="C579" s="10"/>
      <c r="E579" s="10"/>
      <c r="G579" s="10"/>
    </row>
    <row r="580">
      <c r="A580" s="10"/>
      <c r="B580" s="48"/>
      <c r="C580" s="10"/>
      <c r="E580" s="10"/>
      <c r="G580" s="10"/>
    </row>
    <row r="581">
      <c r="A581" s="10"/>
      <c r="B581" s="48"/>
      <c r="C581" s="10"/>
      <c r="E581" s="10"/>
      <c r="G581" s="10"/>
    </row>
    <row r="582">
      <c r="A582" s="10"/>
      <c r="B582" s="48"/>
      <c r="C582" s="10"/>
      <c r="E582" s="10"/>
      <c r="G582" s="10"/>
    </row>
    <row r="583">
      <c r="A583" s="10"/>
      <c r="B583" s="48"/>
      <c r="C583" s="10"/>
      <c r="E583" s="10"/>
      <c r="G583" s="10"/>
    </row>
    <row r="584">
      <c r="A584" s="10"/>
      <c r="B584" s="48"/>
      <c r="C584" s="10"/>
      <c r="E584" s="10"/>
      <c r="G584" s="10"/>
    </row>
    <row r="585">
      <c r="A585" s="10"/>
      <c r="B585" s="48"/>
      <c r="C585" s="10"/>
      <c r="E585" s="10"/>
      <c r="G585" s="10"/>
    </row>
    <row r="586">
      <c r="A586" s="10"/>
      <c r="B586" s="48"/>
      <c r="C586" s="10"/>
      <c r="E586" s="10"/>
      <c r="G586" s="10"/>
    </row>
    <row r="587">
      <c r="A587" s="10"/>
      <c r="B587" s="48"/>
      <c r="C587" s="10"/>
      <c r="E587" s="10"/>
      <c r="G587" s="10"/>
    </row>
    <row r="588">
      <c r="A588" s="10"/>
      <c r="B588" s="48"/>
      <c r="C588" s="10"/>
      <c r="E588" s="10"/>
      <c r="G588" s="10"/>
    </row>
    <row r="589">
      <c r="A589" s="10"/>
      <c r="B589" s="48"/>
      <c r="C589" s="10"/>
      <c r="E589" s="10"/>
      <c r="G589" s="10"/>
    </row>
    <row r="590">
      <c r="A590" s="10"/>
      <c r="B590" s="48"/>
      <c r="C590" s="10"/>
      <c r="E590" s="10"/>
      <c r="G590" s="10"/>
    </row>
    <row r="591">
      <c r="A591" s="10"/>
      <c r="B591" s="48"/>
      <c r="C591" s="10"/>
      <c r="E591" s="10"/>
      <c r="G591" s="10"/>
    </row>
    <row r="592">
      <c r="A592" s="10"/>
      <c r="B592" s="48"/>
      <c r="C592" s="10"/>
      <c r="E592" s="10"/>
      <c r="G592" s="10"/>
    </row>
    <row r="593">
      <c r="A593" s="10"/>
      <c r="B593" s="48"/>
      <c r="C593" s="10"/>
      <c r="E593" s="10"/>
      <c r="G593" s="10"/>
    </row>
    <row r="594">
      <c r="A594" s="10"/>
      <c r="B594" s="48"/>
      <c r="C594" s="10"/>
      <c r="E594" s="10"/>
      <c r="G594" s="10"/>
    </row>
    <row r="595">
      <c r="A595" s="10"/>
      <c r="B595" s="48"/>
      <c r="C595" s="10"/>
      <c r="E595" s="10"/>
      <c r="G595" s="10"/>
    </row>
    <row r="596">
      <c r="A596" s="10"/>
      <c r="B596" s="48"/>
      <c r="C596" s="10"/>
      <c r="E596" s="10"/>
      <c r="G596" s="10"/>
    </row>
    <row r="597">
      <c r="A597" s="10"/>
      <c r="B597" s="48"/>
      <c r="C597" s="10"/>
      <c r="E597" s="10"/>
      <c r="G597" s="10"/>
    </row>
    <row r="598">
      <c r="A598" s="10"/>
      <c r="B598" s="48"/>
      <c r="C598" s="10"/>
      <c r="E598" s="10"/>
      <c r="G598" s="10"/>
    </row>
    <row r="599">
      <c r="A599" s="10"/>
      <c r="B599" s="48"/>
      <c r="C599" s="10"/>
      <c r="E599" s="10"/>
      <c r="G599" s="10"/>
    </row>
    <row r="600">
      <c r="A600" s="10"/>
      <c r="B600" s="48"/>
      <c r="C600" s="10"/>
      <c r="E600" s="10"/>
      <c r="G600" s="10"/>
    </row>
    <row r="601">
      <c r="A601" s="10"/>
      <c r="B601" s="48"/>
      <c r="C601" s="10"/>
      <c r="E601" s="10"/>
      <c r="G601" s="10"/>
    </row>
    <row r="602">
      <c r="A602" s="10"/>
      <c r="B602" s="48"/>
      <c r="C602" s="10"/>
      <c r="E602" s="10"/>
      <c r="G602" s="10"/>
    </row>
    <row r="603">
      <c r="A603" s="10"/>
      <c r="B603" s="48"/>
      <c r="C603" s="10"/>
      <c r="E603" s="10"/>
      <c r="G603" s="10"/>
    </row>
    <row r="604">
      <c r="A604" s="10"/>
      <c r="B604" s="48"/>
      <c r="C604" s="10"/>
      <c r="E604" s="10"/>
      <c r="G604" s="10"/>
    </row>
    <row r="605">
      <c r="A605" s="10"/>
      <c r="B605" s="48"/>
      <c r="C605" s="10"/>
      <c r="E605" s="10"/>
      <c r="G605" s="10"/>
    </row>
    <row r="606">
      <c r="A606" s="10"/>
      <c r="B606" s="48"/>
      <c r="C606" s="10"/>
      <c r="E606" s="10"/>
      <c r="G606" s="10"/>
    </row>
    <row r="607">
      <c r="A607" s="10"/>
      <c r="B607" s="48"/>
      <c r="C607" s="10"/>
      <c r="E607" s="10"/>
      <c r="G607" s="10"/>
    </row>
    <row r="608">
      <c r="A608" s="10"/>
      <c r="B608" s="48"/>
      <c r="C608" s="10"/>
      <c r="E608" s="10"/>
      <c r="G608" s="10"/>
    </row>
    <row r="609">
      <c r="A609" s="10"/>
      <c r="B609" s="48"/>
      <c r="C609" s="10"/>
      <c r="E609" s="10"/>
      <c r="G609" s="10"/>
    </row>
    <row r="610">
      <c r="A610" s="10"/>
      <c r="B610" s="48"/>
      <c r="C610" s="10"/>
      <c r="E610" s="10"/>
      <c r="G610" s="10"/>
    </row>
    <row r="611">
      <c r="A611" s="10"/>
      <c r="B611" s="48"/>
      <c r="C611" s="10"/>
      <c r="E611" s="10"/>
      <c r="G611" s="10"/>
    </row>
    <row r="612">
      <c r="A612" s="10"/>
      <c r="B612" s="48"/>
      <c r="C612" s="10"/>
      <c r="E612" s="10"/>
      <c r="G612" s="10"/>
    </row>
    <row r="613">
      <c r="A613" s="10"/>
      <c r="B613" s="48"/>
      <c r="C613" s="10"/>
      <c r="E613" s="10"/>
      <c r="G613" s="10"/>
    </row>
    <row r="614">
      <c r="A614" s="10"/>
      <c r="B614" s="48"/>
      <c r="C614" s="10"/>
      <c r="E614" s="10"/>
      <c r="G614" s="10"/>
    </row>
    <row r="615">
      <c r="A615" s="10"/>
      <c r="B615" s="48"/>
      <c r="C615" s="10"/>
      <c r="E615" s="10"/>
      <c r="G615" s="10"/>
    </row>
    <row r="616">
      <c r="A616" s="10"/>
      <c r="B616" s="48"/>
      <c r="C616" s="10"/>
      <c r="E616" s="10"/>
      <c r="G616" s="10"/>
    </row>
    <row r="617">
      <c r="A617" s="10"/>
      <c r="B617" s="48"/>
      <c r="C617" s="10"/>
      <c r="E617" s="10"/>
      <c r="G617" s="10"/>
    </row>
    <row r="618">
      <c r="A618" s="10"/>
      <c r="B618" s="48"/>
      <c r="C618" s="10"/>
      <c r="E618" s="10"/>
      <c r="G618" s="10"/>
    </row>
    <row r="619">
      <c r="A619" s="10"/>
      <c r="B619" s="48"/>
      <c r="C619" s="10"/>
      <c r="E619" s="10"/>
      <c r="G619" s="10"/>
    </row>
    <row r="620">
      <c r="A620" s="10"/>
      <c r="B620" s="48"/>
      <c r="C620" s="10"/>
      <c r="E620" s="10"/>
      <c r="G620" s="10"/>
    </row>
    <row r="621">
      <c r="A621" s="10"/>
      <c r="B621" s="48"/>
      <c r="C621" s="10"/>
      <c r="E621" s="10"/>
      <c r="G621" s="10"/>
    </row>
    <row r="622">
      <c r="A622" s="10"/>
      <c r="B622" s="48"/>
      <c r="C622" s="10"/>
      <c r="E622" s="10"/>
      <c r="G622" s="10"/>
    </row>
    <row r="623">
      <c r="A623" s="10"/>
      <c r="B623" s="48"/>
      <c r="C623" s="10"/>
      <c r="E623" s="10"/>
      <c r="G623" s="10"/>
    </row>
    <row r="624">
      <c r="A624" s="10"/>
      <c r="B624" s="48"/>
      <c r="C624" s="10"/>
      <c r="E624" s="10"/>
      <c r="G624" s="10"/>
    </row>
    <row r="625">
      <c r="A625" s="10"/>
      <c r="B625" s="48"/>
      <c r="C625" s="10"/>
      <c r="E625" s="10"/>
      <c r="G625" s="10"/>
    </row>
    <row r="626">
      <c r="A626" s="10"/>
      <c r="B626" s="48"/>
      <c r="C626" s="10"/>
      <c r="E626" s="10"/>
      <c r="G626" s="10"/>
    </row>
    <row r="627">
      <c r="A627" s="10"/>
      <c r="B627" s="48"/>
      <c r="C627" s="10"/>
      <c r="E627" s="10"/>
      <c r="G627" s="10"/>
    </row>
    <row r="628">
      <c r="A628" s="10"/>
      <c r="B628" s="48"/>
      <c r="C628" s="10"/>
      <c r="E628" s="10"/>
      <c r="G628" s="10"/>
    </row>
    <row r="629">
      <c r="A629" s="10"/>
      <c r="B629" s="48"/>
      <c r="C629" s="10"/>
      <c r="E629" s="10"/>
      <c r="G629" s="10"/>
    </row>
    <row r="630">
      <c r="A630" s="10"/>
      <c r="B630" s="48"/>
      <c r="C630" s="10"/>
      <c r="E630" s="10"/>
      <c r="G630" s="10"/>
    </row>
    <row r="631">
      <c r="A631" s="10"/>
      <c r="B631" s="48"/>
      <c r="C631" s="10"/>
      <c r="E631" s="10"/>
      <c r="G631" s="10"/>
    </row>
    <row r="632">
      <c r="A632" s="10"/>
      <c r="B632" s="48"/>
      <c r="C632" s="10"/>
      <c r="E632" s="10"/>
      <c r="G632" s="10"/>
    </row>
    <row r="633">
      <c r="A633" s="10"/>
      <c r="B633" s="48"/>
      <c r="C633" s="10"/>
      <c r="E633" s="10"/>
      <c r="G633" s="10"/>
    </row>
    <row r="634">
      <c r="A634" s="10"/>
      <c r="B634" s="48"/>
      <c r="C634" s="10"/>
      <c r="E634" s="10"/>
      <c r="G634" s="10"/>
    </row>
    <row r="635">
      <c r="A635" s="10"/>
      <c r="B635" s="48"/>
      <c r="C635" s="10"/>
      <c r="E635" s="10"/>
      <c r="G635" s="10"/>
    </row>
    <row r="636">
      <c r="A636" s="10"/>
      <c r="B636" s="48"/>
      <c r="C636" s="10"/>
      <c r="E636" s="10"/>
      <c r="G636" s="10"/>
    </row>
    <row r="637">
      <c r="A637" s="10"/>
      <c r="B637" s="48"/>
      <c r="C637" s="10"/>
      <c r="E637" s="10"/>
      <c r="G637" s="10"/>
    </row>
    <row r="638">
      <c r="A638" s="10"/>
      <c r="B638" s="48"/>
      <c r="C638" s="10"/>
      <c r="E638" s="10"/>
      <c r="G638" s="10"/>
    </row>
    <row r="639">
      <c r="A639" s="10"/>
      <c r="B639" s="48"/>
      <c r="C639" s="10"/>
      <c r="E639" s="10"/>
      <c r="G639" s="10"/>
    </row>
    <row r="640">
      <c r="A640" s="10"/>
      <c r="B640" s="48"/>
      <c r="C640" s="10"/>
      <c r="E640" s="10"/>
      <c r="G640" s="10"/>
    </row>
    <row r="641">
      <c r="A641" s="10"/>
      <c r="B641" s="48"/>
      <c r="C641" s="10"/>
      <c r="E641" s="10"/>
      <c r="G641" s="10"/>
    </row>
    <row r="642">
      <c r="A642" s="10"/>
      <c r="B642" s="48"/>
      <c r="C642" s="10"/>
      <c r="E642" s="10"/>
      <c r="G642" s="10"/>
    </row>
    <row r="643">
      <c r="A643" s="10"/>
      <c r="B643" s="48"/>
      <c r="C643" s="10"/>
      <c r="E643" s="10"/>
      <c r="G643" s="10"/>
    </row>
    <row r="644">
      <c r="A644" s="10"/>
      <c r="B644" s="48"/>
      <c r="C644" s="10"/>
      <c r="E644" s="10"/>
      <c r="G644" s="10"/>
    </row>
    <row r="645">
      <c r="A645" s="10"/>
      <c r="B645" s="48"/>
      <c r="C645" s="10"/>
      <c r="E645" s="10"/>
      <c r="G645" s="10"/>
    </row>
    <row r="646">
      <c r="A646" s="10"/>
      <c r="B646" s="48"/>
      <c r="C646" s="10"/>
      <c r="E646" s="10"/>
      <c r="G646" s="10"/>
    </row>
    <row r="647">
      <c r="A647" s="10"/>
      <c r="B647" s="48"/>
      <c r="C647" s="10"/>
      <c r="E647" s="10"/>
      <c r="G647" s="10"/>
    </row>
    <row r="648">
      <c r="A648" s="10"/>
      <c r="B648" s="48"/>
      <c r="C648" s="10"/>
      <c r="E648" s="10"/>
      <c r="G648" s="10"/>
    </row>
    <row r="649">
      <c r="A649" s="10"/>
      <c r="B649" s="48"/>
      <c r="C649" s="10"/>
      <c r="E649" s="10"/>
      <c r="G649" s="10"/>
    </row>
    <row r="650">
      <c r="A650" s="10"/>
      <c r="B650" s="48"/>
      <c r="C650" s="10"/>
      <c r="E650" s="10"/>
      <c r="G650" s="10"/>
    </row>
    <row r="651">
      <c r="A651" s="10"/>
      <c r="B651" s="48"/>
      <c r="C651" s="10"/>
      <c r="E651" s="10"/>
      <c r="G651" s="10"/>
    </row>
    <row r="652">
      <c r="A652" s="10"/>
      <c r="B652" s="48"/>
      <c r="C652" s="10"/>
      <c r="E652" s="10"/>
      <c r="G652" s="10"/>
    </row>
    <row r="653">
      <c r="A653" s="10"/>
      <c r="B653" s="48"/>
      <c r="C653" s="10"/>
      <c r="E653" s="10"/>
      <c r="G653" s="10"/>
    </row>
    <row r="654">
      <c r="A654" s="10"/>
      <c r="B654" s="48"/>
      <c r="C654" s="10"/>
      <c r="E654" s="10"/>
      <c r="G654" s="10"/>
    </row>
    <row r="655">
      <c r="A655" s="10"/>
      <c r="B655" s="48"/>
      <c r="C655" s="10"/>
      <c r="E655" s="10"/>
      <c r="G655" s="10"/>
    </row>
    <row r="656">
      <c r="A656" s="10"/>
      <c r="B656" s="48"/>
      <c r="C656" s="10"/>
      <c r="E656" s="10"/>
      <c r="G656" s="10"/>
    </row>
    <row r="657">
      <c r="A657" s="10"/>
      <c r="B657" s="48"/>
      <c r="C657" s="10"/>
      <c r="E657" s="10"/>
      <c r="G657" s="10"/>
    </row>
    <row r="658">
      <c r="A658" s="10"/>
      <c r="B658" s="48"/>
      <c r="C658" s="10"/>
      <c r="E658" s="10"/>
      <c r="G658" s="10"/>
    </row>
    <row r="659">
      <c r="A659" s="10"/>
      <c r="B659" s="48"/>
      <c r="C659" s="10"/>
      <c r="E659" s="10"/>
      <c r="G659" s="10"/>
    </row>
    <row r="660">
      <c r="A660" s="10"/>
      <c r="B660" s="48"/>
      <c r="C660" s="10"/>
      <c r="E660" s="10"/>
      <c r="G660" s="10"/>
    </row>
    <row r="661">
      <c r="A661" s="10"/>
      <c r="B661" s="48"/>
      <c r="C661" s="10"/>
      <c r="E661" s="10"/>
      <c r="G661" s="10"/>
    </row>
    <row r="662">
      <c r="A662" s="10"/>
      <c r="B662" s="48"/>
      <c r="C662" s="10"/>
      <c r="E662" s="10"/>
      <c r="G662" s="10"/>
    </row>
    <row r="663">
      <c r="A663" s="10"/>
      <c r="B663" s="48"/>
      <c r="C663" s="10"/>
      <c r="E663" s="10"/>
      <c r="G663" s="10"/>
    </row>
    <row r="664">
      <c r="A664" s="10"/>
      <c r="B664" s="48"/>
      <c r="C664" s="10"/>
      <c r="E664" s="10"/>
      <c r="G664" s="10"/>
    </row>
    <row r="665">
      <c r="A665" s="10"/>
      <c r="B665" s="48"/>
      <c r="C665" s="10"/>
      <c r="E665" s="10"/>
      <c r="G665" s="10"/>
    </row>
    <row r="666">
      <c r="A666" s="10"/>
      <c r="B666" s="48"/>
      <c r="C666" s="10"/>
      <c r="E666" s="10"/>
      <c r="G666" s="10"/>
    </row>
    <row r="667">
      <c r="A667" s="10"/>
      <c r="B667" s="48"/>
      <c r="C667" s="10"/>
      <c r="E667" s="10"/>
      <c r="G667" s="10"/>
    </row>
    <row r="668">
      <c r="A668" s="10"/>
      <c r="B668" s="48"/>
      <c r="C668" s="10"/>
      <c r="E668" s="10"/>
      <c r="G668" s="10"/>
    </row>
    <row r="669">
      <c r="A669" s="10"/>
      <c r="B669" s="48"/>
      <c r="C669" s="10"/>
      <c r="E669" s="10"/>
      <c r="G669" s="10"/>
    </row>
    <row r="670">
      <c r="A670" s="10"/>
      <c r="B670" s="48"/>
      <c r="C670" s="10"/>
      <c r="E670" s="10"/>
      <c r="G670" s="10"/>
    </row>
    <row r="671">
      <c r="A671" s="10"/>
      <c r="B671" s="48"/>
      <c r="C671" s="10"/>
      <c r="E671" s="10"/>
      <c r="G671" s="10"/>
    </row>
    <row r="672">
      <c r="A672" s="10"/>
      <c r="B672" s="48"/>
      <c r="C672" s="10"/>
      <c r="E672" s="10"/>
      <c r="G672" s="10"/>
    </row>
    <row r="673">
      <c r="A673" s="10"/>
      <c r="B673" s="48"/>
      <c r="C673" s="10"/>
      <c r="E673" s="10"/>
      <c r="G673" s="10"/>
    </row>
    <row r="674">
      <c r="A674" s="10"/>
      <c r="B674" s="48"/>
      <c r="C674" s="10"/>
      <c r="E674" s="10"/>
      <c r="G674" s="10"/>
    </row>
    <row r="675">
      <c r="A675" s="10"/>
      <c r="B675" s="48"/>
      <c r="C675" s="10"/>
      <c r="E675" s="10"/>
      <c r="G675" s="10"/>
    </row>
    <row r="676">
      <c r="A676" s="10"/>
      <c r="B676" s="48"/>
      <c r="C676" s="10"/>
      <c r="E676" s="10"/>
      <c r="G676" s="10"/>
    </row>
    <row r="677">
      <c r="A677" s="10"/>
      <c r="B677" s="48"/>
      <c r="C677" s="10"/>
      <c r="E677" s="10"/>
      <c r="G677" s="10"/>
    </row>
    <row r="678">
      <c r="A678" s="10"/>
      <c r="B678" s="48"/>
      <c r="C678" s="10"/>
      <c r="E678" s="10"/>
      <c r="G678" s="10"/>
    </row>
    <row r="679">
      <c r="A679" s="10"/>
      <c r="B679" s="48"/>
      <c r="C679" s="10"/>
      <c r="E679" s="10"/>
      <c r="G679" s="10"/>
    </row>
    <row r="680">
      <c r="A680" s="10"/>
      <c r="B680" s="48"/>
      <c r="C680" s="10"/>
      <c r="E680" s="10"/>
      <c r="G680" s="10"/>
    </row>
    <row r="681">
      <c r="A681" s="10"/>
      <c r="B681" s="48"/>
      <c r="C681" s="10"/>
      <c r="E681" s="10"/>
      <c r="G681" s="10"/>
    </row>
    <row r="682">
      <c r="A682" s="10"/>
      <c r="B682" s="48"/>
      <c r="C682" s="10"/>
      <c r="E682" s="10"/>
      <c r="G682" s="10"/>
    </row>
    <row r="683">
      <c r="A683" s="10"/>
      <c r="B683" s="48"/>
      <c r="C683" s="10"/>
      <c r="E683" s="10"/>
      <c r="G683" s="10"/>
    </row>
    <row r="684">
      <c r="A684" s="10"/>
      <c r="B684" s="48"/>
      <c r="C684" s="10"/>
      <c r="E684" s="10"/>
      <c r="G684" s="10"/>
    </row>
    <row r="685">
      <c r="A685" s="10"/>
      <c r="B685" s="48"/>
      <c r="C685" s="10"/>
      <c r="E685" s="10"/>
      <c r="G685" s="10"/>
    </row>
    <row r="686">
      <c r="A686" s="10"/>
      <c r="B686" s="48"/>
      <c r="C686" s="10"/>
      <c r="E686" s="10"/>
      <c r="G686" s="10"/>
    </row>
    <row r="687">
      <c r="A687" s="10"/>
      <c r="B687" s="48"/>
      <c r="C687" s="10"/>
      <c r="E687" s="10"/>
      <c r="G687" s="10"/>
    </row>
    <row r="688">
      <c r="A688" s="10"/>
      <c r="B688" s="48"/>
      <c r="C688" s="10"/>
      <c r="E688" s="10"/>
      <c r="G688" s="10"/>
    </row>
    <row r="689">
      <c r="A689" s="10"/>
      <c r="B689" s="48"/>
      <c r="C689" s="10"/>
      <c r="E689" s="10"/>
      <c r="G689" s="10"/>
    </row>
    <row r="690">
      <c r="A690" s="10"/>
      <c r="B690" s="48"/>
      <c r="C690" s="10"/>
      <c r="E690" s="10"/>
      <c r="G690" s="10"/>
    </row>
    <row r="691">
      <c r="A691" s="10"/>
      <c r="B691" s="48"/>
      <c r="C691" s="10"/>
      <c r="E691" s="10"/>
      <c r="G691" s="10"/>
    </row>
    <row r="692">
      <c r="A692" s="10"/>
      <c r="B692" s="48"/>
      <c r="C692" s="10"/>
      <c r="E692" s="10"/>
      <c r="G692" s="10"/>
    </row>
    <row r="693">
      <c r="A693" s="10"/>
      <c r="B693" s="48"/>
      <c r="C693" s="10"/>
      <c r="E693" s="10"/>
      <c r="G693" s="10"/>
    </row>
    <row r="694">
      <c r="A694" s="10"/>
      <c r="B694" s="48"/>
      <c r="C694" s="10"/>
      <c r="E694" s="10"/>
      <c r="G694" s="10"/>
    </row>
    <row r="695">
      <c r="A695" s="10"/>
      <c r="B695" s="48"/>
      <c r="C695" s="10"/>
      <c r="E695" s="10"/>
      <c r="G695" s="10"/>
    </row>
    <row r="696">
      <c r="A696" s="10"/>
      <c r="B696" s="48"/>
      <c r="C696" s="10"/>
      <c r="E696" s="10"/>
      <c r="G696" s="10"/>
    </row>
    <row r="697">
      <c r="A697" s="10"/>
      <c r="B697" s="48"/>
      <c r="C697" s="10"/>
      <c r="E697" s="10"/>
      <c r="G697" s="10"/>
    </row>
    <row r="698">
      <c r="A698" s="10"/>
      <c r="B698" s="48"/>
      <c r="C698" s="10"/>
      <c r="E698" s="10"/>
      <c r="G698" s="10"/>
    </row>
    <row r="699">
      <c r="A699" s="10"/>
      <c r="B699" s="48"/>
      <c r="C699" s="10"/>
      <c r="E699" s="10"/>
      <c r="G699" s="10"/>
    </row>
    <row r="700">
      <c r="A700" s="10"/>
      <c r="B700" s="48"/>
      <c r="C700" s="10"/>
      <c r="E700" s="10"/>
      <c r="G700" s="10"/>
    </row>
    <row r="701">
      <c r="A701" s="10"/>
      <c r="B701" s="48"/>
      <c r="C701" s="10"/>
      <c r="E701" s="10"/>
      <c r="G701" s="10"/>
    </row>
    <row r="702">
      <c r="A702" s="10"/>
      <c r="B702" s="48"/>
      <c r="C702" s="10"/>
      <c r="E702" s="10"/>
      <c r="G702" s="10"/>
    </row>
    <row r="703">
      <c r="A703" s="10"/>
      <c r="B703" s="48"/>
      <c r="C703" s="10"/>
      <c r="E703" s="10"/>
      <c r="G703" s="10"/>
    </row>
    <row r="704">
      <c r="A704" s="10"/>
      <c r="B704" s="48"/>
      <c r="C704" s="10"/>
      <c r="E704" s="10"/>
      <c r="G704" s="10"/>
    </row>
    <row r="705">
      <c r="A705" s="10"/>
      <c r="B705" s="48"/>
      <c r="C705" s="10"/>
      <c r="E705" s="10"/>
      <c r="G705" s="10"/>
    </row>
    <row r="706">
      <c r="A706" s="10"/>
      <c r="B706" s="48"/>
      <c r="C706" s="10"/>
      <c r="E706" s="10"/>
      <c r="G706" s="10"/>
    </row>
    <row r="707">
      <c r="A707" s="10"/>
      <c r="B707" s="48"/>
      <c r="C707" s="10"/>
      <c r="E707" s="10"/>
      <c r="G707" s="10"/>
    </row>
    <row r="708">
      <c r="A708" s="10"/>
      <c r="B708" s="48"/>
      <c r="C708" s="10"/>
      <c r="E708" s="10"/>
      <c r="G708" s="10"/>
    </row>
    <row r="709">
      <c r="A709" s="10"/>
      <c r="B709" s="48"/>
      <c r="C709" s="10"/>
      <c r="E709" s="10"/>
      <c r="G709" s="10"/>
    </row>
    <row r="710">
      <c r="A710" s="10"/>
      <c r="B710" s="48"/>
      <c r="C710" s="10"/>
      <c r="E710" s="10"/>
      <c r="G710" s="10"/>
    </row>
    <row r="711">
      <c r="A711" s="10"/>
      <c r="B711" s="48"/>
      <c r="C711" s="10"/>
      <c r="E711" s="10"/>
      <c r="G711" s="10"/>
    </row>
    <row r="712">
      <c r="A712" s="10"/>
      <c r="B712" s="48"/>
      <c r="C712" s="10"/>
      <c r="E712" s="10"/>
      <c r="G712" s="10"/>
    </row>
    <row r="713">
      <c r="A713" s="10"/>
      <c r="B713" s="48"/>
      <c r="C713" s="10"/>
      <c r="E713" s="10"/>
      <c r="G713" s="10"/>
    </row>
    <row r="714">
      <c r="A714" s="10"/>
      <c r="B714" s="48"/>
      <c r="C714" s="10"/>
      <c r="E714" s="10"/>
      <c r="G714" s="10"/>
    </row>
    <row r="715">
      <c r="A715" s="10"/>
      <c r="B715" s="48"/>
      <c r="C715" s="10"/>
      <c r="E715" s="10"/>
      <c r="G715" s="10"/>
    </row>
    <row r="716">
      <c r="A716" s="10"/>
      <c r="B716" s="48"/>
      <c r="C716" s="10"/>
      <c r="E716" s="10"/>
      <c r="G716" s="10"/>
    </row>
    <row r="717">
      <c r="A717" s="10"/>
      <c r="B717" s="48"/>
      <c r="C717" s="10"/>
      <c r="E717" s="10"/>
      <c r="G717" s="10"/>
    </row>
    <row r="718">
      <c r="A718" s="10"/>
      <c r="B718" s="48"/>
      <c r="C718" s="10"/>
      <c r="E718" s="10"/>
      <c r="G718" s="10"/>
    </row>
    <row r="719">
      <c r="A719" s="10"/>
      <c r="B719" s="48"/>
      <c r="C719" s="10"/>
      <c r="E719" s="10"/>
      <c r="G719" s="10"/>
    </row>
    <row r="720">
      <c r="A720" s="10"/>
      <c r="B720" s="48"/>
      <c r="C720" s="10"/>
      <c r="E720" s="10"/>
      <c r="G720" s="10"/>
    </row>
    <row r="721">
      <c r="A721" s="10"/>
      <c r="B721" s="48"/>
      <c r="C721" s="10"/>
      <c r="E721" s="10"/>
      <c r="G721" s="10"/>
    </row>
    <row r="722">
      <c r="A722" s="10"/>
      <c r="B722" s="48"/>
      <c r="C722" s="10"/>
      <c r="E722" s="10"/>
      <c r="G722" s="10"/>
    </row>
    <row r="723">
      <c r="A723" s="10"/>
      <c r="B723" s="48"/>
      <c r="C723" s="10"/>
      <c r="E723" s="10"/>
      <c r="G723" s="10"/>
    </row>
    <row r="724">
      <c r="A724" s="10"/>
      <c r="B724" s="48"/>
      <c r="C724" s="10"/>
      <c r="E724" s="10"/>
      <c r="G724" s="10"/>
    </row>
    <row r="725">
      <c r="A725" s="10"/>
      <c r="B725" s="48"/>
      <c r="C725" s="10"/>
      <c r="E725" s="10"/>
      <c r="G725" s="10"/>
    </row>
    <row r="726">
      <c r="A726" s="10"/>
      <c r="B726" s="48"/>
      <c r="C726" s="10"/>
      <c r="E726" s="10"/>
      <c r="G726" s="10"/>
    </row>
    <row r="727">
      <c r="A727" s="10"/>
      <c r="B727" s="48"/>
      <c r="C727" s="10"/>
      <c r="E727" s="10"/>
      <c r="G727" s="10"/>
    </row>
    <row r="728">
      <c r="A728" s="10"/>
      <c r="B728" s="48"/>
      <c r="C728" s="10"/>
      <c r="E728" s="10"/>
      <c r="G728" s="10"/>
    </row>
    <row r="729">
      <c r="A729" s="10"/>
      <c r="B729" s="48"/>
      <c r="C729" s="10"/>
      <c r="E729" s="10"/>
      <c r="G729" s="10"/>
    </row>
    <row r="730">
      <c r="A730" s="10"/>
      <c r="B730" s="48"/>
      <c r="C730" s="10"/>
      <c r="E730" s="10"/>
      <c r="G730" s="10"/>
    </row>
    <row r="731">
      <c r="A731" s="10"/>
      <c r="B731" s="48"/>
      <c r="C731" s="10"/>
      <c r="E731" s="10"/>
      <c r="G731" s="10"/>
    </row>
    <row r="732">
      <c r="A732" s="10"/>
      <c r="B732" s="48"/>
      <c r="C732" s="10"/>
      <c r="E732" s="10"/>
      <c r="G732" s="10"/>
    </row>
    <row r="733">
      <c r="A733" s="10"/>
      <c r="B733" s="48"/>
      <c r="C733" s="10"/>
      <c r="E733" s="10"/>
      <c r="G733" s="10"/>
    </row>
    <row r="734">
      <c r="A734" s="10"/>
      <c r="B734" s="48"/>
      <c r="C734" s="10"/>
      <c r="E734" s="10"/>
      <c r="G734" s="10"/>
    </row>
    <row r="735">
      <c r="A735" s="10"/>
      <c r="B735" s="48"/>
      <c r="C735" s="10"/>
      <c r="E735" s="10"/>
      <c r="G735" s="10"/>
    </row>
    <row r="736">
      <c r="A736" s="10"/>
      <c r="B736" s="48"/>
      <c r="C736" s="10"/>
      <c r="E736" s="10"/>
      <c r="G736" s="10"/>
    </row>
    <row r="737">
      <c r="A737" s="10"/>
      <c r="B737" s="48"/>
      <c r="C737" s="10"/>
      <c r="E737" s="10"/>
      <c r="G737" s="10"/>
    </row>
    <row r="738">
      <c r="A738" s="10"/>
      <c r="B738" s="48"/>
      <c r="C738" s="10"/>
      <c r="E738" s="10"/>
      <c r="G738" s="10"/>
    </row>
    <row r="739">
      <c r="A739" s="10"/>
      <c r="B739" s="48"/>
      <c r="C739" s="10"/>
      <c r="E739" s="10"/>
      <c r="G739" s="10"/>
    </row>
    <row r="740">
      <c r="A740" s="10"/>
      <c r="B740" s="48"/>
      <c r="C740" s="10"/>
      <c r="E740" s="10"/>
      <c r="G740" s="10"/>
    </row>
    <row r="741">
      <c r="A741" s="10"/>
      <c r="B741" s="48"/>
      <c r="C741" s="10"/>
      <c r="E741" s="10"/>
      <c r="G741" s="10"/>
    </row>
    <row r="742">
      <c r="A742" s="10"/>
      <c r="B742" s="48"/>
      <c r="C742" s="10"/>
      <c r="E742" s="10"/>
      <c r="G742" s="10"/>
    </row>
    <row r="743">
      <c r="A743" s="10"/>
      <c r="B743" s="48"/>
      <c r="C743" s="10"/>
      <c r="E743" s="10"/>
      <c r="G743" s="10"/>
    </row>
    <row r="744">
      <c r="A744" s="10"/>
      <c r="B744" s="48"/>
      <c r="C744" s="10"/>
      <c r="E744" s="10"/>
      <c r="G744" s="10"/>
    </row>
    <row r="745">
      <c r="A745" s="10"/>
      <c r="B745" s="48"/>
      <c r="C745" s="10"/>
      <c r="E745" s="10"/>
      <c r="G745" s="10"/>
    </row>
    <row r="746">
      <c r="A746" s="10"/>
      <c r="B746" s="48"/>
      <c r="C746" s="10"/>
      <c r="E746" s="10"/>
      <c r="G746" s="10"/>
    </row>
    <row r="747">
      <c r="A747" s="10"/>
      <c r="B747" s="48"/>
      <c r="C747" s="10"/>
      <c r="E747" s="10"/>
      <c r="G747" s="10"/>
    </row>
    <row r="748">
      <c r="A748" s="10"/>
      <c r="B748" s="48"/>
      <c r="C748" s="10"/>
      <c r="E748" s="10"/>
      <c r="G748" s="10"/>
    </row>
    <row r="749">
      <c r="A749" s="10"/>
      <c r="B749" s="48"/>
      <c r="C749" s="10"/>
      <c r="E749" s="10"/>
      <c r="G749" s="10"/>
    </row>
    <row r="750">
      <c r="A750" s="10"/>
      <c r="B750" s="48"/>
      <c r="C750" s="10"/>
      <c r="E750" s="10"/>
      <c r="G750" s="10"/>
    </row>
    <row r="751">
      <c r="A751" s="10"/>
      <c r="B751" s="48"/>
      <c r="C751" s="10"/>
      <c r="E751" s="10"/>
      <c r="G751" s="10"/>
    </row>
    <row r="752">
      <c r="A752" s="10"/>
      <c r="B752" s="48"/>
      <c r="C752" s="10"/>
      <c r="E752" s="10"/>
      <c r="G752" s="10"/>
    </row>
    <row r="753">
      <c r="A753" s="10"/>
      <c r="B753" s="48"/>
      <c r="C753" s="10"/>
      <c r="E753" s="10"/>
      <c r="G753" s="10"/>
    </row>
    <row r="754">
      <c r="A754" s="10"/>
      <c r="B754" s="48"/>
      <c r="C754" s="10"/>
      <c r="E754" s="10"/>
      <c r="G754" s="10"/>
    </row>
    <row r="755">
      <c r="A755" s="10"/>
      <c r="B755" s="48"/>
      <c r="C755" s="10"/>
      <c r="E755" s="10"/>
      <c r="G755" s="10"/>
    </row>
    <row r="756">
      <c r="A756" s="10"/>
      <c r="B756" s="48"/>
      <c r="C756" s="10"/>
      <c r="E756" s="10"/>
      <c r="G756" s="10"/>
    </row>
    <row r="757">
      <c r="A757" s="10"/>
      <c r="B757" s="48"/>
      <c r="C757" s="10"/>
      <c r="E757" s="10"/>
      <c r="G757" s="10"/>
    </row>
    <row r="758">
      <c r="A758" s="10"/>
      <c r="B758" s="48"/>
      <c r="C758" s="10"/>
      <c r="E758" s="10"/>
      <c r="G758" s="10"/>
    </row>
    <row r="759">
      <c r="A759" s="10"/>
      <c r="B759" s="48"/>
      <c r="C759" s="10"/>
      <c r="E759" s="10"/>
      <c r="G759" s="10"/>
    </row>
    <row r="760">
      <c r="A760" s="10"/>
      <c r="B760" s="48"/>
      <c r="C760" s="10"/>
      <c r="E760" s="10"/>
      <c r="G760" s="10"/>
    </row>
    <row r="761">
      <c r="A761" s="10"/>
      <c r="B761" s="48"/>
      <c r="C761" s="10"/>
      <c r="E761" s="10"/>
      <c r="G761" s="10"/>
    </row>
    <row r="762">
      <c r="A762" s="10"/>
      <c r="B762" s="48"/>
      <c r="C762" s="10"/>
      <c r="E762" s="10"/>
      <c r="G762" s="10"/>
    </row>
    <row r="763">
      <c r="A763" s="10"/>
      <c r="B763" s="48"/>
      <c r="C763" s="10"/>
      <c r="E763" s="10"/>
      <c r="G763" s="10"/>
    </row>
    <row r="764">
      <c r="A764" s="10"/>
      <c r="B764" s="48"/>
      <c r="C764" s="10"/>
      <c r="E764" s="10"/>
      <c r="G764" s="10"/>
    </row>
    <row r="765">
      <c r="A765" s="10"/>
      <c r="B765" s="48"/>
      <c r="C765" s="10"/>
      <c r="E765" s="10"/>
      <c r="G765" s="10"/>
    </row>
    <row r="766">
      <c r="A766" s="10"/>
      <c r="B766" s="48"/>
      <c r="C766" s="10"/>
      <c r="E766" s="10"/>
      <c r="G766" s="10"/>
    </row>
    <row r="767">
      <c r="A767" s="10"/>
      <c r="B767" s="48"/>
      <c r="C767" s="10"/>
      <c r="E767" s="10"/>
      <c r="G767" s="10"/>
    </row>
    <row r="768">
      <c r="A768" s="10"/>
      <c r="B768" s="48"/>
      <c r="C768" s="10"/>
      <c r="E768" s="10"/>
      <c r="G768" s="10"/>
    </row>
    <row r="769">
      <c r="A769" s="10"/>
      <c r="B769" s="48"/>
      <c r="C769" s="10"/>
      <c r="E769" s="10"/>
      <c r="G769" s="10"/>
    </row>
    <row r="770">
      <c r="A770" s="10"/>
      <c r="B770" s="48"/>
      <c r="C770" s="10"/>
      <c r="E770" s="10"/>
      <c r="G770" s="10"/>
    </row>
    <row r="771">
      <c r="A771" s="10"/>
      <c r="B771" s="48"/>
      <c r="C771" s="10"/>
      <c r="E771" s="10"/>
      <c r="G771" s="10"/>
    </row>
    <row r="772">
      <c r="A772" s="10"/>
      <c r="B772" s="48"/>
      <c r="C772" s="10"/>
      <c r="E772" s="10"/>
      <c r="G772" s="10"/>
    </row>
    <row r="773">
      <c r="A773" s="10"/>
      <c r="B773" s="48"/>
      <c r="C773" s="10"/>
      <c r="E773" s="10"/>
      <c r="G773" s="10"/>
    </row>
    <row r="774">
      <c r="A774" s="10"/>
      <c r="B774" s="48"/>
      <c r="C774" s="10"/>
      <c r="E774" s="10"/>
      <c r="G774" s="10"/>
    </row>
    <row r="775">
      <c r="A775" s="10"/>
      <c r="B775" s="48"/>
      <c r="C775" s="10"/>
      <c r="E775" s="10"/>
      <c r="G775" s="10"/>
    </row>
    <row r="776">
      <c r="A776" s="10"/>
      <c r="B776" s="48"/>
      <c r="C776" s="10"/>
      <c r="E776" s="10"/>
      <c r="G776" s="10"/>
    </row>
    <row r="777">
      <c r="A777" s="10"/>
      <c r="B777" s="48"/>
      <c r="C777" s="10"/>
      <c r="E777" s="10"/>
      <c r="G777" s="10"/>
    </row>
    <row r="778">
      <c r="A778" s="10"/>
      <c r="B778" s="48"/>
      <c r="C778" s="10"/>
      <c r="E778" s="10"/>
      <c r="G778" s="10"/>
    </row>
    <row r="779">
      <c r="A779" s="10"/>
      <c r="B779" s="48"/>
      <c r="C779" s="10"/>
      <c r="E779" s="10"/>
      <c r="G779" s="10"/>
    </row>
    <row r="780">
      <c r="A780" s="10"/>
      <c r="B780" s="48"/>
      <c r="C780" s="10"/>
      <c r="E780" s="10"/>
      <c r="G780" s="10"/>
    </row>
    <row r="781">
      <c r="A781" s="10"/>
      <c r="B781" s="48"/>
      <c r="C781" s="10"/>
      <c r="E781" s="10"/>
      <c r="G781" s="10"/>
    </row>
    <row r="782">
      <c r="A782" s="10"/>
      <c r="B782" s="48"/>
      <c r="C782" s="10"/>
      <c r="E782" s="10"/>
      <c r="G782" s="10"/>
    </row>
    <row r="783">
      <c r="A783" s="10"/>
      <c r="B783" s="48"/>
      <c r="C783" s="10"/>
      <c r="E783" s="10"/>
      <c r="G783" s="10"/>
    </row>
    <row r="784">
      <c r="A784" s="10"/>
      <c r="B784" s="48"/>
      <c r="C784" s="10"/>
      <c r="E784" s="10"/>
      <c r="G784" s="10"/>
    </row>
    <row r="785">
      <c r="A785" s="10"/>
      <c r="B785" s="48"/>
      <c r="C785" s="10"/>
      <c r="E785" s="10"/>
      <c r="G785" s="10"/>
    </row>
    <row r="786">
      <c r="A786" s="10"/>
      <c r="B786" s="48"/>
      <c r="C786" s="10"/>
      <c r="E786" s="10"/>
      <c r="G786" s="10"/>
    </row>
    <row r="787">
      <c r="A787" s="10"/>
      <c r="B787" s="48"/>
      <c r="C787" s="10"/>
      <c r="E787" s="10"/>
      <c r="G787" s="10"/>
    </row>
    <row r="788">
      <c r="A788" s="10"/>
      <c r="B788" s="48"/>
      <c r="C788" s="10"/>
      <c r="E788" s="10"/>
      <c r="G788" s="10"/>
    </row>
    <row r="789">
      <c r="A789" s="10"/>
      <c r="B789" s="48"/>
      <c r="C789" s="10"/>
      <c r="E789" s="10"/>
      <c r="G789" s="10"/>
    </row>
    <row r="790">
      <c r="A790" s="10"/>
      <c r="B790" s="48"/>
      <c r="C790" s="10"/>
      <c r="E790" s="10"/>
      <c r="G790" s="10"/>
    </row>
    <row r="791">
      <c r="A791" s="10"/>
      <c r="B791" s="48"/>
      <c r="C791" s="10"/>
      <c r="E791" s="10"/>
      <c r="G791" s="10"/>
    </row>
    <row r="792">
      <c r="A792" s="10"/>
      <c r="B792" s="48"/>
      <c r="C792" s="10"/>
      <c r="E792" s="10"/>
      <c r="G792" s="10"/>
    </row>
    <row r="793">
      <c r="A793" s="10"/>
      <c r="B793" s="48"/>
      <c r="C793" s="10"/>
      <c r="E793" s="10"/>
      <c r="G793" s="10"/>
    </row>
    <row r="794">
      <c r="A794" s="10"/>
      <c r="B794" s="48"/>
      <c r="C794" s="10"/>
      <c r="E794" s="10"/>
      <c r="G794" s="10"/>
    </row>
    <row r="795">
      <c r="A795" s="10"/>
      <c r="B795" s="48"/>
      <c r="C795" s="10"/>
      <c r="E795" s="10"/>
      <c r="G795" s="10"/>
    </row>
    <row r="796">
      <c r="A796" s="10"/>
      <c r="B796" s="48"/>
      <c r="C796" s="10"/>
      <c r="E796" s="10"/>
      <c r="G796" s="10"/>
    </row>
    <row r="797">
      <c r="A797" s="10"/>
      <c r="B797" s="48"/>
      <c r="C797" s="10"/>
      <c r="E797" s="10"/>
      <c r="G797" s="10"/>
    </row>
    <row r="798">
      <c r="A798" s="10"/>
      <c r="B798" s="48"/>
      <c r="C798" s="10"/>
      <c r="E798" s="10"/>
      <c r="G798" s="10"/>
    </row>
    <row r="799">
      <c r="A799" s="10"/>
      <c r="B799" s="48"/>
      <c r="C799" s="10"/>
      <c r="E799" s="10"/>
      <c r="G799" s="10"/>
    </row>
    <row r="800">
      <c r="A800" s="10"/>
      <c r="B800" s="48"/>
      <c r="C800" s="10"/>
      <c r="E800" s="10"/>
      <c r="G800" s="10"/>
    </row>
    <row r="801">
      <c r="A801" s="10"/>
      <c r="B801" s="48"/>
      <c r="C801" s="10"/>
      <c r="E801" s="10"/>
      <c r="G801" s="10"/>
    </row>
    <row r="802">
      <c r="A802" s="10"/>
      <c r="B802" s="48"/>
      <c r="C802" s="10"/>
      <c r="E802" s="10"/>
      <c r="G802" s="10"/>
    </row>
    <row r="803">
      <c r="A803" s="10"/>
      <c r="B803" s="48"/>
      <c r="C803" s="10"/>
      <c r="E803" s="10"/>
      <c r="G803" s="10"/>
    </row>
    <row r="804">
      <c r="A804" s="10"/>
      <c r="B804" s="48"/>
      <c r="C804" s="10"/>
      <c r="E804" s="10"/>
      <c r="G804" s="10"/>
    </row>
    <row r="805">
      <c r="A805" s="10"/>
      <c r="B805" s="48"/>
      <c r="C805" s="10"/>
      <c r="E805" s="10"/>
      <c r="G805" s="10"/>
    </row>
    <row r="806">
      <c r="A806" s="10"/>
      <c r="B806" s="48"/>
      <c r="C806" s="10"/>
      <c r="E806" s="10"/>
      <c r="G806" s="10"/>
    </row>
    <row r="807">
      <c r="A807" s="10"/>
      <c r="B807" s="48"/>
      <c r="C807" s="10"/>
      <c r="E807" s="10"/>
      <c r="G807" s="10"/>
    </row>
    <row r="808">
      <c r="A808" s="10"/>
      <c r="B808" s="48"/>
      <c r="C808" s="10"/>
      <c r="E808" s="10"/>
      <c r="G808" s="10"/>
    </row>
    <row r="809">
      <c r="A809" s="10"/>
      <c r="B809" s="48"/>
      <c r="C809" s="10"/>
      <c r="E809" s="10"/>
      <c r="G809" s="10"/>
    </row>
    <row r="810">
      <c r="A810" s="10"/>
      <c r="B810" s="48"/>
      <c r="C810" s="10"/>
      <c r="E810" s="10"/>
      <c r="G810" s="10"/>
    </row>
    <row r="811">
      <c r="A811" s="10"/>
      <c r="B811" s="48"/>
      <c r="C811" s="10"/>
      <c r="E811" s="10"/>
      <c r="G811" s="10"/>
    </row>
    <row r="812">
      <c r="A812" s="10"/>
      <c r="B812" s="48"/>
      <c r="C812" s="10"/>
      <c r="E812" s="10"/>
      <c r="G812" s="10"/>
    </row>
    <row r="813">
      <c r="A813" s="10"/>
      <c r="B813" s="48"/>
      <c r="C813" s="10"/>
      <c r="E813" s="10"/>
      <c r="G813" s="10"/>
    </row>
    <row r="814">
      <c r="A814" s="10"/>
      <c r="B814" s="48"/>
      <c r="C814" s="10"/>
      <c r="E814" s="10"/>
      <c r="G814" s="10"/>
    </row>
    <row r="815">
      <c r="A815" s="10"/>
      <c r="B815" s="48"/>
      <c r="C815" s="10"/>
      <c r="E815" s="10"/>
      <c r="G815" s="10"/>
    </row>
    <row r="816">
      <c r="A816" s="10"/>
      <c r="B816" s="48"/>
      <c r="C816" s="10"/>
      <c r="E816" s="10"/>
      <c r="G816" s="10"/>
    </row>
    <row r="817">
      <c r="A817" s="10"/>
      <c r="B817" s="48"/>
      <c r="C817" s="10"/>
      <c r="E817" s="10"/>
      <c r="G817" s="10"/>
    </row>
    <row r="818">
      <c r="A818" s="10"/>
      <c r="B818" s="48"/>
      <c r="C818" s="10"/>
      <c r="E818" s="10"/>
      <c r="G818" s="10"/>
    </row>
    <row r="819">
      <c r="A819" s="10"/>
      <c r="B819" s="48"/>
      <c r="C819" s="10"/>
      <c r="E819" s="10"/>
      <c r="G819" s="10"/>
    </row>
    <row r="820">
      <c r="A820" s="10"/>
      <c r="B820" s="48"/>
      <c r="C820" s="10"/>
      <c r="E820" s="10"/>
      <c r="G820" s="10"/>
    </row>
    <row r="821">
      <c r="A821" s="10"/>
      <c r="B821" s="48"/>
      <c r="C821" s="10"/>
      <c r="E821" s="10"/>
      <c r="G821" s="10"/>
    </row>
    <row r="822">
      <c r="A822" s="10"/>
      <c r="B822" s="48"/>
      <c r="C822" s="10"/>
      <c r="E822" s="10"/>
      <c r="G822" s="10"/>
    </row>
    <row r="823">
      <c r="A823" s="10"/>
      <c r="B823" s="48"/>
      <c r="C823" s="10"/>
      <c r="E823" s="10"/>
      <c r="G823" s="10"/>
    </row>
    <row r="824">
      <c r="A824" s="10"/>
      <c r="B824" s="48"/>
      <c r="C824" s="10"/>
      <c r="E824" s="10"/>
      <c r="G824" s="10"/>
    </row>
    <row r="825">
      <c r="A825" s="10"/>
      <c r="B825" s="48"/>
      <c r="C825" s="10"/>
      <c r="E825" s="10"/>
      <c r="G825" s="10"/>
    </row>
    <row r="826">
      <c r="A826" s="10"/>
      <c r="B826" s="48"/>
      <c r="C826" s="10"/>
      <c r="E826" s="10"/>
      <c r="G826" s="10"/>
    </row>
    <row r="827">
      <c r="A827" s="10"/>
      <c r="B827" s="48"/>
      <c r="C827" s="10"/>
      <c r="E827" s="10"/>
      <c r="G827" s="10"/>
    </row>
    <row r="828">
      <c r="A828" s="10"/>
      <c r="B828" s="48"/>
      <c r="C828" s="10"/>
      <c r="E828" s="10"/>
      <c r="G828" s="10"/>
    </row>
    <row r="829">
      <c r="A829" s="10"/>
      <c r="B829" s="48"/>
      <c r="C829" s="10"/>
      <c r="E829" s="10"/>
      <c r="G829" s="10"/>
    </row>
    <row r="830">
      <c r="A830" s="10"/>
      <c r="B830" s="48"/>
      <c r="C830" s="10"/>
      <c r="E830" s="10"/>
      <c r="G830" s="10"/>
    </row>
    <row r="831">
      <c r="A831" s="10"/>
      <c r="B831" s="48"/>
      <c r="C831" s="10"/>
      <c r="E831" s="10"/>
      <c r="G831" s="10"/>
    </row>
    <row r="832">
      <c r="A832" s="10"/>
      <c r="B832" s="48"/>
      <c r="C832" s="10"/>
      <c r="E832" s="10"/>
      <c r="G832" s="10"/>
    </row>
    <row r="833">
      <c r="A833" s="10"/>
      <c r="B833" s="48"/>
      <c r="C833" s="10"/>
      <c r="E833" s="10"/>
      <c r="G833" s="10"/>
    </row>
    <row r="834">
      <c r="A834" s="10"/>
      <c r="B834" s="48"/>
      <c r="C834" s="10"/>
      <c r="E834" s="10"/>
      <c r="G834" s="10"/>
    </row>
    <row r="835">
      <c r="A835" s="10"/>
      <c r="B835" s="48"/>
      <c r="C835" s="10"/>
      <c r="E835" s="10"/>
      <c r="G835" s="10"/>
    </row>
    <row r="836">
      <c r="A836" s="10"/>
      <c r="B836" s="48"/>
      <c r="C836" s="10"/>
      <c r="E836" s="10"/>
      <c r="G836" s="10"/>
    </row>
    <row r="837">
      <c r="A837" s="10"/>
      <c r="B837" s="48"/>
      <c r="C837" s="10"/>
      <c r="E837" s="10"/>
      <c r="G837" s="10"/>
    </row>
    <row r="838">
      <c r="A838" s="10"/>
      <c r="B838" s="48"/>
      <c r="C838" s="10"/>
      <c r="E838" s="10"/>
      <c r="G838" s="10"/>
    </row>
    <row r="839">
      <c r="A839" s="10"/>
      <c r="B839" s="48"/>
      <c r="C839" s="10"/>
      <c r="E839" s="10"/>
      <c r="G839" s="10"/>
    </row>
    <row r="840">
      <c r="A840" s="10"/>
      <c r="B840" s="48"/>
      <c r="C840" s="10"/>
      <c r="E840" s="10"/>
      <c r="G840" s="10"/>
    </row>
    <row r="841">
      <c r="A841" s="10"/>
      <c r="B841" s="48"/>
      <c r="C841" s="10"/>
      <c r="E841" s="10"/>
      <c r="G841" s="10"/>
    </row>
    <row r="842">
      <c r="A842" s="10"/>
      <c r="B842" s="48"/>
      <c r="C842" s="10"/>
      <c r="E842" s="10"/>
      <c r="G842" s="10"/>
    </row>
    <row r="843">
      <c r="A843" s="10"/>
      <c r="B843" s="48"/>
      <c r="C843" s="10"/>
      <c r="E843" s="10"/>
      <c r="G843" s="10"/>
    </row>
    <row r="844">
      <c r="A844" s="10"/>
      <c r="B844" s="48"/>
      <c r="C844" s="10"/>
      <c r="E844" s="10"/>
      <c r="G844" s="10"/>
    </row>
    <row r="845">
      <c r="A845" s="10"/>
      <c r="B845" s="48"/>
      <c r="C845" s="10"/>
      <c r="E845" s="10"/>
      <c r="G845" s="10"/>
    </row>
    <row r="846">
      <c r="A846" s="10"/>
      <c r="B846" s="48"/>
      <c r="C846" s="10"/>
      <c r="E846" s="10"/>
      <c r="G846" s="10"/>
    </row>
    <row r="847">
      <c r="A847" s="10"/>
      <c r="B847" s="48"/>
      <c r="C847" s="10"/>
      <c r="E847" s="10"/>
      <c r="G847" s="10"/>
    </row>
    <row r="848">
      <c r="A848" s="10"/>
      <c r="B848" s="48"/>
      <c r="C848" s="10"/>
      <c r="E848" s="10"/>
      <c r="G848" s="10"/>
    </row>
    <row r="849">
      <c r="A849" s="10"/>
      <c r="B849" s="48"/>
      <c r="C849" s="10"/>
      <c r="E849" s="10"/>
      <c r="G849" s="10"/>
    </row>
    <row r="850">
      <c r="A850" s="10"/>
      <c r="B850" s="48"/>
      <c r="C850" s="10"/>
      <c r="E850" s="10"/>
      <c r="G850" s="10"/>
    </row>
    <row r="851">
      <c r="A851" s="10"/>
      <c r="B851" s="48"/>
      <c r="C851" s="10"/>
      <c r="E851" s="10"/>
      <c r="G851" s="10"/>
    </row>
    <row r="852">
      <c r="A852" s="10"/>
      <c r="B852" s="48"/>
      <c r="C852" s="10"/>
      <c r="E852" s="10"/>
      <c r="G852" s="10"/>
    </row>
    <row r="853">
      <c r="A853" s="10"/>
      <c r="B853" s="48"/>
      <c r="C853" s="10"/>
      <c r="E853" s="10"/>
      <c r="G853" s="10"/>
    </row>
    <row r="854">
      <c r="A854" s="10"/>
      <c r="B854" s="48"/>
      <c r="C854" s="10"/>
      <c r="E854" s="10"/>
      <c r="G854" s="10"/>
    </row>
    <row r="855">
      <c r="A855" s="10"/>
      <c r="B855" s="48"/>
      <c r="C855" s="10"/>
      <c r="E855" s="10"/>
      <c r="G855" s="10"/>
    </row>
    <row r="856">
      <c r="A856" s="10"/>
      <c r="B856" s="48"/>
      <c r="C856" s="10"/>
      <c r="E856" s="10"/>
      <c r="G856" s="10"/>
    </row>
    <row r="857">
      <c r="A857" s="10"/>
      <c r="B857" s="48"/>
      <c r="C857" s="10"/>
      <c r="E857" s="10"/>
      <c r="G857" s="10"/>
    </row>
    <row r="858">
      <c r="A858" s="10"/>
      <c r="B858" s="48"/>
      <c r="C858" s="10"/>
      <c r="E858" s="10"/>
      <c r="G858" s="10"/>
    </row>
    <row r="859">
      <c r="A859" s="10"/>
      <c r="B859" s="48"/>
      <c r="C859" s="10"/>
      <c r="E859" s="10"/>
      <c r="G859" s="10"/>
    </row>
    <row r="860">
      <c r="A860" s="10"/>
      <c r="B860" s="48"/>
      <c r="C860" s="10"/>
      <c r="E860" s="10"/>
      <c r="G860" s="10"/>
    </row>
    <row r="861">
      <c r="A861" s="10"/>
      <c r="B861" s="48"/>
      <c r="C861" s="10"/>
      <c r="E861" s="10"/>
      <c r="G861" s="10"/>
    </row>
    <row r="862">
      <c r="A862" s="10"/>
      <c r="B862" s="48"/>
      <c r="C862" s="10"/>
      <c r="E862" s="10"/>
      <c r="G862" s="10"/>
    </row>
    <row r="863">
      <c r="A863" s="10"/>
      <c r="B863" s="48"/>
      <c r="C863" s="10"/>
      <c r="E863" s="10"/>
      <c r="G863" s="10"/>
    </row>
    <row r="864">
      <c r="A864" s="10"/>
      <c r="B864" s="48"/>
      <c r="C864" s="10"/>
      <c r="E864" s="10"/>
      <c r="G864" s="10"/>
    </row>
    <row r="865">
      <c r="A865" s="10"/>
      <c r="B865" s="48"/>
      <c r="C865" s="10"/>
      <c r="E865" s="10"/>
      <c r="G865" s="10"/>
    </row>
    <row r="866">
      <c r="A866" s="10"/>
      <c r="B866" s="48"/>
      <c r="C866" s="10"/>
      <c r="E866" s="10"/>
      <c r="G866" s="10"/>
    </row>
    <row r="867">
      <c r="A867" s="10"/>
      <c r="B867" s="48"/>
      <c r="C867" s="10"/>
      <c r="E867" s="10"/>
      <c r="G867" s="10"/>
    </row>
    <row r="868">
      <c r="A868" s="10"/>
      <c r="B868" s="48"/>
      <c r="C868" s="10"/>
      <c r="E868" s="10"/>
      <c r="G868" s="10"/>
    </row>
    <row r="869">
      <c r="A869" s="10"/>
      <c r="B869" s="48"/>
      <c r="C869" s="10"/>
      <c r="E869" s="10"/>
      <c r="G869" s="10"/>
    </row>
    <row r="870">
      <c r="A870" s="10"/>
      <c r="B870" s="48"/>
      <c r="C870" s="10"/>
      <c r="E870" s="10"/>
      <c r="G870" s="10"/>
    </row>
    <row r="871">
      <c r="A871" s="10"/>
      <c r="B871" s="48"/>
      <c r="C871" s="10"/>
      <c r="E871" s="10"/>
      <c r="G871" s="10"/>
    </row>
    <row r="872">
      <c r="A872" s="10"/>
      <c r="B872" s="48"/>
      <c r="C872" s="10"/>
      <c r="E872" s="10"/>
      <c r="G872" s="10"/>
    </row>
    <row r="873">
      <c r="A873" s="10"/>
      <c r="B873" s="48"/>
      <c r="C873" s="10"/>
      <c r="E873" s="10"/>
      <c r="G873" s="10"/>
    </row>
    <row r="874">
      <c r="A874" s="10"/>
      <c r="B874" s="48"/>
      <c r="C874" s="10"/>
      <c r="E874" s="10"/>
      <c r="G874" s="10"/>
    </row>
    <row r="875">
      <c r="A875" s="10"/>
      <c r="B875" s="48"/>
      <c r="C875" s="10"/>
      <c r="E875" s="10"/>
      <c r="G875" s="10"/>
    </row>
    <row r="876">
      <c r="A876" s="10"/>
      <c r="B876" s="48"/>
      <c r="C876" s="10"/>
      <c r="E876" s="10"/>
      <c r="G876" s="10"/>
    </row>
    <row r="877">
      <c r="A877" s="10"/>
      <c r="B877" s="48"/>
      <c r="C877" s="10"/>
      <c r="E877" s="10"/>
      <c r="G877" s="10"/>
    </row>
    <row r="878">
      <c r="A878" s="10"/>
      <c r="B878" s="48"/>
      <c r="C878" s="10"/>
      <c r="E878" s="10"/>
      <c r="G878" s="10"/>
    </row>
    <row r="879">
      <c r="A879" s="10"/>
      <c r="B879" s="48"/>
      <c r="C879" s="10"/>
      <c r="E879" s="10"/>
      <c r="G879" s="10"/>
    </row>
    <row r="880">
      <c r="A880" s="10"/>
      <c r="B880" s="48"/>
      <c r="C880" s="10"/>
      <c r="E880" s="10"/>
      <c r="G880" s="10"/>
    </row>
    <row r="881">
      <c r="A881" s="10"/>
      <c r="B881" s="48"/>
      <c r="C881" s="10"/>
      <c r="E881" s="10"/>
      <c r="G881" s="10"/>
    </row>
    <row r="882">
      <c r="A882" s="10"/>
      <c r="B882" s="48"/>
      <c r="C882" s="10"/>
      <c r="E882" s="10"/>
      <c r="G882" s="10"/>
    </row>
    <row r="883">
      <c r="A883" s="10"/>
      <c r="B883" s="48"/>
      <c r="C883" s="10"/>
      <c r="E883" s="10"/>
      <c r="G883" s="10"/>
    </row>
    <row r="884">
      <c r="A884" s="10"/>
      <c r="B884" s="48"/>
      <c r="C884" s="10"/>
      <c r="E884" s="10"/>
      <c r="G884" s="10"/>
    </row>
    <row r="885">
      <c r="A885" s="10"/>
      <c r="B885" s="48"/>
      <c r="C885" s="10"/>
      <c r="E885" s="10"/>
      <c r="G885" s="10"/>
    </row>
    <row r="886">
      <c r="A886" s="10"/>
      <c r="B886" s="48"/>
      <c r="C886" s="10"/>
      <c r="E886" s="10"/>
      <c r="G886" s="10"/>
    </row>
    <row r="887">
      <c r="A887" s="10"/>
      <c r="B887" s="48"/>
      <c r="C887" s="10"/>
      <c r="E887" s="10"/>
      <c r="G887" s="10"/>
    </row>
    <row r="888">
      <c r="A888" s="10"/>
      <c r="B888" s="48"/>
      <c r="C888" s="10"/>
      <c r="E888" s="10"/>
      <c r="G888" s="10"/>
    </row>
    <row r="889">
      <c r="A889" s="10"/>
      <c r="B889" s="48"/>
      <c r="C889" s="10"/>
      <c r="E889" s="10"/>
      <c r="G889" s="10"/>
    </row>
    <row r="890">
      <c r="A890" s="10"/>
      <c r="B890" s="48"/>
      <c r="C890" s="10"/>
      <c r="E890" s="10"/>
      <c r="G890" s="10"/>
    </row>
    <row r="891">
      <c r="A891" s="10"/>
      <c r="B891" s="48"/>
      <c r="C891" s="10"/>
      <c r="E891" s="10"/>
      <c r="G891" s="10"/>
    </row>
    <row r="892">
      <c r="A892" s="10"/>
      <c r="B892" s="48"/>
      <c r="C892" s="10"/>
      <c r="E892" s="10"/>
      <c r="G892" s="10"/>
    </row>
    <row r="893">
      <c r="A893" s="10"/>
      <c r="B893" s="48"/>
      <c r="C893" s="10"/>
      <c r="E893" s="10"/>
      <c r="G893" s="10"/>
    </row>
    <row r="894">
      <c r="A894" s="10"/>
      <c r="B894" s="48"/>
      <c r="C894" s="10"/>
      <c r="E894" s="10"/>
      <c r="G894" s="10"/>
    </row>
    <row r="895">
      <c r="A895" s="10"/>
      <c r="B895" s="48"/>
      <c r="C895" s="10"/>
      <c r="E895" s="10"/>
      <c r="G895" s="10"/>
    </row>
    <row r="896">
      <c r="A896" s="10"/>
      <c r="B896" s="48"/>
      <c r="C896" s="10"/>
      <c r="E896" s="10"/>
      <c r="G896" s="10"/>
    </row>
    <row r="897">
      <c r="A897" s="10"/>
      <c r="B897" s="48"/>
      <c r="C897" s="10"/>
      <c r="E897" s="10"/>
      <c r="G897" s="10"/>
    </row>
    <row r="898">
      <c r="A898" s="10"/>
      <c r="B898" s="48"/>
      <c r="C898" s="10"/>
      <c r="E898" s="10"/>
      <c r="G898" s="10"/>
    </row>
    <row r="899">
      <c r="A899" s="10"/>
      <c r="B899" s="48"/>
      <c r="C899" s="10"/>
      <c r="E899" s="10"/>
      <c r="G899" s="10"/>
    </row>
    <row r="900">
      <c r="A900" s="10"/>
      <c r="B900" s="48"/>
      <c r="C900" s="10"/>
      <c r="E900" s="10"/>
      <c r="G900" s="10"/>
    </row>
    <row r="901">
      <c r="A901" s="10"/>
      <c r="B901" s="48"/>
      <c r="C901" s="10"/>
      <c r="E901" s="10"/>
      <c r="G901" s="10"/>
    </row>
    <row r="902">
      <c r="A902" s="10"/>
      <c r="B902" s="48"/>
      <c r="C902" s="10"/>
      <c r="E902" s="10"/>
      <c r="G902" s="10"/>
    </row>
    <row r="903">
      <c r="A903" s="10"/>
      <c r="B903" s="48"/>
      <c r="C903" s="10"/>
      <c r="E903" s="10"/>
      <c r="G903" s="10"/>
    </row>
    <row r="904">
      <c r="A904" s="10"/>
      <c r="B904" s="48"/>
      <c r="C904" s="10"/>
      <c r="E904" s="10"/>
      <c r="G904" s="10"/>
    </row>
    <row r="905">
      <c r="A905" s="10"/>
      <c r="B905" s="48"/>
      <c r="C905" s="10"/>
      <c r="E905" s="10"/>
      <c r="G905" s="10"/>
    </row>
    <row r="906">
      <c r="A906" s="10"/>
      <c r="B906" s="48"/>
      <c r="C906" s="10"/>
      <c r="E906" s="10"/>
      <c r="G906" s="10"/>
    </row>
    <row r="907">
      <c r="A907" s="10"/>
      <c r="B907" s="48"/>
      <c r="C907" s="10"/>
      <c r="E907" s="10"/>
      <c r="G907" s="10"/>
    </row>
    <row r="908">
      <c r="A908" s="10"/>
      <c r="B908" s="48"/>
      <c r="C908" s="10"/>
      <c r="E908" s="10"/>
      <c r="G908" s="10"/>
    </row>
    <row r="909">
      <c r="A909" s="10"/>
      <c r="B909" s="48"/>
      <c r="C909" s="10"/>
      <c r="E909" s="10"/>
      <c r="G909" s="10"/>
    </row>
    <row r="910">
      <c r="A910" s="10"/>
      <c r="B910" s="48"/>
      <c r="C910" s="10"/>
      <c r="E910" s="10"/>
      <c r="G910" s="10"/>
    </row>
    <row r="911">
      <c r="A911" s="10"/>
      <c r="B911" s="48"/>
      <c r="C911" s="10"/>
      <c r="E911" s="10"/>
      <c r="G911" s="10"/>
    </row>
    <row r="912">
      <c r="A912" s="10"/>
      <c r="B912" s="48"/>
      <c r="C912" s="10"/>
      <c r="E912" s="10"/>
      <c r="G912" s="10"/>
    </row>
    <row r="913">
      <c r="A913" s="10"/>
      <c r="B913" s="48"/>
      <c r="C913" s="10"/>
      <c r="E913" s="10"/>
      <c r="G913" s="10"/>
    </row>
    <row r="914">
      <c r="A914" s="10"/>
      <c r="B914" s="48"/>
      <c r="C914" s="10"/>
      <c r="E914" s="10"/>
      <c r="G914" s="10"/>
    </row>
    <row r="915">
      <c r="A915" s="10"/>
      <c r="B915" s="48"/>
      <c r="C915" s="10"/>
      <c r="E915" s="10"/>
      <c r="G915" s="10"/>
    </row>
    <row r="916">
      <c r="A916" s="10"/>
      <c r="B916" s="48"/>
      <c r="C916" s="10"/>
      <c r="E916" s="10"/>
      <c r="G916" s="10"/>
    </row>
    <row r="917">
      <c r="A917" s="10"/>
      <c r="B917" s="48"/>
      <c r="C917" s="10"/>
      <c r="E917" s="10"/>
      <c r="G917" s="10"/>
    </row>
    <row r="918">
      <c r="A918" s="10"/>
      <c r="B918" s="48"/>
      <c r="C918" s="10"/>
      <c r="E918" s="10"/>
      <c r="G918" s="10"/>
    </row>
    <row r="919">
      <c r="A919" s="10"/>
      <c r="B919" s="48"/>
      <c r="C919" s="10"/>
      <c r="E919" s="10"/>
      <c r="G919" s="10"/>
    </row>
    <row r="920">
      <c r="A920" s="10"/>
      <c r="B920" s="48"/>
      <c r="C920" s="10"/>
      <c r="E920" s="10"/>
      <c r="G920" s="10"/>
    </row>
    <row r="921">
      <c r="A921" s="10"/>
      <c r="B921" s="48"/>
      <c r="C921" s="10"/>
      <c r="E921" s="10"/>
      <c r="G921" s="10"/>
    </row>
    <row r="922">
      <c r="A922" s="10"/>
      <c r="B922" s="48"/>
      <c r="C922" s="10"/>
      <c r="E922" s="10"/>
      <c r="G922" s="10"/>
    </row>
    <row r="923">
      <c r="A923" s="10"/>
      <c r="B923" s="48"/>
      <c r="C923" s="10"/>
      <c r="E923" s="10"/>
      <c r="G923" s="10"/>
    </row>
    <row r="924">
      <c r="A924" s="10"/>
      <c r="B924" s="48"/>
      <c r="C924" s="10"/>
      <c r="E924" s="10"/>
      <c r="G924" s="10"/>
    </row>
    <row r="925">
      <c r="A925" s="10"/>
      <c r="B925" s="48"/>
      <c r="C925" s="10"/>
      <c r="E925" s="10"/>
      <c r="G925" s="10"/>
    </row>
    <row r="926">
      <c r="A926" s="10"/>
      <c r="B926" s="48"/>
      <c r="C926" s="10"/>
      <c r="E926" s="10"/>
      <c r="G926" s="10"/>
    </row>
    <row r="927">
      <c r="A927" s="10"/>
      <c r="B927" s="48"/>
      <c r="C927" s="10"/>
      <c r="E927" s="10"/>
      <c r="G927" s="10"/>
    </row>
    <row r="928">
      <c r="A928" s="10"/>
      <c r="B928" s="48"/>
      <c r="C928" s="10"/>
      <c r="E928" s="10"/>
      <c r="G928" s="10"/>
    </row>
    <row r="929">
      <c r="A929" s="10"/>
      <c r="B929" s="48"/>
      <c r="C929" s="10"/>
      <c r="E929" s="10"/>
      <c r="G929" s="10"/>
    </row>
    <row r="930">
      <c r="A930" s="10"/>
      <c r="B930" s="48"/>
      <c r="C930" s="10"/>
      <c r="E930" s="10"/>
      <c r="G930" s="10"/>
    </row>
    <row r="931">
      <c r="A931" s="10"/>
      <c r="B931" s="48"/>
      <c r="C931" s="10"/>
      <c r="E931" s="10"/>
      <c r="G931" s="10"/>
    </row>
    <row r="932">
      <c r="A932" s="10"/>
      <c r="B932" s="48"/>
      <c r="C932" s="10"/>
      <c r="E932" s="10"/>
      <c r="G932" s="10"/>
    </row>
    <row r="933">
      <c r="A933" s="10"/>
      <c r="B933" s="48"/>
      <c r="C933" s="10"/>
      <c r="E933" s="10"/>
      <c r="G933" s="10"/>
    </row>
    <row r="934">
      <c r="A934" s="10"/>
      <c r="B934" s="48"/>
      <c r="C934" s="10"/>
      <c r="E934" s="10"/>
      <c r="G934" s="10"/>
    </row>
    <row r="935">
      <c r="A935" s="10"/>
      <c r="B935" s="48"/>
      <c r="C935" s="10"/>
      <c r="E935" s="10"/>
      <c r="G935" s="10"/>
    </row>
    <row r="936">
      <c r="A936" s="10"/>
      <c r="B936" s="48"/>
      <c r="C936" s="10"/>
      <c r="E936" s="10"/>
      <c r="G936" s="10"/>
    </row>
    <row r="937">
      <c r="A937" s="10"/>
      <c r="B937" s="48"/>
      <c r="C937" s="10"/>
      <c r="E937" s="10"/>
      <c r="G937" s="10"/>
    </row>
    <row r="938">
      <c r="A938" s="10"/>
      <c r="B938" s="48"/>
      <c r="C938" s="10"/>
      <c r="E938" s="10"/>
      <c r="G938" s="10"/>
    </row>
    <row r="939">
      <c r="A939" s="10"/>
      <c r="B939" s="48"/>
      <c r="C939" s="10"/>
      <c r="E939" s="10"/>
      <c r="G939" s="10"/>
    </row>
    <row r="940">
      <c r="A940" s="10"/>
      <c r="B940" s="48"/>
      <c r="C940" s="10"/>
      <c r="E940" s="10"/>
      <c r="G940" s="10"/>
    </row>
    <row r="941">
      <c r="A941" s="10"/>
      <c r="B941" s="48"/>
      <c r="C941" s="10"/>
      <c r="E941" s="10"/>
      <c r="G941" s="10"/>
    </row>
    <row r="942">
      <c r="A942" s="10"/>
      <c r="B942" s="48"/>
      <c r="C942" s="10"/>
      <c r="E942" s="10"/>
      <c r="G942" s="10"/>
    </row>
    <row r="943">
      <c r="A943" s="10"/>
      <c r="B943" s="48"/>
      <c r="C943" s="10"/>
      <c r="E943" s="10"/>
      <c r="G943" s="10"/>
    </row>
    <row r="944">
      <c r="A944" s="10"/>
      <c r="B944" s="48"/>
      <c r="C944" s="10"/>
      <c r="E944" s="10"/>
      <c r="G944" s="10"/>
    </row>
    <row r="945">
      <c r="A945" s="10"/>
      <c r="B945" s="48"/>
      <c r="C945" s="10"/>
      <c r="E945" s="10"/>
      <c r="G945" s="10"/>
    </row>
    <row r="946">
      <c r="A946" s="10"/>
      <c r="B946" s="48"/>
      <c r="C946" s="10"/>
      <c r="E946" s="10"/>
      <c r="G946" s="10"/>
    </row>
    <row r="947">
      <c r="A947" s="10"/>
      <c r="B947" s="48"/>
      <c r="C947" s="10"/>
      <c r="E947" s="10"/>
      <c r="G947" s="10"/>
    </row>
    <row r="948">
      <c r="A948" s="10"/>
      <c r="B948" s="48"/>
      <c r="C948" s="10"/>
      <c r="E948" s="10"/>
      <c r="G948" s="10"/>
    </row>
    <row r="949">
      <c r="A949" s="10"/>
      <c r="B949" s="48"/>
      <c r="C949" s="10"/>
      <c r="E949" s="10"/>
      <c r="G949" s="10"/>
    </row>
    <row r="950">
      <c r="A950" s="10"/>
      <c r="B950" s="48"/>
      <c r="C950" s="10"/>
      <c r="E950" s="10"/>
      <c r="G950" s="10"/>
    </row>
    <row r="951">
      <c r="A951" s="10"/>
      <c r="B951" s="48"/>
      <c r="C951" s="10"/>
      <c r="E951" s="10"/>
      <c r="G951" s="10"/>
    </row>
    <row r="952">
      <c r="A952" s="10"/>
      <c r="B952" s="48"/>
      <c r="C952" s="10"/>
      <c r="E952" s="10"/>
      <c r="G952" s="10"/>
    </row>
    <row r="953">
      <c r="A953" s="10"/>
      <c r="B953" s="48"/>
      <c r="C953" s="10"/>
      <c r="E953" s="10"/>
      <c r="G953" s="10"/>
    </row>
    <row r="954">
      <c r="A954" s="10"/>
      <c r="B954" s="48"/>
      <c r="C954" s="10"/>
      <c r="E954" s="10"/>
      <c r="G954" s="10"/>
    </row>
    <row r="955">
      <c r="A955" s="10"/>
      <c r="B955" s="48"/>
      <c r="C955" s="10"/>
      <c r="E955" s="10"/>
      <c r="G955" s="10"/>
    </row>
    <row r="956">
      <c r="A956" s="10"/>
      <c r="B956" s="48"/>
      <c r="C956" s="10"/>
      <c r="E956" s="10"/>
      <c r="G956" s="10"/>
    </row>
    <row r="957">
      <c r="A957" s="10"/>
      <c r="B957" s="48"/>
      <c r="C957" s="10"/>
      <c r="E957" s="10"/>
      <c r="G957" s="10"/>
    </row>
    <row r="958">
      <c r="A958" s="10"/>
      <c r="B958" s="48"/>
      <c r="C958" s="10"/>
      <c r="E958" s="10"/>
      <c r="G958" s="10"/>
    </row>
    <row r="959">
      <c r="A959" s="10"/>
      <c r="B959" s="48"/>
      <c r="C959" s="10"/>
      <c r="E959" s="10"/>
      <c r="G959" s="10"/>
    </row>
    <row r="960">
      <c r="A960" s="10"/>
      <c r="B960" s="48"/>
      <c r="C960" s="10"/>
      <c r="E960" s="10"/>
      <c r="G960" s="10"/>
    </row>
    <row r="961">
      <c r="A961" s="10"/>
      <c r="B961" s="48"/>
      <c r="C961" s="10"/>
      <c r="E961" s="10"/>
      <c r="G961" s="10"/>
    </row>
    <row r="962">
      <c r="A962" s="10"/>
      <c r="B962" s="48"/>
      <c r="C962" s="10"/>
      <c r="E962" s="10"/>
      <c r="G962" s="10"/>
    </row>
    <row r="963">
      <c r="A963" s="10"/>
      <c r="B963" s="48"/>
      <c r="C963" s="10"/>
      <c r="E963" s="10"/>
      <c r="G963" s="10"/>
    </row>
    <row r="964">
      <c r="A964" s="10"/>
      <c r="B964" s="48"/>
      <c r="C964" s="10"/>
      <c r="E964" s="10"/>
      <c r="G964" s="10"/>
    </row>
    <row r="965">
      <c r="A965" s="10"/>
      <c r="B965" s="48"/>
      <c r="C965" s="10"/>
      <c r="E965" s="10"/>
      <c r="G965" s="10"/>
    </row>
    <row r="966">
      <c r="A966" s="10"/>
      <c r="B966" s="48"/>
      <c r="C966" s="10"/>
      <c r="E966" s="10"/>
      <c r="G966" s="10"/>
    </row>
    <row r="967">
      <c r="A967" s="10"/>
      <c r="B967" s="48"/>
      <c r="C967" s="10"/>
      <c r="E967" s="10"/>
      <c r="G967" s="10"/>
    </row>
    <row r="968">
      <c r="A968" s="10"/>
      <c r="B968" s="48"/>
      <c r="C968" s="10"/>
      <c r="E968" s="10"/>
      <c r="G968" s="10"/>
    </row>
    <row r="969">
      <c r="A969" s="10"/>
      <c r="B969" s="48"/>
      <c r="C969" s="10"/>
      <c r="E969" s="10"/>
      <c r="G969" s="10"/>
    </row>
    <row r="970">
      <c r="A970" s="10"/>
      <c r="B970" s="48"/>
      <c r="C970" s="10"/>
      <c r="E970" s="10"/>
      <c r="G970" s="10"/>
    </row>
    <row r="971">
      <c r="A971" s="10"/>
      <c r="B971" s="48"/>
      <c r="C971" s="10"/>
      <c r="E971" s="10"/>
      <c r="G971" s="10"/>
    </row>
    <row r="972">
      <c r="A972" s="10"/>
      <c r="B972" s="48"/>
      <c r="C972" s="10"/>
      <c r="E972" s="10"/>
      <c r="G972" s="10"/>
    </row>
    <row r="973">
      <c r="A973" s="10"/>
      <c r="B973" s="48"/>
      <c r="C973" s="10"/>
      <c r="E973" s="10"/>
      <c r="G973" s="10"/>
    </row>
    <row r="974">
      <c r="A974" s="10"/>
      <c r="B974" s="48"/>
      <c r="C974" s="10"/>
      <c r="E974" s="10"/>
      <c r="G974" s="10"/>
    </row>
    <row r="975">
      <c r="A975" s="10"/>
      <c r="B975" s="48"/>
      <c r="C975" s="10"/>
      <c r="E975" s="10"/>
      <c r="G975" s="10"/>
    </row>
    <row r="976">
      <c r="A976" s="10"/>
      <c r="B976" s="48"/>
      <c r="C976" s="10"/>
      <c r="E976" s="10"/>
      <c r="G976" s="10"/>
    </row>
    <row r="977">
      <c r="A977" s="10"/>
      <c r="B977" s="48"/>
      <c r="C977" s="10"/>
      <c r="E977" s="10"/>
      <c r="G977" s="10"/>
    </row>
    <row r="978">
      <c r="A978" s="10"/>
      <c r="B978" s="48"/>
      <c r="C978" s="10"/>
      <c r="E978" s="10"/>
      <c r="G978" s="10"/>
    </row>
    <row r="979">
      <c r="A979" s="10"/>
      <c r="B979" s="48"/>
      <c r="C979" s="10"/>
      <c r="E979" s="10"/>
      <c r="G979" s="10"/>
    </row>
    <row r="980">
      <c r="A980" s="10"/>
      <c r="B980" s="48"/>
      <c r="C980" s="10"/>
      <c r="E980" s="10"/>
      <c r="G980" s="10"/>
    </row>
    <row r="981">
      <c r="A981" s="10"/>
      <c r="B981" s="48"/>
      <c r="C981" s="10"/>
      <c r="E981" s="10"/>
      <c r="G981" s="10"/>
    </row>
    <row r="982">
      <c r="A982" s="10"/>
      <c r="B982" s="48"/>
      <c r="C982" s="10"/>
      <c r="E982" s="10"/>
      <c r="G982" s="10"/>
    </row>
    <row r="983">
      <c r="A983" s="10"/>
      <c r="B983" s="48"/>
      <c r="C983" s="10"/>
      <c r="E983" s="10"/>
      <c r="G983" s="10"/>
    </row>
    <row r="984">
      <c r="A984" s="10"/>
      <c r="B984" s="48"/>
      <c r="C984" s="10"/>
      <c r="E984" s="10"/>
      <c r="G984" s="10"/>
    </row>
    <row r="985">
      <c r="A985" s="10"/>
      <c r="B985" s="48"/>
      <c r="C985" s="10"/>
      <c r="E985" s="10"/>
      <c r="G985" s="10"/>
    </row>
    <row r="986">
      <c r="A986" s="10"/>
      <c r="B986" s="48"/>
      <c r="C986" s="10"/>
      <c r="E986" s="10"/>
      <c r="G986" s="10"/>
    </row>
    <row r="987">
      <c r="A987" s="10"/>
      <c r="B987" s="48"/>
      <c r="C987" s="10"/>
      <c r="E987" s="10"/>
      <c r="G987" s="10"/>
    </row>
    <row r="988">
      <c r="A988" s="10"/>
      <c r="B988" s="48"/>
      <c r="C988" s="10"/>
      <c r="E988" s="10"/>
      <c r="G988" s="10"/>
    </row>
    <row r="989">
      <c r="A989" s="10"/>
      <c r="B989" s="48"/>
      <c r="C989" s="10"/>
      <c r="E989" s="10"/>
      <c r="G989" s="10"/>
    </row>
    <row r="990">
      <c r="A990" s="10"/>
      <c r="B990" s="48"/>
      <c r="C990" s="10"/>
      <c r="E990" s="10"/>
      <c r="G990" s="10"/>
    </row>
    <row r="991">
      <c r="A991" s="10"/>
      <c r="B991" s="48"/>
      <c r="C991" s="10"/>
      <c r="E991" s="10"/>
      <c r="G991" s="10"/>
    </row>
    <row r="992">
      <c r="A992" s="10"/>
      <c r="B992" s="48"/>
      <c r="C992" s="10"/>
      <c r="E992" s="10"/>
      <c r="G992" s="10"/>
    </row>
    <row r="993">
      <c r="A993" s="10"/>
      <c r="B993" s="48"/>
      <c r="C993" s="10"/>
      <c r="E993" s="10"/>
      <c r="G993" s="10"/>
    </row>
    <row r="994">
      <c r="A994" s="10"/>
      <c r="B994" s="48"/>
      <c r="C994" s="10"/>
      <c r="E994" s="10"/>
      <c r="G994" s="10"/>
    </row>
    <row r="995">
      <c r="A995" s="10"/>
      <c r="B995" s="48"/>
      <c r="C995" s="10"/>
      <c r="E995" s="10"/>
      <c r="G995" s="10"/>
    </row>
    <row r="996">
      <c r="A996" s="10"/>
      <c r="B996" s="48"/>
      <c r="C996" s="10"/>
      <c r="E996" s="10"/>
      <c r="G996" s="10"/>
    </row>
    <row r="997">
      <c r="A997" s="10"/>
      <c r="B997" s="48"/>
      <c r="C997" s="10"/>
      <c r="E997" s="10"/>
      <c r="G997" s="10"/>
    </row>
    <row r="998">
      <c r="A998" s="10"/>
      <c r="B998" s="48"/>
      <c r="C998" s="10"/>
      <c r="E998" s="10"/>
      <c r="G998" s="10"/>
    </row>
    <row r="999">
      <c r="A999" s="10"/>
      <c r="B999" s="48"/>
      <c r="C999" s="10"/>
      <c r="E999" s="10"/>
      <c r="G999" s="10"/>
    </row>
    <row r="1000">
      <c r="A1000" s="10"/>
      <c r="B1000" s="48"/>
      <c r="C1000" s="10"/>
      <c r="E1000" s="10"/>
      <c r="G1000" s="10"/>
    </row>
    <row r="1001">
      <c r="A1001" s="10"/>
      <c r="B1001" s="48"/>
      <c r="C1001" s="10"/>
      <c r="E1001" s="10"/>
      <c r="G1001" s="10"/>
    </row>
    <row r="1002">
      <c r="A1002" s="10"/>
      <c r="B1002" s="48"/>
      <c r="C1002" s="10"/>
      <c r="E1002" s="10"/>
      <c r="G1002" s="10"/>
    </row>
    <row r="1003">
      <c r="A1003" s="10"/>
      <c r="B1003" s="48"/>
      <c r="C1003" s="10"/>
      <c r="E1003" s="10"/>
      <c r="G1003" s="10"/>
    </row>
    <row r="1004">
      <c r="A1004" s="10"/>
      <c r="B1004" s="48"/>
      <c r="C1004" s="10"/>
      <c r="E1004" s="10"/>
      <c r="G1004" s="10"/>
    </row>
    <row r="1005">
      <c r="A1005" s="10"/>
      <c r="B1005" s="48"/>
      <c r="C1005" s="10"/>
      <c r="E1005" s="10"/>
      <c r="G1005" s="10"/>
    </row>
    <row r="1006">
      <c r="A1006" s="10"/>
      <c r="B1006" s="48"/>
      <c r="C1006" s="10"/>
      <c r="E1006" s="10"/>
      <c r="G1006" s="10"/>
    </row>
    <row r="1007">
      <c r="A1007" s="10"/>
      <c r="B1007" s="48"/>
      <c r="C1007" s="10"/>
      <c r="E1007" s="10"/>
      <c r="G1007" s="10"/>
    </row>
    <row r="1008">
      <c r="A1008" s="10"/>
      <c r="B1008" s="48"/>
      <c r="C1008" s="10"/>
      <c r="E1008" s="10"/>
      <c r="G1008" s="10"/>
    </row>
    <row r="1009">
      <c r="A1009" s="10"/>
      <c r="B1009" s="48"/>
      <c r="C1009" s="10"/>
      <c r="E1009" s="10"/>
      <c r="G1009" s="10"/>
    </row>
    <row r="1010">
      <c r="A1010" s="10"/>
      <c r="B1010" s="48"/>
      <c r="C1010" s="10"/>
      <c r="E1010" s="10"/>
      <c r="G1010" s="10"/>
    </row>
    <row r="1011">
      <c r="A1011" s="10"/>
      <c r="B1011" s="48"/>
      <c r="C1011" s="10"/>
      <c r="E1011" s="10"/>
      <c r="G1011" s="10"/>
    </row>
    <row r="1012">
      <c r="A1012" s="10"/>
      <c r="B1012" s="48"/>
      <c r="C1012" s="10"/>
      <c r="E1012" s="10"/>
      <c r="G1012" s="10"/>
    </row>
    <row r="1013">
      <c r="A1013" s="10"/>
      <c r="B1013" s="48"/>
      <c r="C1013" s="10"/>
      <c r="E1013" s="10"/>
      <c r="G1013" s="10"/>
    </row>
    <row r="1014">
      <c r="A1014" s="10"/>
      <c r="B1014" s="48"/>
      <c r="C1014" s="10"/>
      <c r="E1014" s="10"/>
      <c r="G1014" s="10"/>
    </row>
    <row r="1015">
      <c r="A1015" s="10"/>
      <c r="B1015" s="48"/>
      <c r="C1015" s="10"/>
      <c r="E1015" s="10"/>
      <c r="G1015" s="10"/>
    </row>
    <row r="1016">
      <c r="A1016" s="10"/>
      <c r="B1016" s="48"/>
      <c r="C1016" s="10"/>
      <c r="E1016" s="10"/>
      <c r="G1016" s="10"/>
    </row>
    <row r="1017">
      <c r="A1017" s="10"/>
      <c r="B1017" s="48"/>
      <c r="C1017" s="10"/>
      <c r="E1017" s="10"/>
      <c r="G1017" s="10"/>
    </row>
    <row r="1018">
      <c r="A1018" s="10"/>
      <c r="B1018" s="48"/>
      <c r="C1018" s="10"/>
      <c r="E1018" s="10"/>
      <c r="G1018" s="10"/>
    </row>
    <row r="1019">
      <c r="A1019" s="10"/>
      <c r="B1019" s="48"/>
      <c r="C1019" s="10"/>
      <c r="E1019" s="10"/>
      <c r="G1019" s="10"/>
    </row>
    <row r="1020">
      <c r="A1020" s="10"/>
      <c r="B1020" s="48"/>
      <c r="C1020" s="10"/>
      <c r="E1020" s="10"/>
      <c r="G1020" s="10"/>
    </row>
    <row r="1021">
      <c r="A1021" s="10"/>
      <c r="B1021" s="48"/>
      <c r="C1021" s="10"/>
      <c r="E1021" s="10"/>
      <c r="G1021" s="10"/>
    </row>
    <row r="1022">
      <c r="A1022" s="10"/>
      <c r="B1022" s="48"/>
      <c r="C1022" s="10"/>
      <c r="E1022" s="10"/>
      <c r="G1022" s="10"/>
    </row>
    <row r="1023">
      <c r="A1023" s="10"/>
      <c r="B1023" s="48"/>
      <c r="C1023" s="10"/>
      <c r="E1023" s="10"/>
      <c r="G1023" s="10"/>
    </row>
    <row r="1024">
      <c r="A1024" s="10"/>
      <c r="B1024" s="48"/>
      <c r="C1024" s="10"/>
      <c r="E1024" s="10"/>
      <c r="G1024" s="10"/>
    </row>
    <row r="1025">
      <c r="A1025" s="10"/>
      <c r="B1025" s="48"/>
      <c r="C1025" s="10"/>
      <c r="E1025" s="10"/>
      <c r="G1025" s="10"/>
    </row>
    <row r="1026">
      <c r="A1026" s="10"/>
      <c r="B1026" s="48"/>
      <c r="C1026" s="10"/>
      <c r="E1026" s="10"/>
      <c r="G1026" s="10"/>
    </row>
  </sheetData>
  <mergeCells count="4">
    <mergeCell ref="A17:G17"/>
    <mergeCell ref="A28:G28"/>
    <mergeCell ref="A35:G35"/>
    <mergeCell ref="C42:C48"/>
  </mergeCells>
  <hyperlinks>
    <hyperlink r:id="rId1" ref="B5"/>
    <hyperlink r:id="rId2" ref="B6"/>
    <hyperlink r:id="rId3" ref="B7"/>
    <hyperlink r:id="rId4" location="gid=1581902554" ref="B8"/>
    <hyperlink r:id="rId5" location="gid=1995331947" ref="B9"/>
    <hyperlink r:id="rId6" ref="B10"/>
    <hyperlink r:id="rId7" ref="B11"/>
    <hyperlink r:id="rId8" ref="B12"/>
    <hyperlink r:id="rId9" ref="B13"/>
    <hyperlink r:id="rId10" ref="A18"/>
    <hyperlink r:id="rId11" ref="A19"/>
    <hyperlink r:id="rId12" ref="A20"/>
    <hyperlink r:id="rId13" ref="A21"/>
    <hyperlink r:id="rId14" ref="A22"/>
    <hyperlink r:id="rId15" ref="A23"/>
    <hyperlink r:id="rId16" ref="A24"/>
    <hyperlink r:id="rId17" ref="A25"/>
    <hyperlink r:id="rId18" ref="A26"/>
    <hyperlink r:id="rId19" ref="A27"/>
    <hyperlink r:id="rId20" ref="A29"/>
    <hyperlink r:id="rId21" ref="A30"/>
    <hyperlink r:id="rId22" ref="A31"/>
    <hyperlink r:id="rId23" ref="A32"/>
    <hyperlink r:id="rId24" ref="A33"/>
    <hyperlink r:id="rId25" ref="A34"/>
    <hyperlink r:id="rId26" ref="A36"/>
    <hyperlink r:id="rId27" ref="A37"/>
    <hyperlink r:id="rId28" ref="A38"/>
    <hyperlink r:id="rId29" location="slide=id.g3cc86069cd3_0_0" ref="B42"/>
    <hyperlink r:id="rId30" ref="B43"/>
    <hyperlink r:id="rId31" location="slide=id.g3cc86069cd3_0_0" ref="B44"/>
    <hyperlink r:id="rId32" ref="B45"/>
    <hyperlink r:id="rId33" ref="B46"/>
    <hyperlink r:id="rId34" ref="B47"/>
    <hyperlink r:id="rId35" ref="B48"/>
    <hyperlink r:id="rId36" ref="B52"/>
    <hyperlink r:id="rId37" ref="B53"/>
    <hyperlink r:id="rId38" ref="B54"/>
    <hyperlink r:id="rId39" ref="B55"/>
  </hyperlinks>
  <drawing r:id="rId4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20.63"/>
    <col customWidth="1" min="3" max="3" width="21.25"/>
    <col customWidth="1" min="4" max="4" width="33.88"/>
    <col customWidth="1" min="5" max="6" width="25.5"/>
  </cols>
  <sheetData>
    <row r="1">
      <c r="A1" s="11"/>
      <c r="B1" s="11"/>
      <c r="C1" s="11"/>
      <c r="D1" s="25"/>
      <c r="E1" s="25"/>
    </row>
    <row r="2">
      <c r="A2" s="2" t="s">
        <v>925</v>
      </c>
    </row>
    <row r="3">
      <c r="A3" s="2" t="s">
        <v>104</v>
      </c>
      <c r="B3" s="2" t="s">
        <v>926</v>
      </c>
      <c r="C3" s="2" t="s">
        <v>927</v>
      </c>
      <c r="D3" s="29" t="s">
        <v>928</v>
      </c>
      <c r="E3" s="29" t="s">
        <v>524</v>
      </c>
    </row>
    <row r="4">
      <c r="A4" s="5" t="s">
        <v>372</v>
      </c>
      <c r="B4" s="54">
        <v>21650.0</v>
      </c>
      <c r="C4" s="55">
        <f t="shared" ref="C4:C12" si="1">iferror(B4/30, "$0.00")</f>
        <v>721.6666667</v>
      </c>
      <c r="D4" s="56">
        <f t="shared" ref="D4:D13" si="2">iferror(B4/$B$13, "0.00%")</f>
        <v>0.3168261773</v>
      </c>
      <c r="E4" s="24" t="s">
        <v>929</v>
      </c>
    </row>
    <row r="5">
      <c r="A5" s="5" t="s">
        <v>930</v>
      </c>
      <c r="B5" s="54">
        <v>14250.0</v>
      </c>
      <c r="C5" s="55">
        <f t="shared" si="1"/>
        <v>475</v>
      </c>
      <c r="D5" s="56">
        <f t="shared" si="2"/>
        <v>0.2085345509</v>
      </c>
      <c r="E5" s="24" t="s">
        <v>929</v>
      </c>
    </row>
    <row r="6">
      <c r="A6" s="5" t="s">
        <v>931</v>
      </c>
      <c r="B6" s="54">
        <v>4000.0</v>
      </c>
      <c r="C6" s="55">
        <f t="shared" si="1"/>
        <v>133.3333333</v>
      </c>
      <c r="D6" s="56">
        <f t="shared" si="2"/>
        <v>0.05853601428</v>
      </c>
      <c r="E6" s="24" t="s">
        <v>932</v>
      </c>
    </row>
    <row r="7">
      <c r="A7" s="5" t="s">
        <v>933</v>
      </c>
      <c r="B7" s="54">
        <v>0.0</v>
      </c>
      <c r="C7" s="55">
        <f t="shared" si="1"/>
        <v>0</v>
      </c>
      <c r="D7" s="56">
        <f t="shared" si="2"/>
        <v>0</v>
      </c>
      <c r="E7" s="24" t="s">
        <v>934</v>
      </c>
    </row>
    <row r="8">
      <c r="A8" s="5" t="s">
        <v>388</v>
      </c>
      <c r="B8" s="54">
        <v>19134.0</v>
      </c>
      <c r="C8" s="55">
        <f t="shared" si="1"/>
        <v>637.8</v>
      </c>
      <c r="D8" s="56">
        <f t="shared" si="2"/>
        <v>0.2800070243</v>
      </c>
      <c r="E8" s="24" t="s">
        <v>929</v>
      </c>
    </row>
    <row r="9">
      <c r="A9" s="5" t="s">
        <v>393</v>
      </c>
      <c r="B9" s="54">
        <v>7500.0</v>
      </c>
      <c r="C9" s="55">
        <f t="shared" si="1"/>
        <v>250</v>
      </c>
      <c r="D9" s="56">
        <f t="shared" si="2"/>
        <v>0.1097550268</v>
      </c>
      <c r="E9" s="24" t="s">
        <v>932</v>
      </c>
    </row>
    <row r="10">
      <c r="A10" s="5" t="s">
        <v>592</v>
      </c>
      <c r="B10" s="54">
        <v>1300.0</v>
      </c>
      <c r="C10" s="55">
        <f t="shared" si="1"/>
        <v>43.33333333</v>
      </c>
      <c r="D10" s="56">
        <f t="shared" si="2"/>
        <v>0.01902420464</v>
      </c>
      <c r="E10" s="24" t="s">
        <v>935</v>
      </c>
    </row>
    <row r="11">
      <c r="A11" s="5" t="s">
        <v>255</v>
      </c>
      <c r="B11" s="54">
        <v>0.0</v>
      </c>
      <c r="C11" s="55">
        <f t="shared" si="1"/>
        <v>0</v>
      </c>
      <c r="D11" s="56">
        <f t="shared" si="2"/>
        <v>0</v>
      </c>
      <c r="E11" s="24" t="s">
        <v>936</v>
      </c>
    </row>
    <row r="12">
      <c r="A12" s="5" t="s">
        <v>585</v>
      </c>
      <c r="B12" s="54">
        <v>500.0</v>
      </c>
      <c r="C12" s="55">
        <f t="shared" si="1"/>
        <v>16.66666667</v>
      </c>
      <c r="D12" s="56">
        <f t="shared" si="2"/>
        <v>0.007317001785</v>
      </c>
      <c r="E12" s="24" t="s">
        <v>937</v>
      </c>
    </row>
    <row r="13">
      <c r="A13" s="57" t="s">
        <v>89</v>
      </c>
      <c r="B13" s="58">
        <f>SUM(B4:B12)</f>
        <v>68334</v>
      </c>
      <c r="C13" s="58">
        <f>IFERROR(B13/30, "$0.00")</f>
        <v>2277.8</v>
      </c>
      <c r="D13" s="59">
        <f t="shared" si="2"/>
        <v>1</v>
      </c>
      <c r="E13" s="60" t="s">
        <v>938</v>
      </c>
    </row>
    <row r="14">
      <c r="A14" s="11"/>
      <c r="B14" s="55"/>
      <c r="C14" s="55"/>
      <c r="D14" s="25"/>
      <c r="E14" s="25"/>
    </row>
    <row r="15">
      <c r="A15" s="11"/>
      <c r="B15" s="55"/>
      <c r="C15" s="55"/>
      <c r="D15" s="25"/>
      <c r="E15" s="25"/>
    </row>
    <row r="16">
      <c r="A16" s="2" t="s">
        <v>939</v>
      </c>
    </row>
    <row r="17">
      <c r="A17" s="2" t="s">
        <v>66</v>
      </c>
      <c r="B17" s="2" t="s">
        <v>926</v>
      </c>
      <c r="C17" s="2" t="s">
        <v>927</v>
      </c>
      <c r="D17" s="29" t="s">
        <v>928</v>
      </c>
      <c r="E17" s="29" t="s">
        <v>524</v>
      </c>
    </row>
    <row r="18">
      <c r="A18" s="5" t="s">
        <v>75</v>
      </c>
      <c r="B18" s="54">
        <v>35334.0</v>
      </c>
      <c r="C18" s="55">
        <f t="shared" ref="C18:C23" si="3">iferror(B18/30, "$0.00")</f>
        <v>1177.8</v>
      </c>
      <c r="D18" s="56">
        <f t="shared" ref="D18:D21" si="4">iferror(B18/$B$24, "0.00%")</f>
        <v>0.5170778822</v>
      </c>
      <c r="E18" s="24" t="s">
        <v>940</v>
      </c>
      <c r="F18" s="24" t="s">
        <v>941</v>
      </c>
    </row>
    <row r="19">
      <c r="A19" s="5" t="s">
        <v>78</v>
      </c>
      <c r="B19" s="54">
        <v>19000.0</v>
      </c>
      <c r="C19" s="55">
        <f t="shared" si="3"/>
        <v>633.3333333</v>
      </c>
      <c r="D19" s="56">
        <f t="shared" si="4"/>
        <v>0.2780460678</v>
      </c>
      <c r="E19" s="24" t="s">
        <v>942</v>
      </c>
    </row>
    <row r="20">
      <c r="A20" s="5" t="s">
        <v>82</v>
      </c>
      <c r="B20" s="54">
        <v>9000.0</v>
      </c>
      <c r="C20" s="55">
        <f t="shared" si="3"/>
        <v>300</v>
      </c>
      <c r="D20" s="56">
        <f t="shared" si="4"/>
        <v>0.1317060321</v>
      </c>
      <c r="E20" s="24" t="s">
        <v>943</v>
      </c>
    </row>
    <row r="21">
      <c r="A21" s="5" t="s">
        <v>85</v>
      </c>
      <c r="B21" s="54">
        <v>5000.0</v>
      </c>
      <c r="C21" s="55">
        <f t="shared" si="3"/>
        <v>166.6666667</v>
      </c>
      <c r="D21" s="56">
        <f t="shared" si="4"/>
        <v>0.07317001785</v>
      </c>
      <c r="E21" s="24" t="s">
        <v>944</v>
      </c>
    </row>
    <row r="22">
      <c r="A22" s="5" t="s">
        <v>945</v>
      </c>
      <c r="B22" s="54">
        <v>15000.0</v>
      </c>
      <c r="C22" s="55">
        <f t="shared" si="3"/>
        <v>500</v>
      </c>
      <c r="D22" s="56">
        <f t="shared" ref="D22:D23" si="5">B22/$B$25</f>
        <v>0.6696428571</v>
      </c>
      <c r="E22" s="24" t="s">
        <v>946</v>
      </c>
      <c r="F22" s="5" t="s">
        <v>947</v>
      </c>
    </row>
    <row r="23">
      <c r="A23" s="5" t="s">
        <v>948</v>
      </c>
      <c r="B23" s="54">
        <v>7400.0</v>
      </c>
      <c r="C23" s="55">
        <f t="shared" si="3"/>
        <v>246.6666667</v>
      </c>
      <c r="D23" s="56">
        <f t="shared" si="5"/>
        <v>0.3303571429</v>
      </c>
      <c r="E23" s="24" t="s">
        <v>949</v>
      </c>
    </row>
    <row r="24">
      <c r="A24" s="57" t="s">
        <v>950</v>
      </c>
      <c r="B24" s="58">
        <f>SUM(B18:B21)</f>
        <v>68334</v>
      </c>
      <c r="C24" s="58">
        <f t="shared" ref="C24:C25" si="6">IFERROR(B24/30, "$0.00")</f>
        <v>2277.8</v>
      </c>
      <c r="D24" s="59">
        <f t="shared" ref="D24:D25" si="7">iferror(B24/$B$13, "0.00%")</f>
        <v>1</v>
      </c>
      <c r="E24" s="60" t="s">
        <v>951</v>
      </c>
    </row>
    <row r="25">
      <c r="A25" s="57" t="s">
        <v>952</v>
      </c>
      <c r="B25" s="58">
        <f>sum(B22:B23)</f>
        <v>22400</v>
      </c>
      <c r="C25" s="58">
        <f t="shared" si="6"/>
        <v>746.6666667</v>
      </c>
      <c r="D25" s="59">
        <f t="shared" si="7"/>
        <v>0.32780168</v>
      </c>
      <c r="E25" s="25"/>
    </row>
    <row r="26">
      <c r="A26" s="11"/>
      <c r="B26" s="11"/>
      <c r="C26" s="11"/>
      <c r="D26" s="25"/>
      <c r="E26" s="25"/>
    </row>
    <row r="27">
      <c r="A27" s="11"/>
      <c r="B27" s="11"/>
      <c r="C27" s="11"/>
      <c r="D27" s="25"/>
      <c r="E27" s="25"/>
    </row>
    <row r="28">
      <c r="A28" s="2" t="s">
        <v>953</v>
      </c>
    </row>
    <row r="29">
      <c r="A29" s="29" t="s">
        <v>66</v>
      </c>
      <c r="B29" s="29" t="s">
        <v>954</v>
      </c>
      <c r="C29" s="29" t="s">
        <v>955</v>
      </c>
      <c r="D29" s="29" t="s">
        <v>956</v>
      </c>
      <c r="E29" s="29" t="s">
        <v>524</v>
      </c>
      <c r="F29" s="10"/>
      <c r="G29" s="10"/>
      <c r="H29" s="10"/>
      <c r="I29" s="10"/>
      <c r="J29" s="10"/>
      <c r="K29" s="10"/>
      <c r="L29" s="10"/>
      <c r="M29" s="10"/>
      <c r="N29" s="10"/>
      <c r="O29" s="10"/>
      <c r="P29" s="10"/>
      <c r="Q29" s="10"/>
      <c r="R29" s="10"/>
      <c r="S29" s="10"/>
      <c r="T29" s="10"/>
      <c r="U29" s="10"/>
      <c r="V29" s="10"/>
      <c r="W29" s="10"/>
      <c r="X29" s="10"/>
      <c r="Y29" s="10"/>
      <c r="Z29" s="10"/>
    </row>
    <row r="30">
      <c r="A30" s="24" t="s">
        <v>75</v>
      </c>
      <c r="B30" s="33">
        <v>55000.0</v>
      </c>
      <c r="C30" s="24" t="s">
        <v>957</v>
      </c>
      <c r="D30" s="24" t="s">
        <v>958</v>
      </c>
      <c r="E30" s="24" t="s">
        <v>959</v>
      </c>
      <c r="F30" s="11"/>
      <c r="G30" s="11"/>
      <c r="H30" s="11"/>
      <c r="I30" s="11"/>
      <c r="J30" s="11"/>
      <c r="K30" s="11"/>
      <c r="L30" s="11"/>
      <c r="M30" s="11"/>
      <c r="N30" s="11"/>
      <c r="O30" s="11"/>
      <c r="P30" s="11"/>
      <c r="Q30" s="11"/>
      <c r="R30" s="11"/>
      <c r="S30" s="11"/>
      <c r="T30" s="11"/>
      <c r="U30" s="11"/>
      <c r="V30" s="11"/>
      <c r="W30" s="11"/>
      <c r="X30" s="11"/>
      <c r="Y30" s="11"/>
      <c r="Z30" s="11"/>
    </row>
    <row r="31">
      <c r="A31" s="24" t="s">
        <v>78</v>
      </c>
      <c r="B31" s="33">
        <v>19000.0</v>
      </c>
      <c r="C31" s="24" t="s">
        <v>960</v>
      </c>
      <c r="D31" s="24" t="s">
        <v>961</v>
      </c>
      <c r="E31" s="24" t="s">
        <v>962</v>
      </c>
      <c r="F31" s="11"/>
      <c r="G31" s="11"/>
      <c r="H31" s="11"/>
      <c r="I31" s="11"/>
      <c r="J31" s="11"/>
      <c r="K31" s="11"/>
      <c r="L31" s="11"/>
      <c r="M31" s="11"/>
      <c r="N31" s="11"/>
      <c r="O31" s="11"/>
      <c r="P31" s="11"/>
      <c r="Q31" s="11"/>
      <c r="R31" s="11"/>
      <c r="S31" s="11"/>
      <c r="T31" s="11"/>
      <c r="U31" s="11"/>
      <c r="V31" s="11"/>
      <c r="W31" s="11"/>
      <c r="X31" s="11"/>
      <c r="Y31" s="11"/>
      <c r="Z31" s="11"/>
    </row>
    <row r="32">
      <c r="A32" s="24" t="s">
        <v>82</v>
      </c>
      <c r="B32" s="33">
        <v>6000.0</v>
      </c>
      <c r="C32" s="24" t="s">
        <v>963</v>
      </c>
      <c r="D32" s="24" t="s">
        <v>964</v>
      </c>
      <c r="E32" s="24" t="s">
        <v>965</v>
      </c>
      <c r="F32" s="11"/>
      <c r="G32" s="11"/>
      <c r="H32" s="11"/>
      <c r="I32" s="11"/>
      <c r="J32" s="11"/>
      <c r="K32" s="11"/>
      <c r="L32" s="11"/>
      <c r="M32" s="11"/>
      <c r="N32" s="11"/>
      <c r="O32" s="11"/>
      <c r="P32" s="11"/>
      <c r="Q32" s="11"/>
      <c r="R32" s="11"/>
      <c r="S32" s="11"/>
      <c r="T32" s="11"/>
      <c r="U32" s="11"/>
      <c r="V32" s="11"/>
      <c r="W32" s="11"/>
      <c r="X32" s="11"/>
      <c r="Y32" s="11"/>
      <c r="Z32" s="11"/>
    </row>
    <row r="33">
      <c r="A33" s="24" t="s">
        <v>85</v>
      </c>
      <c r="B33" s="33">
        <v>9000.0</v>
      </c>
      <c r="C33" s="24" t="s">
        <v>966</v>
      </c>
      <c r="D33" s="24" t="s">
        <v>967</v>
      </c>
      <c r="E33" s="24" t="s">
        <v>968</v>
      </c>
      <c r="F33" s="11"/>
      <c r="G33" s="11"/>
      <c r="H33" s="11"/>
      <c r="I33" s="11"/>
      <c r="J33" s="11"/>
      <c r="K33" s="11"/>
      <c r="L33" s="11"/>
      <c r="M33" s="11"/>
      <c r="N33" s="11"/>
      <c r="O33" s="11"/>
      <c r="P33" s="11"/>
      <c r="Q33" s="11"/>
      <c r="R33" s="11"/>
      <c r="S33" s="11"/>
      <c r="T33" s="11"/>
      <c r="U33" s="11"/>
      <c r="V33" s="11"/>
      <c r="W33" s="11"/>
      <c r="X33" s="11"/>
      <c r="Y33" s="11"/>
      <c r="Z33" s="11"/>
    </row>
    <row r="34">
      <c r="A34" s="57" t="s">
        <v>969</v>
      </c>
      <c r="B34" s="58">
        <f>sum(B30:B32)</f>
        <v>80000</v>
      </c>
      <c r="C34" s="11"/>
      <c r="D34" s="25"/>
      <c r="E34" s="25"/>
    </row>
    <row r="35">
      <c r="A35" s="57" t="s">
        <v>970</v>
      </c>
      <c r="B35" s="58">
        <f>B33</f>
        <v>9000</v>
      </c>
      <c r="C35" s="11"/>
      <c r="D35" s="25"/>
      <c r="E35" s="25"/>
    </row>
    <row r="36">
      <c r="A36" s="57" t="s">
        <v>971</v>
      </c>
      <c r="B36" s="58">
        <f>SUM(B34:B35)</f>
        <v>89000</v>
      </c>
      <c r="C36" s="11"/>
      <c r="D36" s="25"/>
      <c r="E36" s="25"/>
    </row>
    <row r="37">
      <c r="A37" s="11"/>
      <c r="B37" s="11"/>
      <c r="C37" s="11"/>
      <c r="D37" s="25"/>
      <c r="E37" s="25"/>
    </row>
    <row r="38">
      <c r="A38" s="11"/>
      <c r="B38" s="11"/>
      <c r="C38" s="11"/>
      <c r="D38" s="25"/>
      <c r="E38" s="25"/>
    </row>
    <row r="39">
      <c r="A39" s="2" t="s">
        <v>972</v>
      </c>
    </row>
    <row r="40">
      <c r="A40" s="11"/>
      <c r="B40" s="11"/>
      <c r="C40" s="11"/>
      <c r="D40" s="25"/>
      <c r="E40" s="25"/>
    </row>
    <row r="41">
      <c r="A41" s="11"/>
      <c r="B41" s="11"/>
      <c r="C41" s="11"/>
      <c r="D41" s="25"/>
      <c r="E41" s="25"/>
    </row>
    <row r="42">
      <c r="A42" s="11"/>
      <c r="B42" s="11"/>
      <c r="C42" s="11"/>
      <c r="D42" s="25"/>
      <c r="E42" s="25"/>
    </row>
    <row r="43">
      <c r="A43" s="11"/>
      <c r="B43" s="11"/>
      <c r="C43" s="11"/>
      <c r="D43" s="25"/>
      <c r="E43" s="25"/>
    </row>
    <row r="44">
      <c r="A44" s="11"/>
      <c r="B44" s="11"/>
      <c r="C44" s="11"/>
      <c r="D44" s="25"/>
      <c r="E44" s="25"/>
    </row>
    <row r="45">
      <c r="A45" s="11"/>
      <c r="B45" s="11"/>
      <c r="C45" s="11"/>
      <c r="D45" s="25"/>
      <c r="E45" s="25"/>
    </row>
    <row r="46">
      <c r="A46" s="11"/>
      <c r="B46" s="11"/>
      <c r="C46" s="11"/>
      <c r="D46" s="25"/>
      <c r="E46" s="25"/>
    </row>
    <row r="47">
      <c r="A47" s="11"/>
      <c r="B47" s="11"/>
      <c r="C47" s="11"/>
      <c r="D47" s="25"/>
      <c r="E47" s="25"/>
    </row>
    <row r="48">
      <c r="A48" s="11"/>
      <c r="B48" s="11"/>
      <c r="C48" s="11"/>
      <c r="D48" s="25"/>
      <c r="E48" s="25"/>
    </row>
    <row r="49">
      <c r="A49" s="11"/>
      <c r="B49" s="11"/>
      <c r="C49" s="11"/>
      <c r="D49" s="25"/>
      <c r="E49" s="25"/>
    </row>
    <row r="50">
      <c r="A50" s="11"/>
      <c r="B50" s="11"/>
      <c r="C50" s="11"/>
      <c r="D50" s="25"/>
      <c r="E50" s="25"/>
    </row>
    <row r="51">
      <c r="A51" s="11"/>
      <c r="B51" s="11"/>
      <c r="C51" s="11"/>
      <c r="D51" s="25"/>
      <c r="E51" s="25"/>
    </row>
    <row r="52">
      <c r="A52" s="11"/>
      <c r="B52" s="11"/>
      <c r="C52" s="11"/>
      <c r="D52" s="25"/>
      <c r="E52" s="25"/>
    </row>
    <row r="53">
      <c r="A53" s="11"/>
      <c r="B53" s="11"/>
      <c r="C53" s="11"/>
      <c r="D53" s="25"/>
      <c r="E53" s="25"/>
    </row>
    <row r="54">
      <c r="A54" s="11"/>
      <c r="B54" s="11"/>
      <c r="C54" s="11"/>
      <c r="D54" s="25"/>
      <c r="E54" s="25"/>
    </row>
    <row r="55">
      <c r="A55" s="11"/>
      <c r="B55" s="11"/>
      <c r="C55" s="11"/>
      <c r="D55" s="25"/>
      <c r="E55" s="25"/>
    </row>
    <row r="56">
      <c r="A56" s="11"/>
      <c r="B56" s="11"/>
      <c r="C56" s="11"/>
      <c r="D56" s="25"/>
      <c r="E56" s="25"/>
    </row>
    <row r="57">
      <c r="A57" s="11"/>
      <c r="B57" s="11"/>
      <c r="C57" s="11"/>
      <c r="D57" s="25"/>
      <c r="E57" s="25"/>
    </row>
    <row r="58">
      <c r="A58" s="11"/>
      <c r="B58" s="11"/>
      <c r="C58" s="11"/>
      <c r="D58" s="25"/>
      <c r="E58" s="25"/>
    </row>
    <row r="59">
      <c r="A59" s="11"/>
      <c r="B59" s="11"/>
      <c r="C59" s="11"/>
      <c r="D59" s="25"/>
      <c r="E59" s="25"/>
    </row>
    <row r="60">
      <c r="A60" s="11"/>
      <c r="B60" s="11"/>
      <c r="C60" s="11"/>
      <c r="D60" s="25"/>
      <c r="E60" s="25"/>
    </row>
    <row r="61">
      <c r="A61" s="11"/>
      <c r="B61" s="11"/>
      <c r="C61" s="11"/>
      <c r="D61" s="25"/>
      <c r="E61" s="25"/>
    </row>
    <row r="62">
      <c r="A62" s="11"/>
      <c r="B62" s="11"/>
      <c r="C62" s="11"/>
      <c r="D62" s="25"/>
      <c r="E62" s="25"/>
    </row>
    <row r="63">
      <c r="A63" s="11"/>
      <c r="B63" s="11"/>
      <c r="C63" s="11"/>
      <c r="D63" s="25"/>
      <c r="E63" s="25"/>
    </row>
    <row r="64">
      <c r="A64" s="11"/>
      <c r="B64" s="11"/>
      <c r="C64" s="11"/>
      <c r="D64" s="25"/>
      <c r="E64" s="25"/>
    </row>
    <row r="65">
      <c r="A65" s="11"/>
      <c r="B65" s="11"/>
      <c r="C65" s="11"/>
      <c r="D65" s="25"/>
      <c r="E65" s="25"/>
    </row>
    <row r="66">
      <c r="A66" s="11"/>
      <c r="B66" s="11"/>
      <c r="C66" s="11"/>
      <c r="D66" s="25"/>
      <c r="E66" s="25"/>
    </row>
    <row r="67">
      <c r="A67" s="11"/>
      <c r="B67" s="11"/>
      <c r="C67" s="11"/>
      <c r="D67" s="25"/>
      <c r="E67" s="25"/>
    </row>
    <row r="68">
      <c r="A68" s="11"/>
      <c r="B68" s="11"/>
      <c r="C68" s="11"/>
      <c r="D68" s="25"/>
      <c r="E68" s="25"/>
    </row>
    <row r="69">
      <c r="A69" s="11"/>
      <c r="B69" s="11"/>
      <c r="C69" s="11"/>
      <c r="D69" s="25"/>
      <c r="E69" s="25"/>
    </row>
    <row r="70">
      <c r="A70" s="11"/>
      <c r="B70" s="11"/>
      <c r="C70" s="11"/>
      <c r="D70" s="25"/>
      <c r="E70" s="25"/>
    </row>
    <row r="71">
      <c r="A71" s="11"/>
      <c r="B71" s="11"/>
      <c r="C71" s="11"/>
      <c r="D71" s="25"/>
      <c r="E71" s="25"/>
    </row>
    <row r="72">
      <c r="A72" s="11"/>
      <c r="B72" s="11"/>
      <c r="C72" s="11"/>
      <c r="D72" s="25"/>
      <c r="E72" s="25"/>
    </row>
    <row r="73">
      <c r="A73" s="11"/>
      <c r="B73" s="11"/>
      <c r="C73" s="11"/>
      <c r="D73" s="25"/>
      <c r="E73" s="25"/>
    </row>
    <row r="74">
      <c r="A74" s="11"/>
      <c r="B74" s="11"/>
      <c r="C74" s="11"/>
      <c r="D74" s="25"/>
      <c r="E74" s="25"/>
    </row>
    <row r="75">
      <c r="A75" s="11"/>
      <c r="B75" s="11"/>
      <c r="C75" s="11"/>
      <c r="D75" s="25"/>
      <c r="E75" s="25"/>
    </row>
    <row r="76">
      <c r="A76" s="11"/>
      <c r="B76" s="11"/>
      <c r="C76" s="11"/>
      <c r="D76" s="25"/>
      <c r="E76" s="25"/>
    </row>
    <row r="77">
      <c r="A77" s="11"/>
      <c r="B77" s="11"/>
      <c r="C77" s="11"/>
      <c r="D77" s="25"/>
      <c r="E77" s="25"/>
    </row>
    <row r="78">
      <c r="A78" s="11"/>
      <c r="B78" s="11"/>
      <c r="C78" s="11"/>
      <c r="D78" s="25"/>
      <c r="E78" s="25"/>
    </row>
    <row r="79">
      <c r="A79" s="11"/>
      <c r="B79" s="11"/>
      <c r="C79" s="11"/>
      <c r="D79" s="25"/>
      <c r="E79" s="25"/>
    </row>
    <row r="80">
      <c r="A80" s="11"/>
      <c r="B80" s="11"/>
      <c r="C80" s="11"/>
      <c r="D80" s="25"/>
      <c r="E80" s="25"/>
    </row>
    <row r="81">
      <c r="A81" s="11"/>
      <c r="B81" s="11"/>
      <c r="C81" s="11"/>
      <c r="D81" s="25"/>
      <c r="E81" s="25"/>
    </row>
    <row r="82">
      <c r="A82" s="11"/>
      <c r="B82" s="11"/>
      <c r="C82" s="11"/>
      <c r="D82" s="25"/>
      <c r="E82" s="25"/>
    </row>
    <row r="83">
      <c r="A83" s="11"/>
      <c r="B83" s="11"/>
      <c r="C83" s="11"/>
      <c r="D83" s="25"/>
      <c r="E83" s="25"/>
    </row>
    <row r="84">
      <c r="A84" s="11"/>
      <c r="B84" s="11"/>
      <c r="C84" s="11"/>
      <c r="D84" s="25"/>
      <c r="E84" s="25"/>
    </row>
    <row r="85">
      <c r="A85" s="11"/>
      <c r="B85" s="11"/>
      <c r="C85" s="11"/>
      <c r="D85" s="25"/>
      <c r="E85" s="25"/>
    </row>
    <row r="86">
      <c r="A86" s="11"/>
      <c r="B86" s="11"/>
      <c r="C86" s="11"/>
      <c r="D86" s="25"/>
      <c r="E86" s="25"/>
    </row>
    <row r="87">
      <c r="A87" s="11"/>
      <c r="B87" s="11"/>
      <c r="C87" s="11"/>
      <c r="D87" s="25"/>
      <c r="E87" s="25"/>
    </row>
    <row r="88">
      <c r="A88" s="11"/>
      <c r="B88" s="11"/>
      <c r="C88" s="11"/>
      <c r="D88" s="25"/>
      <c r="E88" s="25"/>
    </row>
    <row r="89">
      <c r="A89" s="11"/>
      <c r="B89" s="11"/>
      <c r="C89" s="11"/>
      <c r="D89" s="25"/>
      <c r="E89" s="25"/>
    </row>
    <row r="90">
      <c r="A90" s="11"/>
      <c r="B90" s="11"/>
      <c r="C90" s="11"/>
      <c r="D90" s="25"/>
      <c r="E90" s="25"/>
    </row>
    <row r="91">
      <c r="A91" s="11"/>
      <c r="B91" s="11"/>
      <c r="C91" s="11"/>
      <c r="D91" s="25"/>
      <c r="E91" s="25"/>
    </row>
    <row r="92">
      <c r="A92" s="11"/>
      <c r="B92" s="11"/>
      <c r="C92" s="11"/>
      <c r="D92" s="25"/>
      <c r="E92" s="25"/>
    </row>
    <row r="93">
      <c r="A93" s="11"/>
      <c r="B93" s="11"/>
      <c r="C93" s="11"/>
      <c r="D93" s="25"/>
      <c r="E93" s="25"/>
    </row>
    <row r="94">
      <c r="A94" s="11"/>
      <c r="B94" s="11"/>
      <c r="C94" s="11"/>
      <c r="D94" s="25"/>
      <c r="E94" s="25"/>
    </row>
    <row r="95">
      <c r="A95" s="11"/>
      <c r="B95" s="11"/>
      <c r="C95" s="11"/>
      <c r="D95" s="25"/>
      <c r="E95" s="25"/>
    </row>
    <row r="96">
      <c r="A96" s="11"/>
      <c r="B96" s="11"/>
      <c r="C96" s="11"/>
      <c r="D96" s="25"/>
      <c r="E96" s="25"/>
    </row>
    <row r="97">
      <c r="A97" s="11"/>
      <c r="B97" s="11"/>
      <c r="C97" s="11"/>
      <c r="D97" s="25"/>
      <c r="E97" s="25"/>
    </row>
    <row r="98">
      <c r="A98" s="11"/>
      <c r="B98" s="11"/>
      <c r="C98" s="11"/>
      <c r="D98" s="25"/>
      <c r="E98" s="25"/>
    </row>
    <row r="99">
      <c r="A99" s="11"/>
      <c r="B99" s="11"/>
      <c r="C99" s="11"/>
      <c r="D99" s="25"/>
      <c r="E99" s="25"/>
    </row>
    <row r="100">
      <c r="A100" s="11"/>
      <c r="B100" s="11"/>
      <c r="C100" s="11"/>
      <c r="D100" s="25"/>
      <c r="E100" s="25"/>
    </row>
    <row r="101">
      <c r="A101" s="11"/>
      <c r="B101" s="11"/>
      <c r="C101" s="11"/>
      <c r="D101" s="25"/>
      <c r="E101" s="25"/>
    </row>
    <row r="102">
      <c r="A102" s="11"/>
      <c r="B102" s="11"/>
      <c r="C102" s="11"/>
      <c r="D102" s="25"/>
      <c r="E102" s="25"/>
    </row>
    <row r="103">
      <c r="A103" s="11"/>
      <c r="B103" s="11"/>
      <c r="C103" s="11"/>
      <c r="D103" s="25"/>
      <c r="E103" s="25"/>
    </row>
    <row r="104">
      <c r="A104" s="11"/>
      <c r="B104" s="11"/>
      <c r="C104" s="11"/>
      <c r="D104" s="25"/>
      <c r="E104" s="25"/>
    </row>
    <row r="105">
      <c r="A105" s="11"/>
      <c r="B105" s="11"/>
      <c r="C105" s="11"/>
      <c r="D105" s="25"/>
      <c r="E105" s="25"/>
    </row>
    <row r="106">
      <c r="A106" s="11"/>
      <c r="B106" s="11"/>
      <c r="C106" s="11"/>
      <c r="D106" s="25"/>
      <c r="E106" s="25"/>
    </row>
    <row r="107">
      <c r="A107" s="11"/>
      <c r="B107" s="11"/>
      <c r="C107" s="11"/>
      <c r="D107" s="25"/>
      <c r="E107" s="25"/>
    </row>
    <row r="108">
      <c r="A108" s="11"/>
      <c r="B108" s="11"/>
      <c r="C108" s="11"/>
      <c r="D108" s="25"/>
      <c r="E108" s="25"/>
    </row>
    <row r="109">
      <c r="A109" s="11"/>
      <c r="B109" s="11"/>
      <c r="C109" s="11"/>
      <c r="D109" s="25"/>
      <c r="E109" s="25"/>
    </row>
    <row r="110">
      <c r="A110" s="11"/>
      <c r="B110" s="11"/>
      <c r="C110" s="11"/>
      <c r="D110" s="25"/>
      <c r="E110" s="25"/>
    </row>
    <row r="111">
      <c r="A111" s="11"/>
      <c r="B111" s="11"/>
      <c r="C111" s="11"/>
      <c r="D111" s="25"/>
      <c r="E111" s="25"/>
    </row>
    <row r="112">
      <c r="A112" s="11"/>
      <c r="B112" s="11"/>
      <c r="C112" s="11"/>
      <c r="D112" s="25"/>
      <c r="E112" s="25"/>
    </row>
    <row r="113">
      <c r="A113" s="11"/>
      <c r="B113" s="11"/>
      <c r="C113" s="11"/>
      <c r="D113" s="25"/>
      <c r="E113" s="25"/>
    </row>
    <row r="114">
      <c r="A114" s="11"/>
      <c r="B114" s="11"/>
      <c r="C114" s="11"/>
      <c r="D114" s="25"/>
      <c r="E114" s="25"/>
    </row>
    <row r="115">
      <c r="A115" s="11"/>
      <c r="B115" s="11"/>
      <c r="C115" s="11"/>
      <c r="D115" s="25"/>
      <c r="E115" s="25"/>
    </row>
    <row r="116">
      <c r="A116" s="11"/>
      <c r="B116" s="11"/>
      <c r="C116" s="11"/>
      <c r="D116" s="25"/>
      <c r="E116" s="25"/>
    </row>
    <row r="117">
      <c r="A117" s="11"/>
      <c r="B117" s="11"/>
      <c r="C117" s="11"/>
      <c r="D117" s="25"/>
      <c r="E117" s="25"/>
    </row>
    <row r="118">
      <c r="A118" s="11"/>
      <c r="B118" s="11"/>
      <c r="C118" s="11"/>
      <c r="D118" s="25"/>
      <c r="E118" s="25"/>
    </row>
    <row r="119">
      <c r="A119" s="11"/>
      <c r="B119" s="11"/>
      <c r="C119" s="11"/>
      <c r="D119" s="25"/>
      <c r="E119" s="25"/>
    </row>
    <row r="120">
      <c r="A120" s="11"/>
      <c r="B120" s="11"/>
      <c r="C120" s="11"/>
      <c r="D120" s="25"/>
      <c r="E120" s="25"/>
    </row>
    <row r="121">
      <c r="A121" s="11"/>
      <c r="B121" s="11"/>
      <c r="C121" s="11"/>
      <c r="D121" s="25"/>
      <c r="E121" s="25"/>
    </row>
    <row r="122">
      <c r="A122" s="11"/>
      <c r="B122" s="11"/>
      <c r="C122" s="11"/>
      <c r="D122" s="25"/>
      <c r="E122" s="25"/>
    </row>
    <row r="123">
      <c r="A123" s="11"/>
      <c r="B123" s="11"/>
      <c r="C123" s="11"/>
      <c r="D123" s="25"/>
      <c r="E123" s="25"/>
    </row>
    <row r="124">
      <c r="A124" s="11"/>
      <c r="B124" s="11"/>
      <c r="C124" s="11"/>
      <c r="D124" s="25"/>
      <c r="E124" s="25"/>
    </row>
    <row r="125">
      <c r="A125" s="11"/>
      <c r="B125" s="11"/>
      <c r="C125" s="11"/>
      <c r="D125" s="25"/>
      <c r="E125" s="25"/>
    </row>
    <row r="126">
      <c r="A126" s="11"/>
      <c r="B126" s="11"/>
      <c r="C126" s="11"/>
      <c r="D126" s="25"/>
      <c r="E126" s="25"/>
    </row>
    <row r="127">
      <c r="A127" s="11"/>
      <c r="B127" s="11"/>
      <c r="C127" s="11"/>
      <c r="D127" s="25"/>
      <c r="E127" s="25"/>
    </row>
    <row r="128">
      <c r="A128" s="11"/>
      <c r="B128" s="11"/>
      <c r="C128" s="11"/>
      <c r="D128" s="25"/>
      <c r="E128" s="25"/>
    </row>
    <row r="129">
      <c r="A129" s="11"/>
      <c r="B129" s="11"/>
      <c r="C129" s="11"/>
      <c r="D129" s="25"/>
      <c r="E129" s="25"/>
    </row>
    <row r="130">
      <c r="A130" s="11"/>
      <c r="B130" s="11"/>
      <c r="C130" s="11"/>
      <c r="D130" s="25"/>
      <c r="E130" s="25"/>
    </row>
    <row r="131">
      <c r="A131" s="11"/>
      <c r="B131" s="11"/>
      <c r="C131" s="11"/>
      <c r="D131" s="25"/>
      <c r="E131" s="25"/>
    </row>
    <row r="132">
      <c r="A132" s="11"/>
      <c r="B132" s="11"/>
      <c r="C132" s="11"/>
      <c r="D132" s="25"/>
      <c r="E132" s="25"/>
    </row>
    <row r="133">
      <c r="A133" s="11"/>
      <c r="B133" s="11"/>
      <c r="C133" s="11"/>
      <c r="D133" s="25"/>
      <c r="E133" s="25"/>
    </row>
    <row r="134">
      <c r="A134" s="11"/>
      <c r="B134" s="11"/>
      <c r="C134" s="11"/>
      <c r="D134" s="25"/>
      <c r="E134" s="25"/>
    </row>
    <row r="135">
      <c r="A135" s="11"/>
      <c r="B135" s="11"/>
      <c r="C135" s="11"/>
      <c r="D135" s="25"/>
      <c r="E135" s="25"/>
    </row>
    <row r="136">
      <c r="A136" s="11"/>
      <c r="B136" s="11"/>
      <c r="C136" s="11"/>
      <c r="D136" s="25"/>
      <c r="E136" s="25"/>
    </row>
    <row r="137">
      <c r="A137" s="11"/>
      <c r="B137" s="11"/>
      <c r="C137" s="11"/>
      <c r="D137" s="25"/>
      <c r="E137" s="25"/>
    </row>
    <row r="138">
      <c r="A138" s="11"/>
      <c r="B138" s="11"/>
      <c r="C138" s="11"/>
      <c r="D138" s="25"/>
      <c r="E138" s="25"/>
    </row>
    <row r="139">
      <c r="A139" s="11"/>
      <c r="B139" s="11"/>
      <c r="C139" s="11"/>
      <c r="D139" s="25"/>
      <c r="E139" s="25"/>
    </row>
    <row r="140">
      <c r="A140" s="11"/>
      <c r="B140" s="11"/>
      <c r="C140" s="11"/>
      <c r="D140" s="25"/>
      <c r="E140" s="25"/>
    </row>
    <row r="141">
      <c r="A141" s="11"/>
      <c r="B141" s="11"/>
      <c r="C141" s="11"/>
      <c r="D141" s="25"/>
      <c r="E141" s="25"/>
    </row>
    <row r="142">
      <c r="A142" s="11"/>
      <c r="B142" s="11"/>
      <c r="C142" s="11"/>
      <c r="D142" s="25"/>
      <c r="E142" s="25"/>
    </row>
    <row r="143">
      <c r="A143" s="11"/>
      <c r="B143" s="11"/>
      <c r="C143" s="11"/>
      <c r="D143" s="25"/>
      <c r="E143" s="25"/>
    </row>
    <row r="144">
      <c r="A144" s="11"/>
      <c r="B144" s="11"/>
      <c r="C144" s="11"/>
      <c r="D144" s="25"/>
      <c r="E144" s="25"/>
    </row>
    <row r="145">
      <c r="A145" s="11"/>
      <c r="B145" s="11"/>
      <c r="C145" s="11"/>
      <c r="D145" s="25"/>
      <c r="E145" s="25"/>
    </row>
    <row r="146">
      <c r="A146" s="11"/>
      <c r="B146" s="11"/>
      <c r="C146" s="11"/>
      <c r="D146" s="25"/>
      <c r="E146" s="25"/>
    </row>
    <row r="147">
      <c r="A147" s="11"/>
      <c r="B147" s="11"/>
      <c r="C147" s="11"/>
      <c r="D147" s="25"/>
      <c r="E147" s="25"/>
    </row>
    <row r="148">
      <c r="A148" s="11"/>
      <c r="B148" s="11"/>
      <c r="C148" s="11"/>
      <c r="D148" s="25"/>
      <c r="E148" s="25"/>
    </row>
    <row r="149">
      <c r="A149" s="11"/>
      <c r="B149" s="11"/>
      <c r="C149" s="11"/>
      <c r="D149" s="25"/>
      <c r="E149" s="25"/>
    </row>
    <row r="150">
      <c r="A150" s="11"/>
      <c r="B150" s="11"/>
      <c r="C150" s="11"/>
      <c r="D150" s="25"/>
      <c r="E150" s="25"/>
    </row>
    <row r="151">
      <c r="A151" s="11"/>
      <c r="B151" s="11"/>
      <c r="C151" s="11"/>
      <c r="D151" s="25"/>
      <c r="E151" s="25"/>
    </row>
    <row r="152">
      <c r="A152" s="11"/>
      <c r="B152" s="11"/>
      <c r="C152" s="11"/>
      <c r="D152" s="25"/>
      <c r="E152" s="25"/>
    </row>
    <row r="153">
      <c r="A153" s="11"/>
      <c r="B153" s="11"/>
      <c r="C153" s="11"/>
      <c r="D153" s="25"/>
      <c r="E153" s="25"/>
    </row>
    <row r="154">
      <c r="A154" s="11"/>
      <c r="B154" s="11"/>
      <c r="C154" s="11"/>
      <c r="D154" s="25"/>
      <c r="E154" s="25"/>
    </row>
    <row r="155">
      <c r="A155" s="11"/>
      <c r="B155" s="11"/>
      <c r="C155" s="11"/>
      <c r="D155" s="25"/>
      <c r="E155" s="25"/>
    </row>
    <row r="156">
      <c r="A156" s="11"/>
      <c r="B156" s="11"/>
      <c r="C156" s="11"/>
      <c r="D156" s="25"/>
      <c r="E156" s="25"/>
    </row>
    <row r="157">
      <c r="A157" s="11"/>
      <c r="B157" s="11"/>
      <c r="C157" s="11"/>
      <c r="D157" s="25"/>
      <c r="E157" s="25"/>
    </row>
    <row r="158">
      <c r="A158" s="11"/>
      <c r="B158" s="11"/>
      <c r="C158" s="11"/>
      <c r="D158" s="25"/>
      <c r="E158" s="25"/>
    </row>
    <row r="159">
      <c r="A159" s="11"/>
      <c r="B159" s="11"/>
      <c r="C159" s="11"/>
      <c r="D159" s="25"/>
      <c r="E159" s="25"/>
    </row>
    <row r="160">
      <c r="A160" s="11"/>
      <c r="B160" s="11"/>
      <c r="C160" s="11"/>
      <c r="D160" s="25"/>
      <c r="E160" s="25"/>
    </row>
    <row r="161">
      <c r="A161" s="11"/>
      <c r="B161" s="11"/>
      <c r="C161" s="11"/>
      <c r="D161" s="25"/>
      <c r="E161" s="25"/>
    </row>
    <row r="162">
      <c r="A162" s="11"/>
      <c r="B162" s="11"/>
      <c r="C162" s="11"/>
      <c r="D162" s="25"/>
      <c r="E162" s="25"/>
    </row>
    <row r="163">
      <c r="A163" s="11"/>
      <c r="B163" s="11"/>
      <c r="C163" s="11"/>
      <c r="D163" s="25"/>
      <c r="E163" s="25"/>
    </row>
    <row r="164">
      <c r="A164" s="11"/>
      <c r="B164" s="11"/>
      <c r="C164" s="11"/>
      <c r="D164" s="25"/>
      <c r="E164" s="25"/>
    </row>
    <row r="165">
      <c r="A165" s="11"/>
      <c r="B165" s="11"/>
      <c r="C165" s="11"/>
      <c r="D165" s="25"/>
      <c r="E165" s="25"/>
    </row>
    <row r="166">
      <c r="A166" s="11"/>
      <c r="B166" s="11"/>
      <c r="C166" s="11"/>
      <c r="D166" s="25"/>
      <c r="E166" s="25"/>
    </row>
    <row r="167">
      <c r="A167" s="11"/>
      <c r="B167" s="11"/>
      <c r="C167" s="11"/>
      <c r="D167" s="25"/>
      <c r="E167" s="25"/>
    </row>
    <row r="168">
      <c r="A168" s="11"/>
      <c r="B168" s="11"/>
      <c r="C168" s="11"/>
      <c r="D168" s="25"/>
      <c r="E168" s="25"/>
    </row>
    <row r="169">
      <c r="A169" s="11"/>
      <c r="B169" s="11"/>
      <c r="C169" s="11"/>
      <c r="D169" s="25"/>
      <c r="E169" s="25"/>
    </row>
    <row r="170">
      <c r="A170" s="11"/>
      <c r="B170" s="11"/>
      <c r="C170" s="11"/>
      <c r="D170" s="25"/>
      <c r="E170" s="25"/>
    </row>
    <row r="171">
      <c r="A171" s="11"/>
      <c r="B171" s="11"/>
      <c r="C171" s="11"/>
      <c r="D171" s="25"/>
      <c r="E171" s="25"/>
    </row>
    <row r="172">
      <c r="A172" s="11"/>
      <c r="B172" s="11"/>
      <c r="C172" s="11"/>
      <c r="D172" s="25"/>
      <c r="E172" s="25"/>
    </row>
    <row r="173">
      <c r="A173" s="11"/>
      <c r="B173" s="11"/>
      <c r="C173" s="11"/>
      <c r="D173" s="25"/>
      <c r="E173" s="25"/>
    </row>
    <row r="174">
      <c r="A174" s="11"/>
      <c r="B174" s="11"/>
      <c r="C174" s="11"/>
      <c r="D174" s="25"/>
      <c r="E174" s="25"/>
    </row>
    <row r="175">
      <c r="A175" s="11"/>
      <c r="B175" s="11"/>
      <c r="C175" s="11"/>
      <c r="D175" s="25"/>
      <c r="E175" s="25"/>
    </row>
    <row r="176">
      <c r="A176" s="11"/>
      <c r="B176" s="11"/>
      <c r="C176" s="11"/>
      <c r="D176" s="25"/>
      <c r="E176" s="25"/>
    </row>
    <row r="177">
      <c r="A177" s="11"/>
      <c r="B177" s="11"/>
      <c r="C177" s="11"/>
      <c r="D177" s="25"/>
      <c r="E177" s="25"/>
    </row>
    <row r="178">
      <c r="A178" s="11"/>
      <c r="B178" s="11"/>
      <c r="C178" s="11"/>
      <c r="D178" s="25"/>
      <c r="E178" s="25"/>
    </row>
    <row r="179">
      <c r="A179" s="11"/>
      <c r="B179" s="11"/>
      <c r="C179" s="11"/>
      <c r="D179" s="25"/>
      <c r="E179" s="25"/>
    </row>
    <row r="180">
      <c r="A180" s="11"/>
      <c r="B180" s="11"/>
      <c r="C180" s="11"/>
      <c r="D180" s="25"/>
      <c r="E180" s="25"/>
    </row>
    <row r="181">
      <c r="A181" s="11"/>
      <c r="B181" s="11"/>
      <c r="C181" s="11"/>
      <c r="D181" s="25"/>
      <c r="E181" s="25"/>
    </row>
    <row r="182">
      <c r="A182" s="11"/>
      <c r="B182" s="11"/>
      <c r="C182" s="11"/>
      <c r="D182" s="25"/>
      <c r="E182" s="25"/>
    </row>
    <row r="183">
      <c r="A183" s="11"/>
      <c r="B183" s="11"/>
      <c r="C183" s="11"/>
      <c r="D183" s="25"/>
      <c r="E183" s="25"/>
    </row>
    <row r="184">
      <c r="A184" s="11"/>
      <c r="B184" s="11"/>
      <c r="C184" s="11"/>
      <c r="D184" s="25"/>
      <c r="E184" s="25"/>
    </row>
    <row r="185">
      <c r="A185" s="11"/>
      <c r="B185" s="11"/>
      <c r="C185" s="11"/>
      <c r="D185" s="25"/>
      <c r="E185" s="25"/>
    </row>
    <row r="186">
      <c r="A186" s="11"/>
      <c r="B186" s="11"/>
      <c r="C186" s="11"/>
      <c r="D186" s="25"/>
      <c r="E186" s="25"/>
    </row>
    <row r="187">
      <c r="A187" s="11"/>
      <c r="B187" s="11"/>
      <c r="C187" s="11"/>
      <c r="D187" s="25"/>
      <c r="E187" s="25"/>
    </row>
    <row r="188">
      <c r="A188" s="11"/>
      <c r="B188" s="11"/>
      <c r="C188" s="11"/>
      <c r="D188" s="25"/>
      <c r="E188" s="25"/>
    </row>
    <row r="189">
      <c r="A189" s="11"/>
      <c r="B189" s="11"/>
      <c r="C189" s="11"/>
      <c r="D189" s="25"/>
      <c r="E189" s="25"/>
    </row>
    <row r="190">
      <c r="A190" s="11"/>
      <c r="B190" s="11"/>
      <c r="C190" s="11"/>
      <c r="D190" s="25"/>
      <c r="E190" s="25"/>
    </row>
    <row r="191">
      <c r="A191" s="11"/>
      <c r="B191" s="11"/>
      <c r="C191" s="11"/>
      <c r="D191" s="25"/>
      <c r="E191" s="25"/>
    </row>
    <row r="192">
      <c r="A192" s="11"/>
      <c r="B192" s="11"/>
      <c r="C192" s="11"/>
      <c r="D192" s="25"/>
      <c r="E192" s="25"/>
    </row>
    <row r="193">
      <c r="A193" s="11"/>
      <c r="B193" s="11"/>
      <c r="C193" s="11"/>
      <c r="D193" s="25"/>
      <c r="E193" s="25"/>
    </row>
    <row r="194">
      <c r="A194" s="11"/>
      <c r="B194" s="11"/>
      <c r="C194" s="11"/>
      <c r="D194" s="25"/>
      <c r="E194" s="25"/>
    </row>
    <row r="195">
      <c r="A195" s="11"/>
      <c r="B195" s="11"/>
      <c r="C195" s="11"/>
      <c r="D195" s="25"/>
      <c r="E195" s="25"/>
    </row>
    <row r="196">
      <c r="A196" s="11"/>
      <c r="B196" s="11"/>
      <c r="C196" s="11"/>
      <c r="D196" s="25"/>
      <c r="E196" s="25"/>
    </row>
    <row r="197">
      <c r="A197" s="11"/>
      <c r="B197" s="11"/>
      <c r="C197" s="11"/>
      <c r="D197" s="25"/>
      <c r="E197" s="25"/>
    </row>
    <row r="198">
      <c r="A198" s="11"/>
      <c r="B198" s="11"/>
      <c r="C198" s="11"/>
      <c r="D198" s="25"/>
      <c r="E198" s="25"/>
    </row>
    <row r="199">
      <c r="A199" s="11"/>
      <c r="B199" s="11"/>
      <c r="C199" s="11"/>
      <c r="D199" s="25"/>
      <c r="E199" s="25"/>
    </row>
    <row r="200">
      <c r="A200" s="11"/>
      <c r="B200" s="11"/>
      <c r="C200" s="11"/>
      <c r="D200" s="25"/>
      <c r="E200" s="25"/>
    </row>
    <row r="201">
      <c r="A201" s="11"/>
      <c r="B201" s="11"/>
      <c r="C201" s="11"/>
      <c r="D201" s="25"/>
      <c r="E201" s="25"/>
    </row>
    <row r="202">
      <c r="A202" s="11"/>
      <c r="B202" s="11"/>
      <c r="C202" s="11"/>
      <c r="D202" s="25"/>
      <c r="E202" s="25"/>
    </row>
    <row r="203">
      <c r="A203" s="11"/>
      <c r="B203" s="11"/>
      <c r="C203" s="11"/>
      <c r="D203" s="25"/>
      <c r="E203" s="25"/>
    </row>
    <row r="204">
      <c r="A204" s="11"/>
      <c r="B204" s="11"/>
      <c r="C204" s="11"/>
      <c r="D204" s="25"/>
      <c r="E204" s="25"/>
    </row>
    <row r="205">
      <c r="A205" s="11"/>
      <c r="B205" s="11"/>
      <c r="C205" s="11"/>
      <c r="D205" s="25"/>
      <c r="E205" s="25"/>
    </row>
    <row r="206">
      <c r="A206" s="11"/>
      <c r="B206" s="11"/>
      <c r="C206" s="11"/>
      <c r="D206" s="25"/>
      <c r="E206" s="25"/>
    </row>
    <row r="207">
      <c r="A207" s="11"/>
      <c r="B207" s="11"/>
      <c r="C207" s="11"/>
      <c r="D207" s="25"/>
      <c r="E207" s="25"/>
    </row>
    <row r="208">
      <c r="A208" s="11"/>
      <c r="B208" s="11"/>
      <c r="C208" s="11"/>
      <c r="D208" s="25"/>
      <c r="E208" s="25"/>
    </row>
    <row r="209">
      <c r="A209" s="11"/>
      <c r="B209" s="11"/>
      <c r="C209" s="11"/>
      <c r="D209" s="25"/>
      <c r="E209" s="25"/>
    </row>
    <row r="210">
      <c r="A210" s="11"/>
      <c r="B210" s="11"/>
      <c r="C210" s="11"/>
      <c r="D210" s="25"/>
      <c r="E210" s="25"/>
    </row>
    <row r="211">
      <c r="A211" s="11"/>
      <c r="B211" s="11"/>
      <c r="C211" s="11"/>
      <c r="D211" s="25"/>
      <c r="E211" s="25"/>
    </row>
    <row r="212">
      <c r="A212" s="11"/>
      <c r="B212" s="11"/>
      <c r="C212" s="11"/>
      <c r="D212" s="25"/>
      <c r="E212" s="25"/>
    </row>
    <row r="213">
      <c r="A213" s="11"/>
      <c r="B213" s="11"/>
      <c r="C213" s="11"/>
      <c r="D213" s="25"/>
      <c r="E213" s="25"/>
    </row>
    <row r="214">
      <c r="A214" s="11"/>
      <c r="B214" s="11"/>
      <c r="C214" s="11"/>
      <c r="D214" s="25"/>
      <c r="E214" s="25"/>
    </row>
    <row r="215">
      <c r="A215" s="11"/>
      <c r="B215" s="11"/>
      <c r="C215" s="11"/>
      <c r="D215" s="25"/>
      <c r="E215" s="25"/>
    </row>
    <row r="216">
      <c r="A216" s="11"/>
      <c r="B216" s="11"/>
      <c r="C216" s="11"/>
      <c r="D216" s="25"/>
      <c r="E216" s="25"/>
    </row>
    <row r="217">
      <c r="A217" s="11"/>
      <c r="B217" s="11"/>
      <c r="C217" s="11"/>
      <c r="D217" s="25"/>
      <c r="E217" s="25"/>
    </row>
    <row r="218">
      <c r="A218" s="11"/>
      <c r="B218" s="11"/>
      <c r="C218" s="11"/>
      <c r="D218" s="25"/>
      <c r="E218" s="25"/>
    </row>
    <row r="219">
      <c r="A219" s="11"/>
      <c r="B219" s="11"/>
      <c r="C219" s="11"/>
      <c r="D219" s="25"/>
      <c r="E219" s="25"/>
    </row>
    <row r="220">
      <c r="A220" s="11"/>
      <c r="B220" s="11"/>
      <c r="C220" s="11"/>
      <c r="D220" s="25"/>
      <c r="E220" s="25"/>
    </row>
    <row r="221">
      <c r="A221" s="11"/>
      <c r="B221" s="11"/>
      <c r="C221" s="11"/>
      <c r="D221" s="25"/>
      <c r="E221" s="25"/>
    </row>
    <row r="222">
      <c r="A222" s="11"/>
      <c r="B222" s="11"/>
      <c r="C222" s="11"/>
      <c r="D222" s="25"/>
      <c r="E222" s="25"/>
    </row>
    <row r="223">
      <c r="A223" s="11"/>
      <c r="B223" s="11"/>
      <c r="C223" s="11"/>
      <c r="D223" s="25"/>
      <c r="E223" s="25"/>
    </row>
    <row r="224">
      <c r="A224" s="11"/>
      <c r="B224" s="11"/>
      <c r="C224" s="11"/>
      <c r="D224" s="25"/>
      <c r="E224" s="25"/>
    </row>
    <row r="225">
      <c r="A225" s="11"/>
      <c r="B225" s="11"/>
      <c r="C225" s="11"/>
      <c r="D225" s="25"/>
      <c r="E225" s="25"/>
    </row>
    <row r="226">
      <c r="A226" s="11"/>
      <c r="B226" s="11"/>
      <c r="C226" s="11"/>
      <c r="D226" s="25"/>
      <c r="E226" s="25"/>
    </row>
    <row r="227">
      <c r="A227" s="11"/>
      <c r="B227" s="11"/>
      <c r="C227" s="11"/>
      <c r="D227" s="25"/>
      <c r="E227" s="25"/>
    </row>
    <row r="228">
      <c r="A228" s="11"/>
      <c r="B228" s="11"/>
      <c r="C228" s="11"/>
      <c r="D228" s="25"/>
      <c r="E228" s="25"/>
    </row>
    <row r="229">
      <c r="A229" s="11"/>
      <c r="B229" s="11"/>
      <c r="C229" s="11"/>
      <c r="D229" s="25"/>
      <c r="E229" s="25"/>
    </row>
    <row r="230">
      <c r="A230" s="11"/>
      <c r="B230" s="11"/>
      <c r="C230" s="11"/>
      <c r="D230" s="25"/>
      <c r="E230" s="25"/>
    </row>
    <row r="231">
      <c r="A231" s="11"/>
      <c r="B231" s="11"/>
      <c r="C231" s="11"/>
      <c r="D231" s="25"/>
      <c r="E231" s="25"/>
    </row>
    <row r="232">
      <c r="A232" s="11"/>
      <c r="B232" s="11"/>
      <c r="C232" s="11"/>
      <c r="D232" s="25"/>
      <c r="E232" s="25"/>
    </row>
    <row r="233">
      <c r="A233" s="11"/>
      <c r="B233" s="11"/>
      <c r="C233" s="11"/>
      <c r="D233" s="25"/>
      <c r="E233" s="25"/>
    </row>
    <row r="234">
      <c r="A234" s="11"/>
      <c r="B234" s="11"/>
      <c r="C234" s="11"/>
      <c r="D234" s="25"/>
      <c r="E234" s="25"/>
    </row>
    <row r="235">
      <c r="A235" s="11"/>
      <c r="B235" s="11"/>
      <c r="C235" s="11"/>
      <c r="D235" s="25"/>
      <c r="E235" s="25"/>
    </row>
    <row r="236">
      <c r="A236" s="11"/>
      <c r="B236" s="11"/>
      <c r="C236" s="11"/>
      <c r="D236" s="25"/>
      <c r="E236" s="25"/>
    </row>
    <row r="237">
      <c r="A237" s="11"/>
      <c r="B237" s="11"/>
      <c r="C237" s="11"/>
      <c r="D237" s="25"/>
      <c r="E237" s="25"/>
    </row>
    <row r="238">
      <c r="A238" s="11"/>
      <c r="B238" s="11"/>
      <c r="C238" s="11"/>
      <c r="D238" s="25"/>
      <c r="E238" s="25"/>
    </row>
    <row r="239">
      <c r="A239" s="11"/>
      <c r="B239" s="11"/>
      <c r="C239" s="11"/>
      <c r="D239" s="25"/>
      <c r="E239" s="25"/>
    </row>
    <row r="240">
      <c r="A240" s="11"/>
      <c r="B240" s="11"/>
      <c r="C240" s="11"/>
      <c r="D240" s="25"/>
      <c r="E240" s="25"/>
    </row>
    <row r="241">
      <c r="A241" s="11"/>
      <c r="B241" s="11"/>
      <c r="C241" s="11"/>
      <c r="D241" s="25"/>
      <c r="E241" s="25"/>
    </row>
    <row r="242">
      <c r="A242" s="11"/>
      <c r="B242" s="11"/>
      <c r="C242" s="11"/>
      <c r="D242" s="25"/>
      <c r="E242" s="25"/>
    </row>
    <row r="243">
      <c r="A243" s="11"/>
      <c r="B243" s="11"/>
      <c r="C243" s="11"/>
      <c r="D243" s="25"/>
      <c r="E243" s="25"/>
    </row>
    <row r="244">
      <c r="A244" s="11"/>
      <c r="B244" s="11"/>
      <c r="C244" s="11"/>
      <c r="D244" s="25"/>
      <c r="E244" s="25"/>
    </row>
    <row r="245">
      <c r="A245" s="11"/>
      <c r="B245" s="11"/>
      <c r="C245" s="11"/>
      <c r="D245" s="25"/>
      <c r="E245" s="25"/>
    </row>
    <row r="246">
      <c r="A246" s="11"/>
      <c r="B246" s="11"/>
      <c r="C246" s="11"/>
      <c r="D246" s="25"/>
      <c r="E246" s="25"/>
    </row>
    <row r="247">
      <c r="A247" s="11"/>
      <c r="B247" s="11"/>
      <c r="C247" s="11"/>
      <c r="D247" s="25"/>
      <c r="E247" s="25"/>
    </row>
    <row r="248">
      <c r="A248" s="11"/>
      <c r="B248" s="11"/>
      <c r="C248" s="11"/>
      <c r="D248" s="25"/>
      <c r="E248" s="25"/>
    </row>
    <row r="249">
      <c r="A249" s="11"/>
      <c r="B249" s="11"/>
      <c r="C249" s="11"/>
      <c r="D249" s="25"/>
      <c r="E249" s="25"/>
    </row>
    <row r="250">
      <c r="A250" s="11"/>
      <c r="B250" s="11"/>
      <c r="C250" s="11"/>
      <c r="D250" s="25"/>
      <c r="E250" s="25"/>
    </row>
    <row r="251">
      <c r="A251" s="11"/>
      <c r="B251" s="11"/>
      <c r="C251" s="11"/>
      <c r="D251" s="25"/>
      <c r="E251" s="25"/>
    </row>
    <row r="252">
      <c r="A252" s="11"/>
      <c r="B252" s="11"/>
      <c r="C252" s="11"/>
      <c r="D252" s="25"/>
      <c r="E252" s="25"/>
    </row>
    <row r="253">
      <c r="A253" s="11"/>
      <c r="B253" s="11"/>
      <c r="C253" s="11"/>
      <c r="D253" s="25"/>
      <c r="E253" s="25"/>
    </row>
    <row r="254">
      <c r="A254" s="11"/>
      <c r="B254" s="11"/>
      <c r="C254" s="11"/>
      <c r="D254" s="25"/>
      <c r="E254" s="25"/>
    </row>
    <row r="255">
      <c r="A255" s="11"/>
      <c r="B255" s="11"/>
      <c r="C255" s="11"/>
      <c r="D255" s="25"/>
      <c r="E255" s="25"/>
    </row>
    <row r="256">
      <c r="A256" s="11"/>
      <c r="B256" s="11"/>
      <c r="C256" s="11"/>
      <c r="D256" s="25"/>
      <c r="E256" s="25"/>
    </row>
    <row r="257">
      <c r="A257" s="11"/>
      <c r="B257" s="11"/>
      <c r="C257" s="11"/>
      <c r="D257" s="25"/>
      <c r="E257" s="25"/>
    </row>
    <row r="258">
      <c r="A258" s="11"/>
      <c r="B258" s="11"/>
      <c r="C258" s="11"/>
      <c r="D258" s="25"/>
      <c r="E258" s="25"/>
    </row>
    <row r="259">
      <c r="A259" s="11"/>
      <c r="B259" s="11"/>
      <c r="C259" s="11"/>
      <c r="D259" s="25"/>
      <c r="E259" s="25"/>
    </row>
    <row r="260">
      <c r="A260" s="11"/>
      <c r="B260" s="11"/>
      <c r="C260" s="11"/>
      <c r="D260" s="25"/>
      <c r="E260" s="25"/>
    </row>
    <row r="261">
      <c r="A261" s="11"/>
      <c r="B261" s="11"/>
      <c r="C261" s="11"/>
      <c r="D261" s="25"/>
      <c r="E261" s="25"/>
    </row>
    <row r="262">
      <c r="A262" s="11"/>
      <c r="B262" s="11"/>
      <c r="C262" s="11"/>
      <c r="D262" s="25"/>
      <c r="E262" s="25"/>
    </row>
    <row r="263">
      <c r="A263" s="11"/>
      <c r="B263" s="11"/>
      <c r="C263" s="11"/>
      <c r="D263" s="25"/>
      <c r="E263" s="25"/>
    </row>
    <row r="264">
      <c r="A264" s="11"/>
      <c r="B264" s="11"/>
      <c r="C264" s="11"/>
      <c r="D264" s="25"/>
      <c r="E264" s="25"/>
    </row>
    <row r="265">
      <c r="A265" s="11"/>
      <c r="B265" s="11"/>
      <c r="C265" s="11"/>
      <c r="D265" s="25"/>
      <c r="E265" s="25"/>
    </row>
    <row r="266">
      <c r="A266" s="11"/>
      <c r="B266" s="11"/>
      <c r="C266" s="11"/>
      <c r="D266" s="25"/>
      <c r="E266" s="25"/>
    </row>
    <row r="267">
      <c r="A267" s="11"/>
      <c r="B267" s="11"/>
      <c r="C267" s="11"/>
      <c r="D267" s="25"/>
      <c r="E267" s="25"/>
    </row>
    <row r="268">
      <c r="A268" s="11"/>
      <c r="B268" s="11"/>
      <c r="C268" s="11"/>
      <c r="D268" s="25"/>
      <c r="E268" s="25"/>
    </row>
    <row r="269">
      <c r="A269" s="11"/>
      <c r="B269" s="11"/>
      <c r="C269" s="11"/>
      <c r="D269" s="25"/>
      <c r="E269" s="25"/>
    </row>
    <row r="270">
      <c r="A270" s="11"/>
      <c r="B270" s="11"/>
      <c r="C270" s="11"/>
      <c r="D270" s="25"/>
      <c r="E270" s="25"/>
    </row>
    <row r="271">
      <c r="A271" s="11"/>
      <c r="B271" s="11"/>
      <c r="C271" s="11"/>
      <c r="D271" s="25"/>
      <c r="E271" s="25"/>
    </row>
    <row r="272">
      <c r="A272" s="11"/>
      <c r="B272" s="11"/>
      <c r="C272" s="11"/>
      <c r="D272" s="25"/>
      <c r="E272" s="25"/>
    </row>
    <row r="273">
      <c r="A273" s="11"/>
      <c r="B273" s="11"/>
      <c r="C273" s="11"/>
      <c r="D273" s="25"/>
      <c r="E273" s="25"/>
    </row>
    <row r="274">
      <c r="A274" s="11"/>
      <c r="B274" s="11"/>
      <c r="C274" s="11"/>
      <c r="D274" s="25"/>
      <c r="E274" s="25"/>
    </row>
    <row r="275">
      <c r="A275" s="11"/>
      <c r="B275" s="11"/>
      <c r="C275" s="11"/>
      <c r="D275" s="25"/>
      <c r="E275" s="25"/>
    </row>
    <row r="276">
      <c r="A276" s="11"/>
      <c r="B276" s="11"/>
      <c r="C276" s="11"/>
      <c r="D276" s="25"/>
      <c r="E276" s="25"/>
    </row>
    <row r="277">
      <c r="A277" s="11"/>
      <c r="B277" s="11"/>
      <c r="C277" s="11"/>
      <c r="D277" s="25"/>
      <c r="E277" s="25"/>
    </row>
    <row r="278">
      <c r="A278" s="11"/>
      <c r="B278" s="11"/>
      <c r="C278" s="11"/>
      <c r="D278" s="25"/>
      <c r="E278" s="25"/>
    </row>
    <row r="279">
      <c r="A279" s="11"/>
      <c r="B279" s="11"/>
      <c r="C279" s="11"/>
      <c r="D279" s="25"/>
      <c r="E279" s="25"/>
    </row>
    <row r="280">
      <c r="A280" s="11"/>
      <c r="B280" s="11"/>
      <c r="C280" s="11"/>
      <c r="D280" s="25"/>
      <c r="E280" s="25"/>
    </row>
    <row r="281">
      <c r="A281" s="11"/>
      <c r="B281" s="11"/>
      <c r="C281" s="11"/>
      <c r="D281" s="25"/>
      <c r="E281" s="25"/>
    </row>
    <row r="282">
      <c r="A282" s="11"/>
      <c r="B282" s="11"/>
      <c r="C282" s="11"/>
      <c r="D282" s="25"/>
      <c r="E282" s="25"/>
    </row>
    <row r="283">
      <c r="A283" s="11"/>
      <c r="B283" s="11"/>
      <c r="C283" s="11"/>
      <c r="D283" s="25"/>
      <c r="E283" s="25"/>
    </row>
    <row r="284">
      <c r="A284" s="11"/>
      <c r="B284" s="11"/>
      <c r="C284" s="11"/>
      <c r="D284" s="25"/>
      <c r="E284" s="25"/>
    </row>
    <row r="285">
      <c r="A285" s="11"/>
      <c r="B285" s="11"/>
      <c r="C285" s="11"/>
      <c r="D285" s="25"/>
      <c r="E285" s="25"/>
    </row>
    <row r="286">
      <c r="A286" s="11"/>
      <c r="B286" s="11"/>
      <c r="C286" s="11"/>
      <c r="D286" s="25"/>
      <c r="E286" s="25"/>
    </row>
    <row r="287">
      <c r="A287" s="11"/>
      <c r="B287" s="11"/>
      <c r="C287" s="11"/>
      <c r="D287" s="25"/>
      <c r="E287" s="25"/>
    </row>
    <row r="288">
      <c r="A288" s="11"/>
      <c r="B288" s="11"/>
      <c r="C288" s="11"/>
      <c r="D288" s="25"/>
      <c r="E288" s="25"/>
    </row>
    <row r="289">
      <c r="A289" s="11"/>
      <c r="B289" s="11"/>
      <c r="C289" s="11"/>
      <c r="D289" s="25"/>
      <c r="E289" s="25"/>
    </row>
    <row r="290">
      <c r="A290" s="11"/>
      <c r="B290" s="11"/>
      <c r="C290" s="11"/>
      <c r="D290" s="25"/>
      <c r="E290" s="25"/>
    </row>
    <row r="291">
      <c r="A291" s="11"/>
      <c r="B291" s="11"/>
      <c r="C291" s="11"/>
      <c r="D291" s="25"/>
      <c r="E291" s="25"/>
    </row>
    <row r="292">
      <c r="A292" s="11"/>
      <c r="B292" s="11"/>
      <c r="C292" s="11"/>
      <c r="D292" s="25"/>
      <c r="E292" s="25"/>
    </row>
    <row r="293">
      <c r="A293" s="11"/>
      <c r="B293" s="11"/>
      <c r="C293" s="11"/>
      <c r="D293" s="25"/>
      <c r="E293" s="25"/>
    </row>
    <row r="294">
      <c r="A294" s="11"/>
      <c r="B294" s="11"/>
      <c r="C294" s="11"/>
      <c r="D294" s="25"/>
      <c r="E294" s="25"/>
    </row>
    <row r="295">
      <c r="A295" s="11"/>
      <c r="B295" s="11"/>
      <c r="C295" s="11"/>
      <c r="D295" s="25"/>
      <c r="E295" s="25"/>
    </row>
    <row r="296">
      <c r="A296" s="11"/>
      <c r="B296" s="11"/>
      <c r="C296" s="11"/>
      <c r="D296" s="25"/>
      <c r="E296" s="25"/>
    </row>
    <row r="297">
      <c r="A297" s="11"/>
      <c r="B297" s="11"/>
      <c r="C297" s="11"/>
      <c r="D297" s="25"/>
      <c r="E297" s="25"/>
    </row>
    <row r="298">
      <c r="A298" s="11"/>
      <c r="B298" s="11"/>
      <c r="C298" s="11"/>
      <c r="D298" s="25"/>
      <c r="E298" s="25"/>
    </row>
    <row r="299">
      <c r="A299" s="11"/>
      <c r="B299" s="11"/>
      <c r="C299" s="11"/>
      <c r="D299" s="25"/>
      <c r="E299" s="25"/>
    </row>
    <row r="300">
      <c r="A300" s="11"/>
      <c r="B300" s="11"/>
      <c r="C300" s="11"/>
      <c r="D300" s="25"/>
      <c r="E300" s="25"/>
    </row>
    <row r="301">
      <c r="A301" s="11"/>
      <c r="B301" s="11"/>
      <c r="C301" s="11"/>
      <c r="D301" s="25"/>
      <c r="E301" s="25"/>
    </row>
    <row r="302">
      <c r="A302" s="11"/>
      <c r="B302" s="11"/>
      <c r="C302" s="11"/>
      <c r="D302" s="25"/>
      <c r="E302" s="25"/>
    </row>
    <row r="303">
      <c r="A303" s="11"/>
      <c r="B303" s="11"/>
      <c r="C303" s="11"/>
      <c r="D303" s="25"/>
      <c r="E303" s="25"/>
    </row>
    <row r="304">
      <c r="A304" s="11"/>
      <c r="B304" s="11"/>
      <c r="C304" s="11"/>
      <c r="D304" s="25"/>
      <c r="E304" s="25"/>
    </row>
    <row r="305">
      <c r="A305" s="11"/>
      <c r="B305" s="11"/>
      <c r="C305" s="11"/>
      <c r="D305" s="25"/>
      <c r="E305" s="25"/>
    </row>
    <row r="306">
      <c r="A306" s="11"/>
      <c r="B306" s="11"/>
      <c r="C306" s="11"/>
      <c r="D306" s="25"/>
      <c r="E306" s="25"/>
    </row>
    <row r="307">
      <c r="A307" s="11"/>
      <c r="B307" s="11"/>
      <c r="C307" s="11"/>
      <c r="D307" s="25"/>
      <c r="E307" s="25"/>
    </row>
    <row r="308">
      <c r="A308" s="11"/>
      <c r="B308" s="11"/>
      <c r="C308" s="11"/>
      <c r="D308" s="25"/>
      <c r="E308" s="25"/>
    </row>
    <row r="309">
      <c r="A309" s="11"/>
      <c r="B309" s="11"/>
      <c r="C309" s="11"/>
      <c r="D309" s="25"/>
      <c r="E309" s="25"/>
    </row>
    <row r="310">
      <c r="A310" s="11"/>
      <c r="B310" s="11"/>
      <c r="C310" s="11"/>
      <c r="D310" s="25"/>
      <c r="E310" s="25"/>
    </row>
    <row r="311">
      <c r="A311" s="11"/>
      <c r="B311" s="11"/>
      <c r="C311" s="11"/>
      <c r="D311" s="25"/>
      <c r="E311" s="25"/>
    </row>
    <row r="312">
      <c r="A312" s="11"/>
      <c r="B312" s="11"/>
      <c r="C312" s="11"/>
      <c r="D312" s="25"/>
      <c r="E312" s="25"/>
    </row>
    <row r="313">
      <c r="A313" s="11"/>
      <c r="B313" s="11"/>
      <c r="C313" s="11"/>
      <c r="D313" s="25"/>
      <c r="E313" s="25"/>
    </row>
    <row r="314">
      <c r="A314" s="11"/>
      <c r="B314" s="11"/>
      <c r="C314" s="11"/>
      <c r="D314" s="25"/>
      <c r="E314" s="25"/>
    </row>
    <row r="315">
      <c r="A315" s="11"/>
      <c r="B315" s="11"/>
      <c r="C315" s="11"/>
      <c r="D315" s="25"/>
      <c r="E315" s="25"/>
    </row>
    <row r="316">
      <c r="A316" s="11"/>
      <c r="B316" s="11"/>
      <c r="C316" s="11"/>
      <c r="D316" s="25"/>
      <c r="E316" s="25"/>
    </row>
    <row r="317">
      <c r="A317" s="11"/>
      <c r="B317" s="11"/>
      <c r="C317" s="11"/>
      <c r="D317" s="25"/>
      <c r="E317" s="25"/>
    </row>
    <row r="318">
      <c r="A318" s="11"/>
      <c r="B318" s="11"/>
      <c r="C318" s="11"/>
      <c r="D318" s="25"/>
      <c r="E318" s="25"/>
    </row>
    <row r="319">
      <c r="A319" s="11"/>
      <c r="B319" s="11"/>
      <c r="C319" s="11"/>
      <c r="D319" s="25"/>
      <c r="E319" s="25"/>
    </row>
    <row r="320">
      <c r="A320" s="11"/>
      <c r="B320" s="11"/>
      <c r="C320" s="11"/>
      <c r="D320" s="25"/>
      <c r="E320" s="25"/>
    </row>
    <row r="321">
      <c r="A321" s="11"/>
      <c r="B321" s="11"/>
      <c r="C321" s="11"/>
      <c r="D321" s="25"/>
      <c r="E321" s="25"/>
    </row>
    <row r="322">
      <c r="A322" s="11"/>
      <c r="B322" s="11"/>
      <c r="C322" s="11"/>
      <c r="D322" s="25"/>
      <c r="E322" s="25"/>
    </row>
    <row r="323">
      <c r="A323" s="11"/>
      <c r="B323" s="11"/>
      <c r="C323" s="11"/>
      <c r="D323" s="25"/>
      <c r="E323" s="25"/>
    </row>
    <row r="324">
      <c r="A324" s="11"/>
      <c r="B324" s="11"/>
      <c r="C324" s="11"/>
      <c r="D324" s="25"/>
      <c r="E324" s="25"/>
    </row>
    <row r="325">
      <c r="A325" s="11"/>
      <c r="B325" s="11"/>
      <c r="C325" s="11"/>
      <c r="D325" s="25"/>
      <c r="E325" s="25"/>
    </row>
    <row r="326">
      <c r="A326" s="11"/>
      <c r="B326" s="11"/>
      <c r="C326" s="11"/>
      <c r="D326" s="25"/>
      <c r="E326" s="25"/>
    </row>
    <row r="327">
      <c r="A327" s="11"/>
      <c r="B327" s="11"/>
      <c r="C327" s="11"/>
      <c r="D327" s="25"/>
      <c r="E327" s="25"/>
    </row>
    <row r="328">
      <c r="A328" s="11"/>
      <c r="B328" s="11"/>
      <c r="C328" s="11"/>
      <c r="D328" s="25"/>
      <c r="E328" s="25"/>
    </row>
    <row r="329">
      <c r="A329" s="11"/>
      <c r="B329" s="11"/>
      <c r="C329" s="11"/>
      <c r="D329" s="25"/>
      <c r="E329" s="25"/>
    </row>
    <row r="330">
      <c r="A330" s="11"/>
      <c r="B330" s="11"/>
      <c r="C330" s="11"/>
      <c r="D330" s="25"/>
      <c r="E330" s="25"/>
    </row>
    <row r="331">
      <c r="A331" s="11"/>
      <c r="B331" s="11"/>
      <c r="C331" s="11"/>
      <c r="D331" s="25"/>
      <c r="E331" s="25"/>
    </row>
    <row r="332">
      <c r="A332" s="11"/>
      <c r="B332" s="11"/>
      <c r="C332" s="11"/>
      <c r="D332" s="25"/>
      <c r="E332" s="25"/>
    </row>
    <row r="333">
      <c r="A333" s="11"/>
      <c r="B333" s="11"/>
      <c r="C333" s="11"/>
      <c r="D333" s="25"/>
      <c r="E333" s="25"/>
    </row>
    <row r="334">
      <c r="A334" s="11"/>
      <c r="B334" s="11"/>
      <c r="C334" s="11"/>
      <c r="D334" s="25"/>
      <c r="E334" s="25"/>
    </row>
    <row r="335">
      <c r="A335" s="11"/>
      <c r="B335" s="11"/>
      <c r="C335" s="11"/>
      <c r="D335" s="25"/>
      <c r="E335" s="25"/>
    </row>
    <row r="336">
      <c r="A336" s="11"/>
      <c r="B336" s="11"/>
      <c r="C336" s="11"/>
      <c r="D336" s="25"/>
      <c r="E336" s="25"/>
    </row>
    <row r="337">
      <c r="A337" s="11"/>
      <c r="B337" s="11"/>
      <c r="C337" s="11"/>
      <c r="D337" s="25"/>
      <c r="E337" s="25"/>
    </row>
    <row r="338">
      <c r="A338" s="11"/>
      <c r="B338" s="11"/>
      <c r="C338" s="11"/>
      <c r="D338" s="25"/>
      <c r="E338" s="25"/>
    </row>
    <row r="339">
      <c r="A339" s="11"/>
      <c r="B339" s="11"/>
      <c r="C339" s="11"/>
      <c r="D339" s="25"/>
      <c r="E339" s="25"/>
    </row>
    <row r="340">
      <c r="A340" s="11"/>
      <c r="B340" s="11"/>
      <c r="C340" s="11"/>
      <c r="D340" s="25"/>
      <c r="E340" s="25"/>
    </row>
    <row r="341">
      <c r="A341" s="11"/>
      <c r="B341" s="11"/>
      <c r="C341" s="11"/>
      <c r="D341" s="25"/>
      <c r="E341" s="25"/>
    </row>
    <row r="342">
      <c r="A342" s="11"/>
      <c r="B342" s="11"/>
      <c r="C342" s="11"/>
      <c r="D342" s="25"/>
      <c r="E342" s="25"/>
    </row>
    <row r="343">
      <c r="A343" s="11"/>
      <c r="B343" s="11"/>
      <c r="C343" s="11"/>
      <c r="D343" s="25"/>
      <c r="E343" s="25"/>
    </row>
    <row r="344">
      <c r="A344" s="11"/>
      <c r="B344" s="11"/>
      <c r="C344" s="11"/>
      <c r="D344" s="25"/>
      <c r="E344" s="25"/>
    </row>
    <row r="345">
      <c r="A345" s="11"/>
      <c r="B345" s="11"/>
      <c r="C345" s="11"/>
      <c r="D345" s="25"/>
      <c r="E345" s="25"/>
    </row>
    <row r="346">
      <c r="A346" s="11"/>
      <c r="B346" s="11"/>
      <c r="C346" s="11"/>
      <c r="D346" s="25"/>
      <c r="E346" s="25"/>
    </row>
    <row r="347">
      <c r="A347" s="11"/>
      <c r="B347" s="11"/>
      <c r="C347" s="11"/>
      <c r="D347" s="25"/>
      <c r="E347" s="25"/>
    </row>
    <row r="348">
      <c r="A348" s="11"/>
      <c r="B348" s="11"/>
      <c r="C348" s="11"/>
      <c r="D348" s="25"/>
      <c r="E348" s="25"/>
    </row>
    <row r="349">
      <c r="A349" s="11"/>
      <c r="B349" s="11"/>
      <c r="C349" s="11"/>
      <c r="D349" s="25"/>
      <c r="E349" s="25"/>
    </row>
    <row r="350">
      <c r="A350" s="11"/>
      <c r="B350" s="11"/>
      <c r="C350" s="11"/>
      <c r="D350" s="25"/>
      <c r="E350" s="25"/>
    </row>
    <row r="351">
      <c r="A351" s="11"/>
      <c r="B351" s="11"/>
      <c r="C351" s="11"/>
      <c r="D351" s="25"/>
      <c r="E351" s="25"/>
    </row>
    <row r="352">
      <c r="A352" s="11"/>
      <c r="B352" s="11"/>
      <c r="C352" s="11"/>
      <c r="D352" s="25"/>
      <c r="E352" s="25"/>
    </row>
    <row r="353">
      <c r="A353" s="11"/>
      <c r="B353" s="11"/>
      <c r="C353" s="11"/>
      <c r="D353" s="25"/>
      <c r="E353" s="25"/>
    </row>
    <row r="354">
      <c r="A354" s="11"/>
      <c r="B354" s="11"/>
      <c r="C354" s="11"/>
      <c r="D354" s="25"/>
      <c r="E354" s="25"/>
    </row>
    <row r="355">
      <c r="A355" s="11"/>
      <c r="B355" s="11"/>
      <c r="C355" s="11"/>
      <c r="D355" s="25"/>
      <c r="E355" s="25"/>
    </row>
    <row r="356">
      <c r="A356" s="11"/>
      <c r="B356" s="11"/>
      <c r="C356" s="11"/>
      <c r="D356" s="25"/>
      <c r="E356" s="25"/>
    </row>
    <row r="357">
      <c r="A357" s="11"/>
      <c r="B357" s="11"/>
      <c r="C357" s="11"/>
      <c r="D357" s="25"/>
      <c r="E357" s="25"/>
    </row>
    <row r="358">
      <c r="A358" s="11"/>
      <c r="B358" s="11"/>
      <c r="C358" s="11"/>
      <c r="D358" s="25"/>
      <c r="E358" s="25"/>
    </row>
    <row r="359">
      <c r="A359" s="11"/>
      <c r="B359" s="11"/>
      <c r="C359" s="11"/>
      <c r="D359" s="25"/>
      <c r="E359" s="25"/>
    </row>
    <row r="360">
      <c r="A360" s="11"/>
      <c r="B360" s="11"/>
      <c r="C360" s="11"/>
      <c r="D360" s="25"/>
      <c r="E360" s="25"/>
    </row>
    <row r="361">
      <c r="A361" s="11"/>
      <c r="B361" s="11"/>
      <c r="C361" s="11"/>
      <c r="D361" s="25"/>
      <c r="E361" s="25"/>
    </row>
    <row r="362">
      <c r="A362" s="11"/>
      <c r="B362" s="11"/>
      <c r="C362" s="11"/>
      <c r="D362" s="25"/>
      <c r="E362" s="25"/>
    </row>
    <row r="363">
      <c r="A363" s="11"/>
      <c r="B363" s="11"/>
      <c r="C363" s="11"/>
      <c r="D363" s="25"/>
      <c r="E363" s="25"/>
    </row>
    <row r="364">
      <c r="A364" s="11"/>
      <c r="B364" s="11"/>
      <c r="C364" s="11"/>
      <c r="D364" s="25"/>
      <c r="E364" s="25"/>
    </row>
    <row r="365">
      <c r="A365" s="11"/>
      <c r="B365" s="11"/>
      <c r="C365" s="11"/>
      <c r="D365" s="25"/>
      <c r="E365" s="25"/>
    </row>
    <row r="366">
      <c r="A366" s="11"/>
      <c r="B366" s="11"/>
      <c r="C366" s="11"/>
      <c r="D366" s="25"/>
      <c r="E366" s="25"/>
    </row>
    <row r="367">
      <c r="A367" s="11"/>
      <c r="B367" s="11"/>
      <c r="C367" s="11"/>
      <c r="D367" s="25"/>
      <c r="E367" s="25"/>
    </row>
    <row r="368">
      <c r="A368" s="11"/>
      <c r="B368" s="11"/>
      <c r="C368" s="11"/>
      <c r="D368" s="25"/>
      <c r="E368" s="25"/>
    </row>
    <row r="369">
      <c r="A369" s="11"/>
      <c r="B369" s="11"/>
      <c r="C369" s="11"/>
      <c r="D369" s="25"/>
      <c r="E369" s="25"/>
    </row>
    <row r="370">
      <c r="A370" s="11"/>
      <c r="B370" s="11"/>
      <c r="C370" s="11"/>
      <c r="D370" s="25"/>
      <c r="E370" s="25"/>
    </row>
    <row r="371">
      <c r="A371" s="11"/>
      <c r="B371" s="11"/>
      <c r="C371" s="11"/>
      <c r="D371" s="25"/>
      <c r="E371" s="25"/>
    </row>
    <row r="372">
      <c r="A372" s="11"/>
      <c r="B372" s="11"/>
      <c r="C372" s="11"/>
      <c r="D372" s="25"/>
      <c r="E372" s="25"/>
    </row>
    <row r="373">
      <c r="A373" s="11"/>
      <c r="B373" s="11"/>
      <c r="C373" s="11"/>
      <c r="D373" s="25"/>
      <c r="E373" s="25"/>
    </row>
    <row r="374">
      <c r="A374" s="11"/>
      <c r="B374" s="11"/>
      <c r="C374" s="11"/>
      <c r="D374" s="25"/>
      <c r="E374" s="25"/>
    </row>
    <row r="375">
      <c r="A375" s="11"/>
      <c r="B375" s="11"/>
      <c r="C375" s="11"/>
      <c r="D375" s="25"/>
      <c r="E375" s="25"/>
    </row>
    <row r="376">
      <c r="A376" s="11"/>
      <c r="B376" s="11"/>
      <c r="C376" s="11"/>
      <c r="D376" s="25"/>
      <c r="E376" s="25"/>
    </row>
    <row r="377">
      <c r="A377" s="11"/>
      <c r="B377" s="11"/>
      <c r="C377" s="11"/>
      <c r="D377" s="25"/>
      <c r="E377" s="25"/>
    </row>
    <row r="378">
      <c r="A378" s="11"/>
      <c r="B378" s="11"/>
      <c r="C378" s="11"/>
      <c r="D378" s="25"/>
      <c r="E378" s="25"/>
    </row>
    <row r="379">
      <c r="A379" s="11"/>
      <c r="B379" s="11"/>
      <c r="C379" s="11"/>
      <c r="D379" s="25"/>
      <c r="E379" s="25"/>
    </row>
    <row r="380">
      <c r="A380" s="11"/>
      <c r="B380" s="11"/>
      <c r="C380" s="11"/>
      <c r="D380" s="25"/>
      <c r="E380" s="25"/>
    </row>
    <row r="381">
      <c r="A381" s="11"/>
      <c r="B381" s="11"/>
      <c r="C381" s="11"/>
      <c r="D381" s="25"/>
      <c r="E381" s="25"/>
    </row>
    <row r="382">
      <c r="A382" s="11"/>
      <c r="B382" s="11"/>
      <c r="C382" s="11"/>
      <c r="D382" s="25"/>
      <c r="E382" s="25"/>
    </row>
    <row r="383">
      <c r="A383" s="11"/>
      <c r="B383" s="11"/>
      <c r="C383" s="11"/>
      <c r="D383" s="25"/>
      <c r="E383" s="25"/>
    </row>
    <row r="384">
      <c r="A384" s="11"/>
      <c r="B384" s="11"/>
      <c r="C384" s="11"/>
      <c r="D384" s="25"/>
      <c r="E384" s="25"/>
    </row>
    <row r="385">
      <c r="A385" s="11"/>
      <c r="B385" s="11"/>
      <c r="C385" s="11"/>
      <c r="D385" s="25"/>
      <c r="E385" s="25"/>
    </row>
    <row r="386">
      <c r="A386" s="11"/>
      <c r="B386" s="11"/>
      <c r="C386" s="11"/>
      <c r="D386" s="25"/>
      <c r="E386" s="25"/>
    </row>
    <row r="387">
      <c r="A387" s="11"/>
      <c r="B387" s="11"/>
      <c r="C387" s="11"/>
      <c r="D387" s="25"/>
      <c r="E387" s="25"/>
    </row>
    <row r="388">
      <c r="A388" s="11"/>
      <c r="B388" s="11"/>
      <c r="C388" s="11"/>
      <c r="D388" s="25"/>
      <c r="E388" s="25"/>
    </row>
    <row r="389">
      <c r="A389" s="11"/>
      <c r="B389" s="11"/>
      <c r="C389" s="11"/>
      <c r="D389" s="25"/>
      <c r="E389" s="25"/>
    </row>
    <row r="390">
      <c r="A390" s="11"/>
      <c r="B390" s="11"/>
      <c r="C390" s="11"/>
      <c r="D390" s="25"/>
      <c r="E390" s="25"/>
    </row>
    <row r="391">
      <c r="A391" s="11"/>
      <c r="B391" s="11"/>
      <c r="C391" s="11"/>
      <c r="D391" s="25"/>
      <c r="E391" s="25"/>
    </row>
    <row r="392">
      <c r="A392" s="11"/>
      <c r="B392" s="11"/>
      <c r="C392" s="11"/>
      <c r="D392" s="25"/>
      <c r="E392" s="25"/>
    </row>
    <row r="393">
      <c r="A393" s="11"/>
      <c r="B393" s="11"/>
      <c r="C393" s="11"/>
      <c r="D393" s="25"/>
      <c r="E393" s="25"/>
    </row>
    <row r="394">
      <c r="A394" s="11"/>
      <c r="B394" s="11"/>
      <c r="C394" s="11"/>
      <c r="D394" s="25"/>
      <c r="E394" s="25"/>
    </row>
    <row r="395">
      <c r="A395" s="11"/>
      <c r="B395" s="11"/>
      <c r="C395" s="11"/>
      <c r="D395" s="25"/>
      <c r="E395" s="25"/>
    </row>
    <row r="396">
      <c r="A396" s="11"/>
      <c r="B396" s="11"/>
      <c r="C396" s="11"/>
      <c r="D396" s="25"/>
      <c r="E396" s="25"/>
    </row>
    <row r="397">
      <c r="A397" s="11"/>
      <c r="B397" s="11"/>
      <c r="C397" s="11"/>
      <c r="D397" s="25"/>
      <c r="E397" s="25"/>
    </row>
    <row r="398">
      <c r="A398" s="11"/>
      <c r="B398" s="11"/>
      <c r="C398" s="11"/>
      <c r="D398" s="25"/>
      <c r="E398" s="25"/>
    </row>
    <row r="399">
      <c r="A399" s="11"/>
      <c r="B399" s="11"/>
      <c r="C399" s="11"/>
      <c r="D399" s="25"/>
      <c r="E399" s="25"/>
    </row>
    <row r="400">
      <c r="A400" s="11"/>
      <c r="B400" s="11"/>
      <c r="C400" s="11"/>
      <c r="D400" s="25"/>
      <c r="E400" s="25"/>
    </row>
    <row r="401">
      <c r="A401" s="11"/>
      <c r="B401" s="11"/>
      <c r="C401" s="11"/>
      <c r="D401" s="25"/>
      <c r="E401" s="25"/>
    </row>
    <row r="402">
      <c r="A402" s="11"/>
      <c r="B402" s="11"/>
      <c r="C402" s="11"/>
      <c r="D402" s="25"/>
      <c r="E402" s="25"/>
    </row>
    <row r="403">
      <c r="A403" s="11"/>
      <c r="B403" s="11"/>
      <c r="C403" s="11"/>
      <c r="D403" s="25"/>
      <c r="E403" s="25"/>
    </row>
    <row r="404">
      <c r="A404" s="11"/>
      <c r="B404" s="11"/>
      <c r="C404" s="11"/>
      <c r="D404" s="25"/>
      <c r="E404" s="25"/>
    </row>
    <row r="405">
      <c r="A405" s="11"/>
      <c r="B405" s="11"/>
      <c r="C405" s="11"/>
      <c r="D405" s="25"/>
      <c r="E405" s="25"/>
    </row>
    <row r="406">
      <c r="A406" s="11"/>
      <c r="B406" s="11"/>
      <c r="C406" s="11"/>
      <c r="D406" s="25"/>
      <c r="E406" s="25"/>
    </row>
    <row r="407">
      <c r="A407" s="11"/>
      <c r="B407" s="11"/>
      <c r="C407" s="11"/>
      <c r="D407" s="25"/>
      <c r="E407" s="25"/>
    </row>
    <row r="408">
      <c r="A408" s="11"/>
      <c r="B408" s="11"/>
      <c r="C408" s="11"/>
      <c r="D408" s="25"/>
      <c r="E408" s="25"/>
    </row>
    <row r="409">
      <c r="A409" s="11"/>
      <c r="B409" s="11"/>
      <c r="C409" s="11"/>
      <c r="D409" s="25"/>
      <c r="E409" s="25"/>
    </row>
    <row r="410">
      <c r="A410" s="11"/>
      <c r="B410" s="11"/>
      <c r="C410" s="11"/>
      <c r="D410" s="25"/>
      <c r="E410" s="25"/>
    </row>
    <row r="411">
      <c r="A411" s="11"/>
      <c r="B411" s="11"/>
      <c r="C411" s="11"/>
      <c r="D411" s="25"/>
      <c r="E411" s="25"/>
    </row>
    <row r="412">
      <c r="A412" s="11"/>
      <c r="B412" s="11"/>
      <c r="C412" s="11"/>
      <c r="D412" s="25"/>
      <c r="E412" s="25"/>
    </row>
    <row r="413">
      <c r="A413" s="11"/>
      <c r="B413" s="11"/>
      <c r="C413" s="11"/>
      <c r="D413" s="25"/>
      <c r="E413" s="25"/>
    </row>
    <row r="414">
      <c r="A414" s="11"/>
      <c r="B414" s="11"/>
      <c r="C414" s="11"/>
      <c r="D414" s="25"/>
      <c r="E414" s="25"/>
    </row>
    <row r="415">
      <c r="A415" s="11"/>
      <c r="B415" s="11"/>
      <c r="C415" s="11"/>
      <c r="D415" s="25"/>
      <c r="E415" s="25"/>
    </row>
    <row r="416">
      <c r="A416" s="11"/>
      <c r="B416" s="11"/>
      <c r="C416" s="11"/>
      <c r="D416" s="25"/>
      <c r="E416" s="25"/>
    </row>
    <row r="417">
      <c r="A417" s="11"/>
      <c r="B417" s="11"/>
      <c r="C417" s="11"/>
      <c r="D417" s="25"/>
      <c r="E417" s="25"/>
    </row>
    <row r="418">
      <c r="A418" s="11"/>
      <c r="B418" s="11"/>
      <c r="C418" s="11"/>
      <c r="D418" s="25"/>
      <c r="E418" s="25"/>
    </row>
    <row r="419">
      <c r="A419" s="11"/>
      <c r="B419" s="11"/>
      <c r="C419" s="11"/>
      <c r="D419" s="25"/>
      <c r="E419" s="25"/>
    </row>
    <row r="420">
      <c r="A420" s="11"/>
      <c r="B420" s="11"/>
      <c r="C420" s="11"/>
      <c r="D420" s="25"/>
      <c r="E420" s="25"/>
    </row>
    <row r="421">
      <c r="A421" s="11"/>
      <c r="B421" s="11"/>
      <c r="C421" s="11"/>
      <c r="D421" s="25"/>
      <c r="E421" s="25"/>
    </row>
    <row r="422">
      <c r="A422" s="11"/>
      <c r="B422" s="11"/>
      <c r="C422" s="11"/>
      <c r="D422" s="25"/>
      <c r="E422" s="25"/>
    </row>
    <row r="423">
      <c r="A423" s="11"/>
      <c r="B423" s="11"/>
      <c r="C423" s="11"/>
      <c r="D423" s="25"/>
      <c r="E423" s="25"/>
    </row>
    <row r="424">
      <c r="A424" s="11"/>
      <c r="B424" s="11"/>
      <c r="C424" s="11"/>
      <c r="D424" s="25"/>
      <c r="E424" s="25"/>
    </row>
    <row r="425">
      <c r="A425" s="11"/>
      <c r="B425" s="11"/>
      <c r="C425" s="11"/>
      <c r="D425" s="25"/>
      <c r="E425" s="25"/>
    </row>
    <row r="426">
      <c r="A426" s="11"/>
      <c r="B426" s="11"/>
      <c r="C426" s="11"/>
      <c r="D426" s="25"/>
      <c r="E426" s="25"/>
    </row>
    <row r="427">
      <c r="A427" s="11"/>
      <c r="B427" s="11"/>
      <c r="C427" s="11"/>
      <c r="D427" s="25"/>
      <c r="E427" s="25"/>
    </row>
    <row r="428">
      <c r="A428" s="11"/>
      <c r="B428" s="11"/>
      <c r="C428" s="11"/>
      <c r="D428" s="25"/>
      <c r="E428" s="25"/>
    </row>
    <row r="429">
      <c r="A429" s="11"/>
      <c r="B429" s="11"/>
      <c r="C429" s="11"/>
      <c r="D429" s="25"/>
      <c r="E429" s="25"/>
    </row>
    <row r="430">
      <c r="A430" s="11"/>
      <c r="B430" s="11"/>
      <c r="C430" s="11"/>
      <c r="D430" s="25"/>
      <c r="E430" s="25"/>
    </row>
    <row r="431">
      <c r="A431" s="11"/>
      <c r="B431" s="11"/>
      <c r="C431" s="11"/>
      <c r="D431" s="25"/>
      <c r="E431" s="25"/>
    </row>
    <row r="432">
      <c r="A432" s="11"/>
      <c r="B432" s="11"/>
      <c r="C432" s="11"/>
      <c r="D432" s="25"/>
      <c r="E432" s="25"/>
    </row>
    <row r="433">
      <c r="A433" s="11"/>
      <c r="B433" s="11"/>
      <c r="C433" s="11"/>
      <c r="D433" s="25"/>
      <c r="E433" s="25"/>
    </row>
    <row r="434">
      <c r="A434" s="11"/>
      <c r="B434" s="11"/>
      <c r="C434" s="11"/>
      <c r="D434" s="25"/>
      <c r="E434" s="25"/>
    </row>
    <row r="435">
      <c r="A435" s="11"/>
      <c r="B435" s="11"/>
      <c r="C435" s="11"/>
      <c r="D435" s="25"/>
      <c r="E435" s="25"/>
    </row>
    <row r="436">
      <c r="A436" s="11"/>
      <c r="B436" s="11"/>
      <c r="C436" s="11"/>
      <c r="D436" s="25"/>
      <c r="E436" s="25"/>
    </row>
    <row r="437">
      <c r="A437" s="11"/>
      <c r="B437" s="11"/>
      <c r="C437" s="11"/>
      <c r="D437" s="25"/>
      <c r="E437" s="25"/>
    </row>
    <row r="438">
      <c r="A438" s="11"/>
      <c r="B438" s="11"/>
      <c r="C438" s="11"/>
      <c r="D438" s="25"/>
      <c r="E438" s="25"/>
    </row>
    <row r="439">
      <c r="A439" s="11"/>
      <c r="B439" s="11"/>
      <c r="C439" s="11"/>
      <c r="D439" s="25"/>
      <c r="E439" s="25"/>
    </row>
    <row r="440">
      <c r="A440" s="11"/>
      <c r="B440" s="11"/>
      <c r="C440" s="11"/>
      <c r="D440" s="25"/>
      <c r="E440" s="25"/>
    </row>
    <row r="441">
      <c r="A441" s="11"/>
      <c r="B441" s="11"/>
      <c r="C441" s="11"/>
      <c r="D441" s="25"/>
      <c r="E441" s="25"/>
    </row>
    <row r="442">
      <c r="A442" s="11"/>
      <c r="B442" s="11"/>
      <c r="C442" s="11"/>
      <c r="D442" s="25"/>
      <c r="E442" s="25"/>
    </row>
    <row r="443">
      <c r="A443" s="11"/>
      <c r="B443" s="11"/>
      <c r="C443" s="11"/>
      <c r="D443" s="25"/>
      <c r="E443" s="25"/>
    </row>
    <row r="444">
      <c r="A444" s="11"/>
      <c r="B444" s="11"/>
      <c r="C444" s="11"/>
      <c r="D444" s="25"/>
      <c r="E444" s="25"/>
    </row>
    <row r="445">
      <c r="A445" s="11"/>
      <c r="B445" s="11"/>
      <c r="C445" s="11"/>
      <c r="D445" s="25"/>
      <c r="E445" s="25"/>
    </row>
    <row r="446">
      <c r="A446" s="11"/>
      <c r="B446" s="11"/>
      <c r="C446" s="11"/>
      <c r="D446" s="25"/>
      <c r="E446" s="25"/>
    </row>
    <row r="447">
      <c r="A447" s="11"/>
      <c r="B447" s="11"/>
      <c r="C447" s="11"/>
      <c r="D447" s="25"/>
      <c r="E447" s="25"/>
    </row>
    <row r="448">
      <c r="A448" s="11"/>
      <c r="B448" s="11"/>
      <c r="C448" s="11"/>
      <c r="D448" s="25"/>
      <c r="E448" s="25"/>
    </row>
    <row r="449">
      <c r="A449" s="11"/>
      <c r="B449" s="11"/>
      <c r="C449" s="11"/>
      <c r="D449" s="25"/>
      <c r="E449" s="25"/>
    </row>
    <row r="450">
      <c r="A450" s="11"/>
      <c r="B450" s="11"/>
      <c r="C450" s="11"/>
      <c r="D450" s="25"/>
      <c r="E450" s="25"/>
    </row>
    <row r="451">
      <c r="A451" s="11"/>
      <c r="B451" s="11"/>
      <c r="C451" s="11"/>
      <c r="D451" s="25"/>
      <c r="E451" s="25"/>
    </row>
    <row r="452">
      <c r="A452" s="11"/>
      <c r="B452" s="11"/>
      <c r="C452" s="11"/>
      <c r="D452" s="25"/>
      <c r="E452" s="25"/>
    </row>
    <row r="453">
      <c r="A453" s="11"/>
      <c r="B453" s="11"/>
      <c r="C453" s="11"/>
      <c r="D453" s="25"/>
      <c r="E453" s="25"/>
    </row>
    <row r="454">
      <c r="A454" s="11"/>
      <c r="B454" s="11"/>
      <c r="C454" s="11"/>
      <c r="D454" s="25"/>
      <c r="E454" s="25"/>
    </row>
    <row r="455">
      <c r="A455" s="11"/>
      <c r="B455" s="11"/>
      <c r="C455" s="11"/>
      <c r="D455" s="25"/>
      <c r="E455" s="25"/>
    </row>
    <row r="456">
      <c r="A456" s="11"/>
      <c r="B456" s="11"/>
      <c r="C456" s="11"/>
      <c r="D456" s="25"/>
      <c r="E456" s="25"/>
    </row>
    <row r="457">
      <c r="A457" s="11"/>
      <c r="B457" s="11"/>
      <c r="C457" s="11"/>
      <c r="D457" s="25"/>
      <c r="E457" s="25"/>
    </row>
    <row r="458">
      <c r="A458" s="11"/>
      <c r="B458" s="11"/>
      <c r="C458" s="11"/>
      <c r="D458" s="25"/>
      <c r="E458" s="25"/>
    </row>
    <row r="459">
      <c r="A459" s="11"/>
      <c r="B459" s="11"/>
      <c r="C459" s="11"/>
      <c r="D459" s="25"/>
      <c r="E459" s="25"/>
    </row>
    <row r="460">
      <c r="A460" s="11"/>
      <c r="B460" s="11"/>
      <c r="C460" s="11"/>
      <c r="D460" s="25"/>
      <c r="E460" s="25"/>
    </row>
    <row r="461">
      <c r="A461" s="11"/>
      <c r="B461" s="11"/>
      <c r="C461" s="11"/>
      <c r="D461" s="25"/>
      <c r="E461" s="25"/>
    </row>
    <row r="462">
      <c r="A462" s="11"/>
      <c r="B462" s="11"/>
      <c r="C462" s="11"/>
      <c r="D462" s="25"/>
      <c r="E462" s="25"/>
    </row>
    <row r="463">
      <c r="A463" s="11"/>
      <c r="B463" s="11"/>
      <c r="C463" s="11"/>
      <c r="D463" s="25"/>
      <c r="E463" s="25"/>
    </row>
    <row r="464">
      <c r="A464" s="11"/>
      <c r="B464" s="11"/>
      <c r="C464" s="11"/>
      <c r="D464" s="25"/>
      <c r="E464" s="25"/>
    </row>
    <row r="465">
      <c r="A465" s="11"/>
      <c r="B465" s="11"/>
      <c r="C465" s="11"/>
      <c r="D465" s="25"/>
      <c r="E465" s="25"/>
    </row>
    <row r="466">
      <c r="A466" s="11"/>
      <c r="B466" s="11"/>
      <c r="C466" s="11"/>
      <c r="D466" s="25"/>
      <c r="E466" s="25"/>
    </row>
    <row r="467">
      <c r="A467" s="11"/>
      <c r="B467" s="11"/>
      <c r="C467" s="11"/>
      <c r="D467" s="25"/>
      <c r="E467" s="25"/>
    </row>
    <row r="468">
      <c r="A468" s="11"/>
      <c r="B468" s="11"/>
      <c r="C468" s="11"/>
      <c r="D468" s="25"/>
      <c r="E468" s="25"/>
    </row>
    <row r="469">
      <c r="A469" s="11"/>
      <c r="B469" s="11"/>
      <c r="C469" s="11"/>
      <c r="D469" s="25"/>
      <c r="E469" s="25"/>
    </row>
    <row r="470">
      <c r="A470" s="11"/>
      <c r="B470" s="11"/>
      <c r="C470" s="11"/>
      <c r="D470" s="25"/>
      <c r="E470" s="25"/>
    </row>
    <row r="471">
      <c r="A471" s="11"/>
      <c r="B471" s="11"/>
      <c r="C471" s="11"/>
      <c r="D471" s="25"/>
      <c r="E471" s="25"/>
    </row>
    <row r="472">
      <c r="A472" s="11"/>
      <c r="B472" s="11"/>
      <c r="C472" s="11"/>
      <c r="D472" s="25"/>
      <c r="E472" s="25"/>
    </row>
    <row r="473">
      <c r="A473" s="11"/>
      <c r="B473" s="11"/>
      <c r="C473" s="11"/>
      <c r="D473" s="25"/>
      <c r="E473" s="25"/>
    </row>
    <row r="474">
      <c r="A474" s="11"/>
      <c r="B474" s="11"/>
      <c r="C474" s="11"/>
      <c r="D474" s="25"/>
      <c r="E474" s="25"/>
    </row>
    <row r="475">
      <c r="A475" s="11"/>
      <c r="B475" s="11"/>
      <c r="C475" s="11"/>
      <c r="D475" s="25"/>
      <c r="E475" s="25"/>
    </row>
    <row r="476">
      <c r="A476" s="11"/>
      <c r="B476" s="11"/>
      <c r="C476" s="11"/>
      <c r="D476" s="25"/>
      <c r="E476" s="25"/>
    </row>
    <row r="477">
      <c r="A477" s="11"/>
      <c r="B477" s="11"/>
      <c r="C477" s="11"/>
      <c r="D477" s="25"/>
      <c r="E477" s="25"/>
    </row>
    <row r="478">
      <c r="A478" s="11"/>
      <c r="B478" s="11"/>
      <c r="C478" s="11"/>
      <c r="D478" s="25"/>
      <c r="E478" s="25"/>
    </row>
    <row r="479">
      <c r="A479" s="11"/>
      <c r="B479" s="11"/>
      <c r="C479" s="11"/>
      <c r="D479" s="25"/>
      <c r="E479" s="25"/>
    </row>
    <row r="480">
      <c r="A480" s="11"/>
      <c r="B480" s="11"/>
      <c r="C480" s="11"/>
      <c r="D480" s="25"/>
      <c r="E480" s="25"/>
    </row>
    <row r="481">
      <c r="A481" s="11"/>
      <c r="B481" s="11"/>
      <c r="C481" s="11"/>
      <c r="D481" s="25"/>
      <c r="E481" s="25"/>
    </row>
    <row r="482">
      <c r="A482" s="11"/>
      <c r="B482" s="11"/>
      <c r="C482" s="11"/>
      <c r="D482" s="25"/>
      <c r="E482" s="25"/>
    </row>
    <row r="483">
      <c r="A483" s="11"/>
      <c r="B483" s="11"/>
      <c r="C483" s="11"/>
      <c r="D483" s="25"/>
      <c r="E483" s="25"/>
    </row>
    <row r="484">
      <c r="A484" s="11"/>
      <c r="B484" s="11"/>
      <c r="C484" s="11"/>
      <c r="D484" s="25"/>
      <c r="E484" s="25"/>
    </row>
    <row r="485">
      <c r="A485" s="11"/>
      <c r="B485" s="11"/>
      <c r="C485" s="11"/>
      <c r="D485" s="25"/>
      <c r="E485" s="25"/>
    </row>
    <row r="486">
      <c r="A486" s="11"/>
      <c r="B486" s="11"/>
      <c r="C486" s="11"/>
      <c r="D486" s="25"/>
      <c r="E486" s="25"/>
    </row>
    <row r="487">
      <c r="A487" s="11"/>
      <c r="B487" s="11"/>
      <c r="C487" s="11"/>
      <c r="D487" s="25"/>
      <c r="E487" s="25"/>
    </row>
    <row r="488">
      <c r="A488" s="11"/>
      <c r="B488" s="11"/>
      <c r="C488" s="11"/>
      <c r="D488" s="25"/>
      <c r="E488" s="25"/>
    </row>
    <row r="489">
      <c r="A489" s="11"/>
      <c r="B489" s="11"/>
      <c r="C489" s="11"/>
      <c r="D489" s="25"/>
      <c r="E489" s="25"/>
    </row>
    <row r="490">
      <c r="A490" s="11"/>
      <c r="B490" s="11"/>
      <c r="C490" s="11"/>
      <c r="D490" s="25"/>
      <c r="E490" s="25"/>
    </row>
    <row r="491">
      <c r="A491" s="11"/>
      <c r="B491" s="11"/>
      <c r="C491" s="11"/>
      <c r="D491" s="25"/>
      <c r="E491" s="25"/>
    </row>
    <row r="492">
      <c r="A492" s="11"/>
      <c r="B492" s="11"/>
      <c r="C492" s="11"/>
      <c r="D492" s="25"/>
      <c r="E492" s="25"/>
    </row>
    <row r="493">
      <c r="A493" s="11"/>
      <c r="B493" s="11"/>
      <c r="C493" s="11"/>
      <c r="D493" s="25"/>
      <c r="E493" s="25"/>
    </row>
    <row r="494">
      <c r="A494" s="11"/>
      <c r="B494" s="11"/>
      <c r="C494" s="11"/>
      <c r="D494" s="25"/>
      <c r="E494" s="25"/>
    </row>
    <row r="495">
      <c r="A495" s="11"/>
      <c r="B495" s="11"/>
      <c r="C495" s="11"/>
      <c r="D495" s="25"/>
      <c r="E495" s="25"/>
    </row>
    <row r="496">
      <c r="A496" s="11"/>
      <c r="B496" s="11"/>
      <c r="C496" s="11"/>
      <c r="D496" s="25"/>
      <c r="E496" s="25"/>
    </row>
    <row r="497">
      <c r="A497" s="11"/>
      <c r="B497" s="11"/>
      <c r="C497" s="11"/>
      <c r="D497" s="25"/>
      <c r="E497" s="25"/>
    </row>
    <row r="498">
      <c r="A498" s="11"/>
      <c r="B498" s="11"/>
      <c r="C498" s="11"/>
      <c r="D498" s="25"/>
      <c r="E498" s="25"/>
    </row>
    <row r="499">
      <c r="A499" s="11"/>
      <c r="B499" s="11"/>
      <c r="C499" s="11"/>
      <c r="D499" s="25"/>
      <c r="E499" s="25"/>
    </row>
    <row r="500">
      <c r="A500" s="11"/>
      <c r="B500" s="11"/>
      <c r="C500" s="11"/>
      <c r="D500" s="25"/>
      <c r="E500" s="25"/>
    </row>
    <row r="501">
      <c r="A501" s="11"/>
      <c r="B501" s="11"/>
      <c r="C501" s="11"/>
      <c r="D501" s="25"/>
      <c r="E501" s="25"/>
    </row>
    <row r="502">
      <c r="A502" s="11"/>
      <c r="B502" s="11"/>
      <c r="C502" s="11"/>
      <c r="D502" s="25"/>
      <c r="E502" s="25"/>
    </row>
    <row r="503">
      <c r="A503" s="11"/>
      <c r="B503" s="11"/>
      <c r="C503" s="11"/>
      <c r="D503" s="25"/>
      <c r="E503" s="25"/>
    </row>
    <row r="504">
      <c r="A504" s="11"/>
      <c r="B504" s="11"/>
      <c r="C504" s="11"/>
      <c r="D504" s="25"/>
      <c r="E504" s="25"/>
    </row>
    <row r="505">
      <c r="A505" s="11"/>
      <c r="B505" s="11"/>
      <c r="C505" s="11"/>
      <c r="D505" s="25"/>
      <c r="E505" s="25"/>
    </row>
    <row r="506">
      <c r="A506" s="11"/>
      <c r="B506" s="11"/>
      <c r="C506" s="11"/>
      <c r="D506" s="25"/>
      <c r="E506" s="25"/>
    </row>
    <row r="507">
      <c r="A507" s="11"/>
      <c r="B507" s="11"/>
      <c r="C507" s="11"/>
      <c r="D507" s="25"/>
      <c r="E507" s="25"/>
    </row>
    <row r="508">
      <c r="A508" s="11"/>
      <c r="B508" s="11"/>
      <c r="C508" s="11"/>
      <c r="D508" s="25"/>
      <c r="E508" s="25"/>
    </row>
    <row r="509">
      <c r="A509" s="11"/>
      <c r="B509" s="11"/>
      <c r="C509" s="11"/>
      <c r="D509" s="25"/>
      <c r="E509" s="25"/>
    </row>
    <row r="510">
      <c r="A510" s="11"/>
      <c r="B510" s="11"/>
      <c r="C510" s="11"/>
      <c r="D510" s="25"/>
      <c r="E510" s="25"/>
    </row>
    <row r="511">
      <c r="A511" s="11"/>
      <c r="B511" s="11"/>
      <c r="C511" s="11"/>
      <c r="D511" s="25"/>
      <c r="E511" s="25"/>
    </row>
    <row r="512">
      <c r="A512" s="11"/>
      <c r="B512" s="11"/>
      <c r="C512" s="11"/>
      <c r="D512" s="25"/>
      <c r="E512" s="25"/>
    </row>
    <row r="513">
      <c r="A513" s="11"/>
      <c r="B513" s="11"/>
      <c r="C513" s="11"/>
      <c r="D513" s="25"/>
      <c r="E513" s="25"/>
    </row>
    <row r="514">
      <c r="A514" s="11"/>
      <c r="B514" s="11"/>
      <c r="C514" s="11"/>
      <c r="D514" s="25"/>
      <c r="E514" s="25"/>
    </row>
    <row r="515">
      <c r="A515" s="11"/>
      <c r="B515" s="11"/>
      <c r="C515" s="11"/>
      <c r="D515" s="25"/>
      <c r="E515" s="25"/>
    </row>
    <row r="516">
      <c r="A516" s="11"/>
      <c r="B516" s="11"/>
      <c r="C516" s="11"/>
      <c r="D516" s="25"/>
      <c r="E516" s="25"/>
    </row>
    <row r="517">
      <c r="A517" s="11"/>
      <c r="B517" s="11"/>
      <c r="C517" s="11"/>
      <c r="D517" s="25"/>
      <c r="E517" s="25"/>
    </row>
    <row r="518">
      <c r="A518" s="11"/>
      <c r="B518" s="11"/>
      <c r="C518" s="11"/>
      <c r="D518" s="25"/>
      <c r="E518" s="25"/>
    </row>
    <row r="519">
      <c r="A519" s="11"/>
      <c r="B519" s="11"/>
      <c r="C519" s="11"/>
      <c r="D519" s="25"/>
      <c r="E519" s="25"/>
    </row>
    <row r="520">
      <c r="A520" s="11"/>
      <c r="B520" s="11"/>
      <c r="C520" s="11"/>
      <c r="D520" s="25"/>
      <c r="E520" s="25"/>
    </row>
    <row r="521">
      <c r="A521" s="11"/>
      <c r="B521" s="11"/>
      <c r="C521" s="11"/>
      <c r="D521" s="25"/>
      <c r="E521" s="25"/>
    </row>
    <row r="522">
      <c r="A522" s="11"/>
      <c r="B522" s="11"/>
      <c r="C522" s="11"/>
      <c r="D522" s="25"/>
      <c r="E522" s="25"/>
    </row>
    <row r="523">
      <c r="A523" s="11"/>
      <c r="B523" s="11"/>
      <c r="C523" s="11"/>
      <c r="D523" s="25"/>
      <c r="E523" s="25"/>
    </row>
    <row r="524">
      <c r="A524" s="11"/>
      <c r="B524" s="11"/>
      <c r="C524" s="11"/>
      <c r="D524" s="25"/>
      <c r="E524" s="25"/>
    </row>
    <row r="525">
      <c r="A525" s="11"/>
      <c r="B525" s="11"/>
      <c r="C525" s="11"/>
      <c r="D525" s="25"/>
      <c r="E525" s="25"/>
    </row>
    <row r="526">
      <c r="A526" s="11"/>
      <c r="B526" s="11"/>
      <c r="C526" s="11"/>
      <c r="D526" s="25"/>
      <c r="E526" s="25"/>
    </row>
    <row r="527">
      <c r="A527" s="11"/>
      <c r="B527" s="11"/>
      <c r="C527" s="11"/>
      <c r="D527" s="25"/>
      <c r="E527" s="25"/>
    </row>
    <row r="528">
      <c r="A528" s="11"/>
      <c r="B528" s="11"/>
      <c r="C528" s="11"/>
      <c r="D528" s="25"/>
      <c r="E528" s="25"/>
    </row>
    <row r="529">
      <c r="A529" s="11"/>
      <c r="B529" s="11"/>
      <c r="C529" s="11"/>
      <c r="D529" s="25"/>
      <c r="E529" s="25"/>
    </row>
    <row r="530">
      <c r="A530" s="11"/>
      <c r="B530" s="11"/>
      <c r="C530" s="11"/>
      <c r="D530" s="25"/>
      <c r="E530" s="25"/>
    </row>
    <row r="531">
      <c r="A531" s="11"/>
      <c r="B531" s="11"/>
      <c r="C531" s="11"/>
      <c r="D531" s="25"/>
      <c r="E531" s="25"/>
    </row>
    <row r="532">
      <c r="A532" s="11"/>
      <c r="B532" s="11"/>
      <c r="C532" s="11"/>
      <c r="D532" s="25"/>
      <c r="E532" s="25"/>
    </row>
    <row r="533">
      <c r="A533" s="11"/>
      <c r="B533" s="11"/>
      <c r="C533" s="11"/>
      <c r="D533" s="25"/>
      <c r="E533" s="25"/>
    </row>
    <row r="534">
      <c r="A534" s="11"/>
      <c r="B534" s="11"/>
      <c r="C534" s="11"/>
      <c r="D534" s="25"/>
      <c r="E534" s="25"/>
    </row>
    <row r="535">
      <c r="A535" s="11"/>
      <c r="B535" s="11"/>
      <c r="C535" s="11"/>
      <c r="D535" s="25"/>
      <c r="E535" s="25"/>
    </row>
    <row r="536">
      <c r="A536" s="11"/>
      <c r="B536" s="11"/>
      <c r="C536" s="11"/>
      <c r="D536" s="25"/>
      <c r="E536" s="25"/>
    </row>
    <row r="537">
      <c r="A537" s="11"/>
      <c r="B537" s="11"/>
      <c r="C537" s="11"/>
      <c r="D537" s="25"/>
      <c r="E537" s="25"/>
    </row>
    <row r="538">
      <c r="A538" s="11"/>
      <c r="B538" s="11"/>
      <c r="C538" s="11"/>
      <c r="D538" s="25"/>
      <c r="E538" s="25"/>
    </row>
    <row r="539">
      <c r="A539" s="11"/>
      <c r="B539" s="11"/>
      <c r="C539" s="11"/>
      <c r="D539" s="25"/>
      <c r="E539" s="25"/>
    </row>
    <row r="540">
      <c r="A540" s="11"/>
      <c r="B540" s="11"/>
      <c r="C540" s="11"/>
      <c r="D540" s="25"/>
      <c r="E540" s="25"/>
    </row>
    <row r="541">
      <c r="A541" s="11"/>
      <c r="B541" s="11"/>
      <c r="C541" s="11"/>
      <c r="D541" s="25"/>
      <c r="E541" s="25"/>
    </row>
    <row r="542">
      <c r="A542" s="11"/>
      <c r="B542" s="11"/>
      <c r="C542" s="11"/>
      <c r="D542" s="25"/>
      <c r="E542" s="25"/>
    </row>
    <row r="543">
      <c r="A543" s="11"/>
      <c r="B543" s="11"/>
      <c r="C543" s="11"/>
      <c r="D543" s="25"/>
      <c r="E543" s="25"/>
    </row>
    <row r="544">
      <c r="A544" s="11"/>
      <c r="B544" s="11"/>
      <c r="C544" s="11"/>
      <c r="D544" s="25"/>
      <c r="E544" s="25"/>
    </row>
    <row r="545">
      <c r="A545" s="11"/>
      <c r="B545" s="11"/>
      <c r="C545" s="11"/>
      <c r="D545" s="25"/>
      <c r="E545" s="25"/>
    </row>
    <row r="546">
      <c r="A546" s="11"/>
      <c r="B546" s="11"/>
      <c r="C546" s="11"/>
      <c r="D546" s="25"/>
      <c r="E546" s="25"/>
    </row>
    <row r="547">
      <c r="A547" s="11"/>
      <c r="B547" s="11"/>
      <c r="C547" s="11"/>
      <c r="D547" s="25"/>
      <c r="E547" s="25"/>
    </row>
    <row r="548">
      <c r="A548" s="11"/>
      <c r="B548" s="11"/>
      <c r="C548" s="11"/>
      <c r="D548" s="25"/>
      <c r="E548" s="25"/>
    </row>
    <row r="549">
      <c r="A549" s="11"/>
      <c r="B549" s="11"/>
      <c r="C549" s="11"/>
      <c r="D549" s="25"/>
      <c r="E549" s="25"/>
    </row>
    <row r="550">
      <c r="A550" s="11"/>
      <c r="B550" s="11"/>
      <c r="C550" s="11"/>
      <c r="D550" s="25"/>
      <c r="E550" s="25"/>
    </row>
    <row r="551">
      <c r="A551" s="11"/>
      <c r="B551" s="11"/>
      <c r="C551" s="11"/>
      <c r="D551" s="25"/>
      <c r="E551" s="25"/>
    </row>
    <row r="552">
      <c r="A552" s="11"/>
      <c r="B552" s="11"/>
      <c r="C552" s="11"/>
      <c r="D552" s="25"/>
      <c r="E552" s="25"/>
    </row>
    <row r="553">
      <c r="A553" s="11"/>
      <c r="B553" s="11"/>
      <c r="C553" s="11"/>
      <c r="D553" s="25"/>
      <c r="E553" s="25"/>
    </row>
    <row r="554">
      <c r="A554" s="11"/>
      <c r="B554" s="11"/>
      <c r="C554" s="11"/>
      <c r="D554" s="25"/>
      <c r="E554" s="25"/>
    </row>
    <row r="555">
      <c r="A555" s="11"/>
      <c r="B555" s="11"/>
      <c r="C555" s="11"/>
      <c r="D555" s="25"/>
      <c r="E555" s="25"/>
    </row>
    <row r="556">
      <c r="A556" s="11"/>
      <c r="B556" s="11"/>
      <c r="C556" s="11"/>
      <c r="D556" s="25"/>
      <c r="E556" s="25"/>
    </row>
    <row r="557">
      <c r="A557" s="11"/>
      <c r="B557" s="11"/>
      <c r="C557" s="11"/>
      <c r="D557" s="25"/>
      <c r="E557" s="25"/>
    </row>
    <row r="558">
      <c r="A558" s="11"/>
      <c r="B558" s="11"/>
      <c r="C558" s="11"/>
      <c r="D558" s="25"/>
      <c r="E558" s="25"/>
    </row>
    <row r="559">
      <c r="A559" s="11"/>
      <c r="B559" s="11"/>
      <c r="C559" s="11"/>
      <c r="D559" s="25"/>
      <c r="E559" s="25"/>
    </row>
    <row r="560">
      <c r="A560" s="11"/>
      <c r="B560" s="11"/>
      <c r="C560" s="11"/>
      <c r="D560" s="25"/>
      <c r="E560" s="25"/>
    </row>
    <row r="561">
      <c r="A561" s="11"/>
      <c r="B561" s="11"/>
      <c r="C561" s="11"/>
      <c r="D561" s="25"/>
      <c r="E561" s="25"/>
    </row>
    <row r="562">
      <c r="A562" s="11"/>
      <c r="B562" s="11"/>
      <c r="C562" s="11"/>
      <c r="D562" s="25"/>
      <c r="E562" s="25"/>
    </row>
    <row r="563">
      <c r="A563" s="11"/>
      <c r="B563" s="11"/>
      <c r="C563" s="11"/>
      <c r="D563" s="25"/>
      <c r="E563" s="25"/>
    </row>
    <row r="564">
      <c r="A564" s="11"/>
      <c r="B564" s="11"/>
      <c r="C564" s="11"/>
      <c r="D564" s="25"/>
      <c r="E564" s="25"/>
    </row>
    <row r="565">
      <c r="A565" s="11"/>
      <c r="B565" s="11"/>
      <c r="C565" s="11"/>
      <c r="D565" s="25"/>
      <c r="E565" s="25"/>
    </row>
    <row r="566">
      <c r="A566" s="11"/>
      <c r="B566" s="11"/>
      <c r="C566" s="11"/>
      <c r="D566" s="25"/>
      <c r="E566" s="25"/>
    </row>
    <row r="567">
      <c r="A567" s="11"/>
      <c r="B567" s="11"/>
      <c r="C567" s="11"/>
      <c r="D567" s="25"/>
      <c r="E567" s="25"/>
    </row>
    <row r="568">
      <c r="A568" s="11"/>
      <c r="B568" s="11"/>
      <c r="C568" s="11"/>
      <c r="D568" s="25"/>
      <c r="E568" s="25"/>
    </row>
    <row r="569">
      <c r="A569" s="11"/>
      <c r="B569" s="11"/>
      <c r="C569" s="11"/>
      <c r="D569" s="25"/>
      <c r="E569" s="25"/>
    </row>
    <row r="570">
      <c r="A570" s="11"/>
      <c r="B570" s="11"/>
      <c r="C570" s="11"/>
      <c r="D570" s="25"/>
      <c r="E570" s="25"/>
    </row>
    <row r="571">
      <c r="A571" s="11"/>
      <c r="B571" s="11"/>
      <c r="C571" s="11"/>
      <c r="D571" s="25"/>
      <c r="E571" s="25"/>
    </row>
    <row r="572">
      <c r="A572" s="11"/>
      <c r="B572" s="11"/>
      <c r="C572" s="11"/>
      <c r="D572" s="25"/>
      <c r="E572" s="25"/>
    </row>
    <row r="573">
      <c r="A573" s="11"/>
      <c r="B573" s="11"/>
      <c r="C573" s="11"/>
      <c r="D573" s="25"/>
      <c r="E573" s="25"/>
    </row>
    <row r="574">
      <c r="A574" s="11"/>
      <c r="B574" s="11"/>
      <c r="C574" s="11"/>
      <c r="D574" s="25"/>
      <c r="E574" s="25"/>
    </row>
    <row r="575">
      <c r="A575" s="11"/>
      <c r="B575" s="11"/>
      <c r="C575" s="11"/>
      <c r="D575" s="25"/>
      <c r="E575" s="25"/>
    </row>
    <row r="576">
      <c r="A576" s="11"/>
      <c r="B576" s="11"/>
      <c r="C576" s="11"/>
      <c r="D576" s="25"/>
      <c r="E576" s="25"/>
    </row>
    <row r="577">
      <c r="A577" s="11"/>
      <c r="B577" s="11"/>
      <c r="C577" s="11"/>
      <c r="D577" s="25"/>
      <c r="E577" s="25"/>
    </row>
    <row r="578">
      <c r="A578" s="11"/>
      <c r="B578" s="11"/>
      <c r="C578" s="11"/>
      <c r="D578" s="25"/>
      <c r="E578" s="25"/>
    </row>
    <row r="579">
      <c r="A579" s="11"/>
      <c r="B579" s="11"/>
      <c r="C579" s="11"/>
      <c r="D579" s="25"/>
      <c r="E579" s="25"/>
    </row>
    <row r="580">
      <c r="A580" s="11"/>
      <c r="B580" s="11"/>
      <c r="C580" s="11"/>
      <c r="D580" s="25"/>
      <c r="E580" s="25"/>
    </row>
    <row r="581">
      <c r="A581" s="11"/>
      <c r="B581" s="11"/>
      <c r="C581" s="11"/>
      <c r="D581" s="25"/>
      <c r="E581" s="25"/>
    </row>
    <row r="582">
      <c r="A582" s="11"/>
      <c r="B582" s="11"/>
      <c r="C582" s="11"/>
      <c r="D582" s="25"/>
      <c r="E582" s="25"/>
    </row>
    <row r="583">
      <c r="A583" s="11"/>
      <c r="B583" s="11"/>
      <c r="C583" s="11"/>
      <c r="D583" s="25"/>
      <c r="E583" s="25"/>
    </row>
    <row r="584">
      <c r="A584" s="11"/>
      <c r="B584" s="11"/>
      <c r="C584" s="11"/>
      <c r="D584" s="25"/>
      <c r="E584" s="25"/>
    </row>
    <row r="585">
      <c r="A585" s="11"/>
      <c r="B585" s="11"/>
      <c r="C585" s="11"/>
      <c r="D585" s="25"/>
      <c r="E585" s="25"/>
    </row>
    <row r="586">
      <c r="A586" s="11"/>
      <c r="B586" s="11"/>
      <c r="C586" s="11"/>
      <c r="D586" s="25"/>
      <c r="E586" s="25"/>
    </row>
    <row r="587">
      <c r="A587" s="11"/>
      <c r="B587" s="11"/>
      <c r="C587" s="11"/>
      <c r="D587" s="25"/>
      <c r="E587" s="25"/>
    </row>
    <row r="588">
      <c r="A588" s="11"/>
      <c r="B588" s="11"/>
      <c r="C588" s="11"/>
      <c r="D588" s="25"/>
      <c r="E588" s="25"/>
    </row>
    <row r="589">
      <c r="A589" s="11"/>
      <c r="B589" s="11"/>
      <c r="C589" s="11"/>
      <c r="D589" s="25"/>
      <c r="E589" s="25"/>
    </row>
    <row r="590">
      <c r="A590" s="11"/>
      <c r="B590" s="11"/>
      <c r="C590" s="11"/>
      <c r="D590" s="25"/>
      <c r="E590" s="25"/>
    </row>
    <row r="591">
      <c r="A591" s="11"/>
      <c r="B591" s="11"/>
      <c r="C591" s="11"/>
      <c r="D591" s="25"/>
      <c r="E591" s="25"/>
    </row>
    <row r="592">
      <c r="A592" s="11"/>
      <c r="B592" s="11"/>
      <c r="C592" s="11"/>
      <c r="D592" s="25"/>
      <c r="E592" s="25"/>
    </row>
    <row r="593">
      <c r="A593" s="11"/>
      <c r="B593" s="11"/>
      <c r="C593" s="11"/>
      <c r="D593" s="25"/>
      <c r="E593" s="25"/>
    </row>
    <row r="594">
      <c r="A594" s="11"/>
      <c r="B594" s="11"/>
      <c r="C594" s="11"/>
      <c r="D594" s="25"/>
      <c r="E594" s="25"/>
    </row>
    <row r="595">
      <c r="A595" s="11"/>
      <c r="B595" s="11"/>
      <c r="C595" s="11"/>
      <c r="D595" s="25"/>
      <c r="E595" s="25"/>
    </row>
    <row r="596">
      <c r="A596" s="11"/>
      <c r="B596" s="11"/>
      <c r="C596" s="11"/>
      <c r="D596" s="25"/>
      <c r="E596" s="25"/>
    </row>
    <row r="597">
      <c r="A597" s="11"/>
      <c r="B597" s="11"/>
      <c r="C597" s="11"/>
      <c r="D597" s="25"/>
      <c r="E597" s="25"/>
    </row>
    <row r="598">
      <c r="A598" s="11"/>
      <c r="B598" s="11"/>
      <c r="C598" s="11"/>
      <c r="D598" s="25"/>
      <c r="E598" s="25"/>
    </row>
    <row r="599">
      <c r="A599" s="11"/>
      <c r="B599" s="11"/>
      <c r="C599" s="11"/>
      <c r="D599" s="25"/>
      <c r="E599" s="25"/>
    </row>
    <row r="600">
      <c r="A600" s="11"/>
      <c r="B600" s="11"/>
      <c r="C600" s="11"/>
      <c r="D600" s="25"/>
      <c r="E600" s="25"/>
    </row>
    <row r="601">
      <c r="A601" s="11"/>
      <c r="B601" s="11"/>
      <c r="C601" s="11"/>
      <c r="D601" s="25"/>
      <c r="E601" s="25"/>
    </row>
    <row r="602">
      <c r="A602" s="11"/>
      <c r="B602" s="11"/>
      <c r="C602" s="11"/>
      <c r="D602" s="25"/>
      <c r="E602" s="25"/>
    </row>
    <row r="603">
      <c r="A603" s="11"/>
      <c r="B603" s="11"/>
      <c r="C603" s="11"/>
      <c r="D603" s="25"/>
      <c r="E603" s="25"/>
    </row>
    <row r="604">
      <c r="A604" s="11"/>
      <c r="B604" s="11"/>
      <c r="C604" s="11"/>
      <c r="D604" s="25"/>
      <c r="E604" s="25"/>
    </row>
    <row r="605">
      <c r="A605" s="11"/>
      <c r="B605" s="11"/>
      <c r="C605" s="11"/>
      <c r="D605" s="25"/>
      <c r="E605" s="25"/>
    </row>
    <row r="606">
      <c r="A606" s="11"/>
      <c r="B606" s="11"/>
      <c r="C606" s="11"/>
      <c r="D606" s="25"/>
      <c r="E606" s="25"/>
    </row>
    <row r="607">
      <c r="A607" s="11"/>
      <c r="B607" s="11"/>
      <c r="C607" s="11"/>
      <c r="D607" s="25"/>
      <c r="E607" s="25"/>
    </row>
    <row r="608">
      <c r="A608" s="11"/>
      <c r="B608" s="11"/>
      <c r="C608" s="11"/>
      <c r="D608" s="25"/>
      <c r="E608" s="25"/>
    </row>
    <row r="609">
      <c r="A609" s="11"/>
      <c r="B609" s="11"/>
      <c r="C609" s="11"/>
      <c r="D609" s="25"/>
      <c r="E609" s="25"/>
    </row>
    <row r="610">
      <c r="A610" s="11"/>
      <c r="B610" s="11"/>
      <c r="C610" s="11"/>
      <c r="D610" s="25"/>
      <c r="E610" s="25"/>
    </row>
    <row r="611">
      <c r="A611" s="11"/>
      <c r="B611" s="11"/>
      <c r="C611" s="11"/>
      <c r="D611" s="25"/>
      <c r="E611" s="25"/>
    </row>
    <row r="612">
      <c r="A612" s="11"/>
      <c r="B612" s="11"/>
      <c r="C612" s="11"/>
      <c r="D612" s="25"/>
      <c r="E612" s="25"/>
    </row>
    <row r="613">
      <c r="A613" s="11"/>
      <c r="B613" s="11"/>
      <c r="C613" s="11"/>
      <c r="D613" s="25"/>
      <c r="E613" s="25"/>
    </row>
    <row r="614">
      <c r="A614" s="11"/>
      <c r="B614" s="11"/>
      <c r="C614" s="11"/>
      <c r="D614" s="25"/>
      <c r="E614" s="25"/>
    </row>
    <row r="615">
      <c r="A615" s="11"/>
      <c r="B615" s="11"/>
      <c r="C615" s="11"/>
      <c r="D615" s="25"/>
      <c r="E615" s="25"/>
    </row>
    <row r="616">
      <c r="A616" s="11"/>
      <c r="B616" s="11"/>
      <c r="C616" s="11"/>
      <c r="D616" s="25"/>
      <c r="E616" s="25"/>
    </row>
    <row r="617">
      <c r="A617" s="11"/>
      <c r="B617" s="11"/>
      <c r="C617" s="11"/>
      <c r="D617" s="25"/>
      <c r="E617" s="25"/>
    </row>
    <row r="618">
      <c r="A618" s="11"/>
      <c r="B618" s="11"/>
      <c r="C618" s="11"/>
      <c r="D618" s="25"/>
      <c r="E618" s="25"/>
    </row>
    <row r="619">
      <c r="A619" s="11"/>
      <c r="B619" s="11"/>
      <c r="C619" s="11"/>
      <c r="D619" s="25"/>
      <c r="E619" s="25"/>
    </row>
    <row r="620">
      <c r="A620" s="11"/>
      <c r="B620" s="11"/>
      <c r="C620" s="11"/>
      <c r="D620" s="25"/>
      <c r="E620" s="25"/>
    </row>
    <row r="621">
      <c r="A621" s="11"/>
      <c r="B621" s="11"/>
      <c r="C621" s="11"/>
      <c r="D621" s="25"/>
      <c r="E621" s="25"/>
    </row>
    <row r="622">
      <c r="A622" s="11"/>
      <c r="B622" s="11"/>
      <c r="C622" s="11"/>
      <c r="D622" s="25"/>
      <c r="E622" s="25"/>
    </row>
    <row r="623">
      <c r="A623" s="11"/>
      <c r="B623" s="11"/>
      <c r="C623" s="11"/>
      <c r="D623" s="25"/>
      <c r="E623" s="25"/>
    </row>
    <row r="624">
      <c r="A624" s="11"/>
      <c r="B624" s="11"/>
      <c r="C624" s="11"/>
      <c r="D624" s="25"/>
      <c r="E624" s="25"/>
    </row>
    <row r="625">
      <c r="A625" s="11"/>
      <c r="B625" s="11"/>
      <c r="C625" s="11"/>
      <c r="D625" s="25"/>
      <c r="E625" s="25"/>
    </row>
    <row r="626">
      <c r="A626" s="11"/>
      <c r="B626" s="11"/>
      <c r="C626" s="11"/>
      <c r="D626" s="25"/>
      <c r="E626" s="25"/>
    </row>
    <row r="627">
      <c r="A627" s="11"/>
      <c r="B627" s="11"/>
      <c r="C627" s="11"/>
      <c r="D627" s="25"/>
      <c r="E627" s="25"/>
    </row>
    <row r="628">
      <c r="A628" s="11"/>
      <c r="B628" s="11"/>
      <c r="C628" s="11"/>
      <c r="D628" s="25"/>
      <c r="E628" s="25"/>
    </row>
    <row r="629">
      <c r="A629" s="11"/>
      <c r="B629" s="11"/>
      <c r="C629" s="11"/>
      <c r="D629" s="25"/>
      <c r="E629" s="25"/>
    </row>
    <row r="630">
      <c r="A630" s="11"/>
      <c r="B630" s="11"/>
      <c r="C630" s="11"/>
      <c r="D630" s="25"/>
      <c r="E630" s="25"/>
    </row>
    <row r="631">
      <c r="A631" s="11"/>
      <c r="B631" s="11"/>
      <c r="C631" s="11"/>
      <c r="D631" s="25"/>
      <c r="E631" s="25"/>
    </row>
    <row r="632">
      <c r="A632" s="11"/>
      <c r="B632" s="11"/>
      <c r="C632" s="11"/>
      <c r="D632" s="25"/>
      <c r="E632" s="25"/>
    </row>
    <row r="633">
      <c r="A633" s="11"/>
      <c r="B633" s="11"/>
      <c r="C633" s="11"/>
      <c r="D633" s="25"/>
      <c r="E633" s="25"/>
    </row>
    <row r="634">
      <c r="A634" s="11"/>
      <c r="B634" s="11"/>
      <c r="C634" s="11"/>
      <c r="D634" s="25"/>
      <c r="E634" s="25"/>
    </row>
    <row r="635">
      <c r="A635" s="11"/>
      <c r="B635" s="11"/>
      <c r="C635" s="11"/>
      <c r="D635" s="25"/>
      <c r="E635" s="25"/>
    </row>
    <row r="636">
      <c r="A636" s="11"/>
      <c r="B636" s="11"/>
      <c r="C636" s="11"/>
      <c r="D636" s="25"/>
      <c r="E636" s="25"/>
    </row>
    <row r="637">
      <c r="A637" s="11"/>
      <c r="B637" s="11"/>
      <c r="C637" s="11"/>
      <c r="D637" s="25"/>
      <c r="E637" s="25"/>
    </row>
    <row r="638">
      <c r="A638" s="11"/>
      <c r="B638" s="11"/>
      <c r="C638" s="11"/>
      <c r="D638" s="25"/>
      <c r="E638" s="25"/>
    </row>
    <row r="639">
      <c r="A639" s="11"/>
      <c r="B639" s="11"/>
      <c r="C639" s="11"/>
      <c r="D639" s="25"/>
      <c r="E639" s="25"/>
    </row>
    <row r="640">
      <c r="A640" s="11"/>
      <c r="B640" s="11"/>
      <c r="C640" s="11"/>
      <c r="D640" s="25"/>
      <c r="E640" s="25"/>
    </row>
    <row r="641">
      <c r="A641" s="11"/>
      <c r="B641" s="11"/>
      <c r="C641" s="11"/>
      <c r="D641" s="25"/>
      <c r="E641" s="25"/>
    </row>
    <row r="642">
      <c r="A642" s="11"/>
      <c r="B642" s="11"/>
      <c r="C642" s="11"/>
      <c r="D642" s="25"/>
      <c r="E642" s="25"/>
    </row>
    <row r="643">
      <c r="A643" s="11"/>
      <c r="B643" s="11"/>
      <c r="C643" s="11"/>
      <c r="D643" s="25"/>
      <c r="E643" s="25"/>
    </row>
    <row r="644">
      <c r="A644" s="11"/>
      <c r="B644" s="11"/>
      <c r="C644" s="11"/>
      <c r="D644" s="25"/>
      <c r="E644" s="25"/>
    </row>
    <row r="645">
      <c r="A645" s="11"/>
      <c r="B645" s="11"/>
      <c r="C645" s="11"/>
      <c r="D645" s="25"/>
      <c r="E645" s="25"/>
    </row>
    <row r="646">
      <c r="A646" s="11"/>
      <c r="B646" s="11"/>
      <c r="C646" s="11"/>
      <c r="D646" s="25"/>
      <c r="E646" s="25"/>
    </row>
    <row r="647">
      <c r="A647" s="11"/>
      <c r="B647" s="11"/>
      <c r="C647" s="11"/>
      <c r="D647" s="25"/>
      <c r="E647" s="25"/>
    </row>
    <row r="648">
      <c r="A648" s="11"/>
      <c r="B648" s="11"/>
      <c r="C648" s="11"/>
      <c r="D648" s="25"/>
      <c r="E648" s="25"/>
    </row>
    <row r="649">
      <c r="A649" s="11"/>
      <c r="B649" s="11"/>
      <c r="C649" s="11"/>
      <c r="D649" s="25"/>
      <c r="E649" s="25"/>
    </row>
    <row r="650">
      <c r="A650" s="11"/>
      <c r="B650" s="11"/>
      <c r="C650" s="11"/>
      <c r="D650" s="25"/>
      <c r="E650" s="25"/>
    </row>
    <row r="651">
      <c r="A651" s="11"/>
      <c r="B651" s="11"/>
      <c r="C651" s="11"/>
      <c r="D651" s="25"/>
      <c r="E651" s="25"/>
    </row>
    <row r="652">
      <c r="A652" s="11"/>
      <c r="B652" s="11"/>
      <c r="C652" s="11"/>
      <c r="D652" s="25"/>
      <c r="E652" s="25"/>
    </row>
    <row r="653">
      <c r="A653" s="11"/>
      <c r="B653" s="11"/>
      <c r="C653" s="11"/>
      <c r="D653" s="25"/>
      <c r="E653" s="25"/>
    </row>
    <row r="654">
      <c r="A654" s="11"/>
      <c r="B654" s="11"/>
      <c r="C654" s="11"/>
      <c r="D654" s="25"/>
      <c r="E654" s="25"/>
    </row>
    <row r="655">
      <c r="A655" s="11"/>
      <c r="B655" s="11"/>
      <c r="C655" s="11"/>
      <c r="D655" s="25"/>
      <c r="E655" s="25"/>
    </row>
    <row r="656">
      <c r="A656" s="11"/>
      <c r="B656" s="11"/>
      <c r="C656" s="11"/>
      <c r="D656" s="25"/>
      <c r="E656" s="25"/>
    </row>
    <row r="657">
      <c r="A657" s="11"/>
      <c r="B657" s="11"/>
      <c r="C657" s="11"/>
      <c r="D657" s="25"/>
      <c r="E657" s="25"/>
    </row>
    <row r="658">
      <c r="A658" s="11"/>
      <c r="B658" s="11"/>
      <c r="C658" s="11"/>
      <c r="D658" s="25"/>
      <c r="E658" s="25"/>
    </row>
    <row r="659">
      <c r="A659" s="11"/>
      <c r="B659" s="11"/>
      <c r="C659" s="11"/>
      <c r="D659" s="25"/>
      <c r="E659" s="25"/>
    </row>
    <row r="660">
      <c r="A660" s="11"/>
      <c r="B660" s="11"/>
      <c r="C660" s="11"/>
      <c r="D660" s="25"/>
      <c r="E660" s="25"/>
    </row>
    <row r="661">
      <c r="A661" s="11"/>
      <c r="B661" s="11"/>
      <c r="C661" s="11"/>
      <c r="D661" s="25"/>
      <c r="E661" s="25"/>
    </row>
    <row r="662">
      <c r="A662" s="11"/>
      <c r="B662" s="11"/>
      <c r="C662" s="11"/>
      <c r="D662" s="25"/>
      <c r="E662" s="25"/>
    </row>
    <row r="663">
      <c r="A663" s="11"/>
      <c r="B663" s="11"/>
      <c r="C663" s="11"/>
      <c r="D663" s="25"/>
      <c r="E663" s="25"/>
    </row>
    <row r="664">
      <c r="A664" s="11"/>
      <c r="B664" s="11"/>
      <c r="C664" s="11"/>
      <c r="D664" s="25"/>
      <c r="E664" s="25"/>
    </row>
    <row r="665">
      <c r="A665" s="11"/>
      <c r="B665" s="11"/>
      <c r="C665" s="11"/>
      <c r="D665" s="25"/>
      <c r="E665" s="25"/>
    </row>
    <row r="666">
      <c r="A666" s="11"/>
      <c r="B666" s="11"/>
      <c r="C666" s="11"/>
      <c r="D666" s="25"/>
      <c r="E666" s="25"/>
    </row>
    <row r="667">
      <c r="A667" s="11"/>
      <c r="B667" s="11"/>
      <c r="C667" s="11"/>
      <c r="D667" s="25"/>
      <c r="E667" s="25"/>
    </row>
    <row r="668">
      <c r="A668" s="11"/>
      <c r="B668" s="11"/>
      <c r="C668" s="11"/>
      <c r="D668" s="25"/>
      <c r="E668" s="25"/>
    </row>
    <row r="669">
      <c r="A669" s="11"/>
      <c r="B669" s="11"/>
      <c r="C669" s="11"/>
      <c r="D669" s="25"/>
      <c r="E669" s="25"/>
    </row>
    <row r="670">
      <c r="A670" s="11"/>
      <c r="B670" s="11"/>
      <c r="C670" s="11"/>
      <c r="D670" s="25"/>
      <c r="E670" s="25"/>
    </row>
    <row r="671">
      <c r="A671" s="11"/>
      <c r="B671" s="11"/>
      <c r="C671" s="11"/>
      <c r="D671" s="25"/>
      <c r="E671" s="25"/>
    </row>
    <row r="672">
      <c r="A672" s="11"/>
      <c r="B672" s="11"/>
      <c r="C672" s="11"/>
      <c r="D672" s="25"/>
      <c r="E672" s="25"/>
    </row>
    <row r="673">
      <c r="A673" s="11"/>
      <c r="B673" s="11"/>
      <c r="C673" s="11"/>
      <c r="D673" s="25"/>
      <c r="E673" s="25"/>
    </row>
    <row r="674">
      <c r="A674" s="11"/>
      <c r="B674" s="11"/>
      <c r="C674" s="11"/>
      <c r="D674" s="25"/>
      <c r="E674" s="25"/>
    </row>
    <row r="675">
      <c r="A675" s="11"/>
      <c r="B675" s="11"/>
      <c r="C675" s="11"/>
      <c r="D675" s="25"/>
      <c r="E675" s="25"/>
    </row>
    <row r="676">
      <c r="A676" s="11"/>
      <c r="B676" s="11"/>
      <c r="C676" s="11"/>
      <c r="D676" s="25"/>
      <c r="E676" s="25"/>
    </row>
    <row r="677">
      <c r="A677" s="11"/>
      <c r="B677" s="11"/>
      <c r="C677" s="11"/>
      <c r="D677" s="25"/>
      <c r="E677" s="25"/>
    </row>
    <row r="678">
      <c r="A678" s="11"/>
      <c r="B678" s="11"/>
      <c r="C678" s="11"/>
      <c r="D678" s="25"/>
      <c r="E678" s="25"/>
    </row>
    <row r="679">
      <c r="A679" s="11"/>
      <c r="B679" s="11"/>
      <c r="C679" s="11"/>
      <c r="D679" s="25"/>
      <c r="E679" s="25"/>
    </row>
    <row r="680">
      <c r="A680" s="11"/>
      <c r="B680" s="11"/>
      <c r="C680" s="11"/>
      <c r="D680" s="25"/>
      <c r="E680" s="25"/>
    </row>
    <row r="681">
      <c r="A681" s="11"/>
      <c r="B681" s="11"/>
      <c r="C681" s="11"/>
      <c r="D681" s="25"/>
      <c r="E681" s="25"/>
    </row>
    <row r="682">
      <c r="A682" s="11"/>
      <c r="B682" s="11"/>
      <c r="C682" s="11"/>
      <c r="D682" s="25"/>
      <c r="E682" s="25"/>
    </row>
    <row r="683">
      <c r="A683" s="11"/>
      <c r="B683" s="11"/>
      <c r="C683" s="11"/>
      <c r="D683" s="25"/>
      <c r="E683" s="25"/>
    </row>
    <row r="684">
      <c r="A684" s="11"/>
      <c r="B684" s="11"/>
      <c r="C684" s="11"/>
      <c r="D684" s="25"/>
      <c r="E684" s="25"/>
    </row>
    <row r="685">
      <c r="A685" s="11"/>
      <c r="B685" s="11"/>
      <c r="C685" s="11"/>
      <c r="D685" s="25"/>
      <c r="E685" s="25"/>
    </row>
    <row r="686">
      <c r="A686" s="11"/>
      <c r="B686" s="11"/>
      <c r="C686" s="11"/>
      <c r="D686" s="25"/>
      <c r="E686" s="25"/>
    </row>
    <row r="687">
      <c r="A687" s="11"/>
      <c r="B687" s="11"/>
      <c r="C687" s="11"/>
      <c r="D687" s="25"/>
      <c r="E687" s="25"/>
    </row>
    <row r="688">
      <c r="A688" s="11"/>
      <c r="B688" s="11"/>
      <c r="C688" s="11"/>
      <c r="D688" s="25"/>
      <c r="E688" s="25"/>
    </row>
    <row r="689">
      <c r="A689" s="11"/>
      <c r="B689" s="11"/>
      <c r="C689" s="11"/>
      <c r="D689" s="25"/>
      <c r="E689" s="25"/>
    </row>
    <row r="690">
      <c r="A690" s="11"/>
      <c r="B690" s="11"/>
      <c r="C690" s="11"/>
      <c r="D690" s="25"/>
      <c r="E690" s="25"/>
    </row>
    <row r="691">
      <c r="A691" s="11"/>
      <c r="B691" s="11"/>
      <c r="C691" s="11"/>
      <c r="D691" s="25"/>
      <c r="E691" s="25"/>
    </row>
    <row r="692">
      <c r="A692" s="11"/>
      <c r="B692" s="11"/>
      <c r="C692" s="11"/>
      <c r="D692" s="25"/>
      <c r="E692" s="25"/>
    </row>
    <row r="693">
      <c r="A693" s="11"/>
      <c r="B693" s="11"/>
      <c r="C693" s="11"/>
      <c r="D693" s="25"/>
      <c r="E693" s="25"/>
    </row>
    <row r="694">
      <c r="A694" s="11"/>
      <c r="B694" s="11"/>
      <c r="C694" s="11"/>
      <c r="D694" s="25"/>
      <c r="E694" s="25"/>
    </row>
    <row r="695">
      <c r="A695" s="11"/>
      <c r="B695" s="11"/>
      <c r="C695" s="11"/>
      <c r="D695" s="25"/>
      <c r="E695" s="25"/>
    </row>
    <row r="696">
      <c r="A696" s="11"/>
      <c r="B696" s="11"/>
      <c r="C696" s="11"/>
      <c r="D696" s="25"/>
      <c r="E696" s="25"/>
    </row>
    <row r="697">
      <c r="A697" s="11"/>
      <c r="B697" s="11"/>
      <c r="C697" s="11"/>
      <c r="D697" s="25"/>
      <c r="E697" s="25"/>
    </row>
    <row r="698">
      <c r="A698" s="11"/>
      <c r="B698" s="11"/>
      <c r="C698" s="11"/>
      <c r="D698" s="25"/>
      <c r="E698" s="25"/>
    </row>
    <row r="699">
      <c r="A699" s="11"/>
      <c r="B699" s="11"/>
      <c r="C699" s="11"/>
      <c r="D699" s="25"/>
      <c r="E699" s="25"/>
    </row>
    <row r="700">
      <c r="A700" s="11"/>
      <c r="B700" s="11"/>
      <c r="C700" s="11"/>
      <c r="D700" s="25"/>
      <c r="E700" s="25"/>
    </row>
    <row r="701">
      <c r="A701" s="11"/>
      <c r="B701" s="11"/>
      <c r="C701" s="11"/>
      <c r="D701" s="25"/>
      <c r="E701" s="25"/>
    </row>
    <row r="702">
      <c r="A702" s="11"/>
      <c r="B702" s="11"/>
      <c r="C702" s="11"/>
      <c r="D702" s="25"/>
      <c r="E702" s="25"/>
    </row>
    <row r="703">
      <c r="A703" s="11"/>
      <c r="B703" s="11"/>
      <c r="C703" s="11"/>
      <c r="D703" s="25"/>
      <c r="E703" s="25"/>
    </row>
    <row r="704">
      <c r="A704" s="11"/>
      <c r="B704" s="11"/>
      <c r="C704" s="11"/>
      <c r="D704" s="25"/>
      <c r="E704" s="25"/>
    </row>
    <row r="705">
      <c r="A705" s="11"/>
      <c r="B705" s="11"/>
      <c r="C705" s="11"/>
      <c r="D705" s="25"/>
      <c r="E705" s="25"/>
    </row>
    <row r="706">
      <c r="A706" s="11"/>
      <c r="B706" s="11"/>
      <c r="C706" s="11"/>
      <c r="D706" s="25"/>
      <c r="E706" s="25"/>
    </row>
    <row r="707">
      <c r="A707" s="11"/>
      <c r="B707" s="11"/>
      <c r="C707" s="11"/>
      <c r="D707" s="25"/>
      <c r="E707" s="25"/>
    </row>
    <row r="708">
      <c r="A708" s="11"/>
      <c r="B708" s="11"/>
      <c r="C708" s="11"/>
      <c r="D708" s="25"/>
      <c r="E708" s="25"/>
    </row>
    <row r="709">
      <c r="A709" s="11"/>
      <c r="B709" s="11"/>
      <c r="C709" s="11"/>
      <c r="D709" s="25"/>
      <c r="E709" s="25"/>
    </row>
    <row r="710">
      <c r="A710" s="11"/>
      <c r="B710" s="11"/>
      <c r="C710" s="11"/>
      <c r="D710" s="25"/>
      <c r="E710" s="25"/>
    </row>
    <row r="711">
      <c r="A711" s="11"/>
      <c r="B711" s="11"/>
      <c r="C711" s="11"/>
      <c r="D711" s="25"/>
      <c r="E711" s="25"/>
    </row>
    <row r="712">
      <c r="A712" s="11"/>
      <c r="B712" s="11"/>
      <c r="C712" s="11"/>
      <c r="D712" s="25"/>
      <c r="E712" s="25"/>
    </row>
    <row r="713">
      <c r="A713" s="11"/>
      <c r="B713" s="11"/>
      <c r="C713" s="11"/>
      <c r="D713" s="25"/>
      <c r="E713" s="25"/>
    </row>
    <row r="714">
      <c r="A714" s="11"/>
      <c r="B714" s="11"/>
      <c r="C714" s="11"/>
      <c r="D714" s="25"/>
      <c r="E714" s="25"/>
    </row>
    <row r="715">
      <c r="A715" s="11"/>
      <c r="B715" s="11"/>
      <c r="C715" s="11"/>
      <c r="D715" s="25"/>
      <c r="E715" s="25"/>
    </row>
    <row r="716">
      <c r="A716" s="11"/>
      <c r="B716" s="11"/>
      <c r="C716" s="11"/>
      <c r="D716" s="25"/>
      <c r="E716" s="25"/>
    </row>
    <row r="717">
      <c r="A717" s="11"/>
      <c r="B717" s="11"/>
      <c r="C717" s="11"/>
      <c r="D717" s="25"/>
      <c r="E717" s="25"/>
    </row>
    <row r="718">
      <c r="A718" s="11"/>
      <c r="B718" s="11"/>
      <c r="C718" s="11"/>
      <c r="D718" s="25"/>
      <c r="E718" s="25"/>
    </row>
    <row r="719">
      <c r="A719" s="11"/>
      <c r="B719" s="11"/>
      <c r="C719" s="11"/>
      <c r="D719" s="25"/>
      <c r="E719" s="25"/>
    </row>
    <row r="720">
      <c r="A720" s="11"/>
      <c r="B720" s="11"/>
      <c r="C720" s="11"/>
      <c r="D720" s="25"/>
      <c r="E720" s="25"/>
    </row>
    <row r="721">
      <c r="A721" s="11"/>
      <c r="B721" s="11"/>
      <c r="C721" s="11"/>
      <c r="D721" s="25"/>
      <c r="E721" s="25"/>
    </row>
    <row r="722">
      <c r="A722" s="11"/>
      <c r="B722" s="11"/>
      <c r="C722" s="11"/>
      <c r="D722" s="25"/>
      <c r="E722" s="25"/>
    </row>
    <row r="723">
      <c r="A723" s="11"/>
      <c r="B723" s="11"/>
      <c r="C723" s="11"/>
      <c r="D723" s="25"/>
      <c r="E723" s="25"/>
    </row>
    <row r="724">
      <c r="A724" s="11"/>
      <c r="B724" s="11"/>
      <c r="C724" s="11"/>
      <c r="D724" s="25"/>
      <c r="E724" s="25"/>
    </row>
    <row r="725">
      <c r="A725" s="11"/>
      <c r="B725" s="11"/>
      <c r="C725" s="11"/>
      <c r="D725" s="25"/>
      <c r="E725" s="25"/>
    </row>
    <row r="726">
      <c r="A726" s="11"/>
      <c r="B726" s="11"/>
      <c r="C726" s="11"/>
      <c r="D726" s="25"/>
      <c r="E726" s="25"/>
    </row>
    <row r="727">
      <c r="A727" s="11"/>
      <c r="B727" s="11"/>
      <c r="C727" s="11"/>
      <c r="D727" s="25"/>
      <c r="E727" s="25"/>
    </row>
    <row r="728">
      <c r="A728" s="11"/>
      <c r="B728" s="11"/>
      <c r="C728" s="11"/>
      <c r="D728" s="25"/>
      <c r="E728" s="25"/>
    </row>
    <row r="729">
      <c r="A729" s="11"/>
      <c r="B729" s="11"/>
      <c r="C729" s="11"/>
      <c r="D729" s="25"/>
      <c r="E729" s="25"/>
    </row>
    <row r="730">
      <c r="A730" s="11"/>
      <c r="B730" s="11"/>
      <c r="C730" s="11"/>
      <c r="D730" s="25"/>
      <c r="E730" s="25"/>
    </row>
    <row r="731">
      <c r="A731" s="11"/>
      <c r="B731" s="11"/>
      <c r="C731" s="11"/>
      <c r="D731" s="25"/>
      <c r="E731" s="25"/>
    </row>
    <row r="732">
      <c r="A732" s="11"/>
      <c r="B732" s="11"/>
      <c r="C732" s="11"/>
      <c r="D732" s="25"/>
      <c r="E732" s="25"/>
    </row>
    <row r="733">
      <c r="A733" s="11"/>
      <c r="B733" s="11"/>
      <c r="C733" s="11"/>
      <c r="D733" s="25"/>
      <c r="E733" s="25"/>
    </row>
    <row r="734">
      <c r="A734" s="11"/>
      <c r="B734" s="11"/>
      <c r="C734" s="11"/>
      <c r="D734" s="25"/>
      <c r="E734" s="25"/>
    </row>
    <row r="735">
      <c r="A735" s="11"/>
      <c r="B735" s="11"/>
      <c r="C735" s="11"/>
      <c r="D735" s="25"/>
      <c r="E735" s="25"/>
    </row>
    <row r="736">
      <c r="A736" s="11"/>
      <c r="B736" s="11"/>
      <c r="C736" s="11"/>
      <c r="D736" s="25"/>
      <c r="E736" s="25"/>
    </row>
    <row r="737">
      <c r="A737" s="11"/>
      <c r="B737" s="11"/>
      <c r="C737" s="11"/>
      <c r="D737" s="25"/>
      <c r="E737" s="25"/>
    </row>
    <row r="738">
      <c r="A738" s="11"/>
      <c r="B738" s="11"/>
      <c r="C738" s="11"/>
      <c r="D738" s="25"/>
      <c r="E738" s="25"/>
    </row>
    <row r="739">
      <c r="A739" s="11"/>
      <c r="B739" s="11"/>
      <c r="C739" s="11"/>
      <c r="D739" s="25"/>
      <c r="E739" s="25"/>
    </row>
    <row r="740">
      <c r="A740" s="11"/>
      <c r="B740" s="11"/>
      <c r="C740" s="11"/>
      <c r="D740" s="25"/>
      <c r="E740" s="25"/>
    </row>
    <row r="741">
      <c r="A741" s="11"/>
      <c r="B741" s="11"/>
      <c r="C741" s="11"/>
      <c r="D741" s="25"/>
      <c r="E741" s="25"/>
    </row>
    <row r="742">
      <c r="A742" s="11"/>
      <c r="B742" s="11"/>
      <c r="C742" s="11"/>
      <c r="D742" s="25"/>
      <c r="E742" s="25"/>
    </row>
    <row r="743">
      <c r="A743" s="11"/>
      <c r="B743" s="11"/>
      <c r="C743" s="11"/>
      <c r="D743" s="25"/>
      <c r="E743" s="25"/>
    </row>
    <row r="744">
      <c r="A744" s="11"/>
      <c r="B744" s="11"/>
      <c r="C744" s="11"/>
      <c r="D744" s="25"/>
      <c r="E744" s="25"/>
    </row>
    <row r="745">
      <c r="A745" s="11"/>
      <c r="B745" s="11"/>
      <c r="C745" s="11"/>
      <c r="D745" s="25"/>
      <c r="E745" s="25"/>
    </row>
    <row r="746">
      <c r="A746" s="11"/>
      <c r="B746" s="11"/>
      <c r="C746" s="11"/>
      <c r="D746" s="25"/>
      <c r="E746" s="25"/>
    </row>
    <row r="747">
      <c r="A747" s="11"/>
      <c r="B747" s="11"/>
      <c r="C747" s="11"/>
      <c r="D747" s="25"/>
      <c r="E747" s="25"/>
    </row>
    <row r="748">
      <c r="A748" s="11"/>
      <c r="B748" s="11"/>
      <c r="C748" s="11"/>
      <c r="D748" s="25"/>
      <c r="E748" s="25"/>
    </row>
    <row r="749">
      <c r="A749" s="11"/>
      <c r="B749" s="11"/>
      <c r="C749" s="11"/>
      <c r="D749" s="25"/>
      <c r="E749" s="25"/>
    </row>
    <row r="750">
      <c r="A750" s="11"/>
      <c r="B750" s="11"/>
      <c r="C750" s="11"/>
      <c r="D750" s="25"/>
      <c r="E750" s="25"/>
    </row>
    <row r="751">
      <c r="A751" s="11"/>
      <c r="B751" s="11"/>
      <c r="C751" s="11"/>
      <c r="D751" s="25"/>
      <c r="E751" s="25"/>
    </row>
    <row r="752">
      <c r="A752" s="11"/>
      <c r="B752" s="11"/>
      <c r="C752" s="11"/>
      <c r="D752" s="25"/>
      <c r="E752" s="25"/>
    </row>
    <row r="753">
      <c r="A753" s="11"/>
      <c r="B753" s="11"/>
      <c r="C753" s="11"/>
      <c r="D753" s="25"/>
      <c r="E753" s="25"/>
    </row>
    <row r="754">
      <c r="A754" s="11"/>
      <c r="B754" s="11"/>
      <c r="C754" s="11"/>
      <c r="D754" s="25"/>
      <c r="E754" s="25"/>
    </row>
    <row r="755">
      <c r="A755" s="11"/>
      <c r="B755" s="11"/>
      <c r="C755" s="11"/>
      <c r="D755" s="25"/>
      <c r="E755" s="25"/>
    </row>
    <row r="756">
      <c r="A756" s="11"/>
      <c r="B756" s="11"/>
      <c r="C756" s="11"/>
      <c r="D756" s="25"/>
      <c r="E756" s="25"/>
    </row>
    <row r="757">
      <c r="A757" s="11"/>
      <c r="B757" s="11"/>
      <c r="C757" s="11"/>
      <c r="D757" s="25"/>
      <c r="E757" s="25"/>
    </row>
    <row r="758">
      <c r="A758" s="11"/>
      <c r="B758" s="11"/>
      <c r="C758" s="11"/>
      <c r="D758" s="25"/>
      <c r="E758" s="25"/>
    </row>
    <row r="759">
      <c r="A759" s="11"/>
      <c r="B759" s="11"/>
      <c r="C759" s="11"/>
      <c r="D759" s="25"/>
      <c r="E759" s="25"/>
    </row>
    <row r="760">
      <c r="A760" s="11"/>
      <c r="B760" s="11"/>
      <c r="C760" s="11"/>
      <c r="D760" s="25"/>
      <c r="E760" s="25"/>
    </row>
    <row r="761">
      <c r="A761" s="11"/>
      <c r="B761" s="11"/>
      <c r="C761" s="11"/>
      <c r="D761" s="25"/>
      <c r="E761" s="25"/>
    </row>
    <row r="762">
      <c r="A762" s="11"/>
      <c r="B762" s="11"/>
      <c r="C762" s="11"/>
      <c r="D762" s="25"/>
      <c r="E762" s="25"/>
    </row>
    <row r="763">
      <c r="A763" s="11"/>
      <c r="B763" s="11"/>
      <c r="C763" s="11"/>
      <c r="D763" s="25"/>
      <c r="E763" s="25"/>
    </row>
    <row r="764">
      <c r="A764" s="11"/>
      <c r="B764" s="11"/>
      <c r="C764" s="11"/>
      <c r="D764" s="25"/>
      <c r="E764" s="25"/>
    </row>
    <row r="765">
      <c r="A765" s="11"/>
      <c r="B765" s="11"/>
      <c r="C765" s="11"/>
      <c r="D765" s="25"/>
      <c r="E765" s="25"/>
    </row>
    <row r="766">
      <c r="A766" s="11"/>
      <c r="B766" s="11"/>
      <c r="C766" s="11"/>
      <c r="D766" s="25"/>
      <c r="E766" s="25"/>
    </row>
    <row r="767">
      <c r="A767" s="11"/>
      <c r="B767" s="11"/>
      <c r="C767" s="11"/>
      <c r="D767" s="25"/>
      <c r="E767" s="25"/>
    </row>
    <row r="768">
      <c r="A768" s="11"/>
      <c r="B768" s="11"/>
      <c r="C768" s="11"/>
      <c r="D768" s="25"/>
      <c r="E768" s="25"/>
    </row>
    <row r="769">
      <c r="A769" s="11"/>
      <c r="B769" s="11"/>
      <c r="C769" s="11"/>
      <c r="D769" s="25"/>
      <c r="E769" s="25"/>
    </row>
    <row r="770">
      <c r="A770" s="11"/>
      <c r="B770" s="11"/>
      <c r="C770" s="11"/>
      <c r="D770" s="25"/>
      <c r="E770" s="25"/>
    </row>
    <row r="771">
      <c r="A771" s="11"/>
      <c r="B771" s="11"/>
      <c r="C771" s="11"/>
      <c r="D771" s="25"/>
      <c r="E771" s="25"/>
    </row>
    <row r="772">
      <c r="A772" s="11"/>
      <c r="B772" s="11"/>
      <c r="C772" s="11"/>
      <c r="D772" s="25"/>
      <c r="E772" s="25"/>
    </row>
    <row r="773">
      <c r="A773" s="11"/>
      <c r="B773" s="11"/>
      <c r="C773" s="11"/>
      <c r="D773" s="25"/>
      <c r="E773" s="25"/>
    </row>
    <row r="774">
      <c r="A774" s="11"/>
      <c r="B774" s="11"/>
      <c r="C774" s="11"/>
      <c r="D774" s="25"/>
      <c r="E774" s="25"/>
    </row>
    <row r="775">
      <c r="A775" s="11"/>
      <c r="B775" s="11"/>
      <c r="C775" s="11"/>
      <c r="D775" s="25"/>
      <c r="E775" s="25"/>
    </row>
    <row r="776">
      <c r="A776" s="11"/>
      <c r="B776" s="11"/>
      <c r="C776" s="11"/>
      <c r="D776" s="25"/>
      <c r="E776" s="25"/>
    </row>
    <row r="777">
      <c r="A777" s="11"/>
      <c r="B777" s="11"/>
      <c r="C777" s="11"/>
      <c r="D777" s="25"/>
      <c r="E777" s="25"/>
    </row>
    <row r="778">
      <c r="A778" s="11"/>
      <c r="B778" s="11"/>
      <c r="C778" s="11"/>
      <c r="D778" s="25"/>
      <c r="E778" s="25"/>
    </row>
    <row r="779">
      <c r="A779" s="11"/>
      <c r="B779" s="11"/>
      <c r="C779" s="11"/>
      <c r="D779" s="25"/>
      <c r="E779" s="25"/>
    </row>
    <row r="780">
      <c r="A780" s="11"/>
      <c r="B780" s="11"/>
      <c r="C780" s="11"/>
      <c r="D780" s="25"/>
      <c r="E780" s="25"/>
    </row>
    <row r="781">
      <c r="A781" s="11"/>
      <c r="B781" s="11"/>
      <c r="C781" s="11"/>
      <c r="D781" s="25"/>
      <c r="E781" s="25"/>
    </row>
    <row r="782">
      <c r="A782" s="11"/>
      <c r="B782" s="11"/>
      <c r="C782" s="11"/>
      <c r="D782" s="25"/>
      <c r="E782" s="25"/>
    </row>
    <row r="783">
      <c r="A783" s="11"/>
      <c r="B783" s="11"/>
      <c r="C783" s="11"/>
      <c r="D783" s="25"/>
      <c r="E783" s="25"/>
    </row>
    <row r="784">
      <c r="A784" s="11"/>
      <c r="B784" s="11"/>
      <c r="C784" s="11"/>
      <c r="D784" s="25"/>
      <c r="E784" s="25"/>
    </row>
    <row r="785">
      <c r="A785" s="11"/>
      <c r="B785" s="11"/>
      <c r="C785" s="11"/>
      <c r="D785" s="25"/>
      <c r="E785" s="25"/>
    </row>
    <row r="786">
      <c r="A786" s="11"/>
      <c r="B786" s="11"/>
      <c r="C786" s="11"/>
      <c r="D786" s="25"/>
      <c r="E786" s="25"/>
    </row>
    <row r="787">
      <c r="A787" s="11"/>
      <c r="B787" s="11"/>
      <c r="C787" s="11"/>
      <c r="D787" s="25"/>
      <c r="E787" s="25"/>
    </row>
    <row r="788">
      <c r="A788" s="11"/>
      <c r="B788" s="11"/>
      <c r="C788" s="11"/>
      <c r="D788" s="25"/>
      <c r="E788" s="25"/>
    </row>
    <row r="789">
      <c r="A789" s="11"/>
      <c r="B789" s="11"/>
      <c r="C789" s="11"/>
      <c r="D789" s="25"/>
      <c r="E789" s="25"/>
    </row>
    <row r="790">
      <c r="A790" s="11"/>
      <c r="B790" s="11"/>
      <c r="C790" s="11"/>
      <c r="D790" s="25"/>
      <c r="E790" s="25"/>
    </row>
    <row r="791">
      <c r="A791" s="11"/>
      <c r="B791" s="11"/>
      <c r="C791" s="11"/>
      <c r="D791" s="25"/>
      <c r="E791" s="25"/>
    </row>
    <row r="792">
      <c r="A792" s="11"/>
      <c r="B792" s="11"/>
      <c r="C792" s="11"/>
      <c r="D792" s="25"/>
      <c r="E792" s="25"/>
    </row>
    <row r="793">
      <c r="A793" s="11"/>
      <c r="B793" s="11"/>
      <c r="C793" s="11"/>
      <c r="D793" s="25"/>
      <c r="E793" s="25"/>
    </row>
    <row r="794">
      <c r="A794" s="11"/>
      <c r="B794" s="11"/>
      <c r="C794" s="11"/>
      <c r="D794" s="25"/>
      <c r="E794" s="25"/>
    </row>
    <row r="795">
      <c r="A795" s="11"/>
      <c r="B795" s="11"/>
      <c r="C795" s="11"/>
      <c r="D795" s="25"/>
      <c r="E795" s="25"/>
    </row>
    <row r="796">
      <c r="A796" s="11"/>
      <c r="B796" s="11"/>
      <c r="C796" s="11"/>
      <c r="D796" s="25"/>
      <c r="E796" s="25"/>
    </row>
    <row r="797">
      <c r="A797" s="11"/>
      <c r="B797" s="11"/>
      <c r="C797" s="11"/>
      <c r="D797" s="25"/>
      <c r="E797" s="25"/>
    </row>
    <row r="798">
      <c r="A798" s="11"/>
      <c r="B798" s="11"/>
      <c r="C798" s="11"/>
      <c r="D798" s="25"/>
      <c r="E798" s="25"/>
    </row>
    <row r="799">
      <c r="A799" s="11"/>
      <c r="B799" s="11"/>
      <c r="C799" s="11"/>
      <c r="D799" s="25"/>
      <c r="E799" s="25"/>
    </row>
    <row r="800">
      <c r="A800" s="11"/>
      <c r="B800" s="11"/>
      <c r="C800" s="11"/>
      <c r="D800" s="25"/>
      <c r="E800" s="25"/>
    </row>
    <row r="801">
      <c r="A801" s="11"/>
      <c r="B801" s="11"/>
      <c r="C801" s="11"/>
      <c r="D801" s="25"/>
      <c r="E801" s="25"/>
    </row>
    <row r="802">
      <c r="A802" s="11"/>
      <c r="B802" s="11"/>
      <c r="C802" s="11"/>
      <c r="D802" s="25"/>
      <c r="E802" s="25"/>
    </row>
    <row r="803">
      <c r="A803" s="11"/>
      <c r="B803" s="11"/>
      <c r="C803" s="11"/>
      <c r="D803" s="25"/>
      <c r="E803" s="25"/>
    </row>
    <row r="804">
      <c r="A804" s="11"/>
      <c r="B804" s="11"/>
      <c r="C804" s="11"/>
      <c r="D804" s="25"/>
      <c r="E804" s="25"/>
    </row>
    <row r="805">
      <c r="A805" s="11"/>
      <c r="B805" s="11"/>
      <c r="C805" s="11"/>
      <c r="D805" s="25"/>
      <c r="E805" s="25"/>
    </row>
    <row r="806">
      <c r="A806" s="11"/>
      <c r="B806" s="11"/>
      <c r="C806" s="11"/>
      <c r="D806" s="25"/>
      <c r="E806" s="25"/>
    </row>
    <row r="807">
      <c r="A807" s="11"/>
      <c r="B807" s="11"/>
      <c r="C807" s="11"/>
      <c r="D807" s="25"/>
      <c r="E807" s="25"/>
    </row>
    <row r="808">
      <c r="A808" s="11"/>
      <c r="B808" s="11"/>
      <c r="C808" s="11"/>
      <c r="D808" s="25"/>
      <c r="E808" s="25"/>
    </row>
    <row r="809">
      <c r="A809" s="11"/>
      <c r="B809" s="11"/>
      <c r="C809" s="11"/>
      <c r="D809" s="25"/>
      <c r="E809" s="25"/>
    </row>
    <row r="810">
      <c r="A810" s="11"/>
      <c r="B810" s="11"/>
      <c r="C810" s="11"/>
      <c r="D810" s="25"/>
      <c r="E810" s="25"/>
    </row>
    <row r="811">
      <c r="A811" s="11"/>
      <c r="B811" s="11"/>
      <c r="C811" s="11"/>
      <c r="D811" s="25"/>
      <c r="E811" s="25"/>
    </row>
    <row r="812">
      <c r="A812" s="11"/>
      <c r="B812" s="11"/>
      <c r="C812" s="11"/>
      <c r="D812" s="25"/>
      <c r="E812" s="25"/>
    </row>
    <row r="813">
      <c r="A813" s="11"/>
      <c r="B813" s="11"/>
      <c r="C813" s="11"/>
      <c r="D813" s="25"/>
      <c r="E813" s="25"/>
    </row>
    <row r="814">
      <c r="A814" s="11"/>
      <c r="B814" s="11"/>
      <c r="C814" s="11"/>
      <c r="D814" s="25"/>
      <c r="E814" s="25"/>
    </row>
    <row r="815">
      <c r="A815" s="11"/>
      <c r="B815" s="11"/>
      <c r="C815" s="11"/>
      <c r="D815" s="25"/>
      <c r="E815" s="25"/>
    </row>
    <row r="816">
      <c r="A816" s="11"/>
      <c r="B816" s="11"/>
      <c r="C816" s="11"/>
      <c r="D816" s="25"/>
      <c r="E816" s="25"/>
    </row>
    <row r="817">
      <c r="A817" s="11"/>
      <c r="B817" s="11"/>
      <c r="C817" s="11"/>
      <c r="D817" s="25"/>
      <c r="E817" s="25"/>
    </row>
    <row r="818">
      <c r="A818" s="11"/>
      <c r="B818" s="11"/>
      <c r="C818" s="11"/>
      <c r="D818" s="25"/>
      <c r="E818" s="25"/>
    </row>
    <row r="819">
      <c r="A819" s="11"/>
      <c r="B819" s="11"/>
      <c r="C819" s="11"/>
      <c r="D819" s="25"/>
      <c r="E819" s="25"/>
    </row>
    <row r="820">
      <c r="A820" s="11"/>
      <c r="B820" s="11"/>
      <c r="C820" s="11"/>
      <c r="D820" s="25"/>
      <c r="E820" s="25"/>
    </row>
    <row r="821">
      <c r="A821" s="11"/>
      <c r="B821" s="11"/>
      <c r="C821" s="11"/>
      <c r="D821" s="25"/>
      <c r="E821" s="25"/>
    </row>
    <row r="822">
      <c r="A822" s="11"/>
      <c r="B822" s="11"/>
      <c r="C822" s="11"/>
      <c r="D822" s="25"/>
      <c r="E822" s="25"/>
    </row>
    <row r="823">
      <c r="A823" s="11"/>
      <c r="B823" s="11"/>
      <c r="C823" s="11"/>
      <c r="D823" s="25"/>
      <c r="E823" s="25"/>
    </row>
    <row r="824">
      <c r="A824" s="11"/>
      <c r="B824" s="11"/>
      <c r="C824" s="11"/>
      <c r="D824" s="25"/>
      <c r="E824" s="25"/>
    </row>
    <row r="825">
      <c r="A825" s="11"/>
      <c r="B825" s="11"/>
      <c r="C825" s="11"/>
      <c r="D825" s="25"/>
      <c r="E825" s="25"/>
    </row>
    <row r="826">
      <c r="A826" s="11"/>
      <c r="B826" s="11"/>
      <c r="C826" s="11"/>
      <c r="D826" s="25"/>
      <c r="E826" s="25"/>
    </row>
    <row r="827">
      <c r="A827" s="11"/>
      <c r="B827" s="11"/>
      <c r="C827" s="11"/>
      <c r="D827" s="25"/>
      <c r="E827" s="25"/>
    </row>
    <row r="828">
      <c r="A828" s="11"/>
      <c r="B828" s="11"/>
      <c r="C828" s="11"/>
      <c r="D828" s="25"/>
      <c r="E828" s="25"/>
    </row>
    <row r="829">
      <c r="A829" s="11"/>
      <c r="B829" s="11"/>
      <c r="C829" s="11"/>
      <c r="D829" s="25"/>
      <c r="E829" s="25"/>
    </row>
    <row r="830">
      <c r="A830" s="11"/>
      <c r="B830" s="11"/>
      <c r="C830" s="11"/>
      <c r="D830" s="25"/>
      <c r="E830" s="25"/>
    </row>
    <row r="831">
      <c r="A831" s="11"/>
      <c r="B831" s="11"/>
      <c r="C831" s="11"/>
      <c r="D831" s="25"/>
      <c r="E831" s="25"/>
    </row>
    <row r="832">
      <c r="A832" s="11"/>
      <c r="B832" s="11"/>
      <c r="C832" s="11"/>
      <c r="D832" s="25"/>
      <c r="E832" s="25"/>
    </row>
    <row r="833">
      <c r="A833" s="11"/>
      <c r="B833" s="11"/>
      <c r="C833" s="11"/>
      <c r="D833" s="25"/>
      <c r="E833" s="25"/>
    </row>
    <row r="834">
      <c r="A834" s="11"/>
      <c r="B834" s="11"/>
      <c r="C834" s="11"/>
      <c r="D834" s="25"/>
      <c r="E834" s="25"/>
    </row>
    <row r="835">
      <c r="A835" s="11"/>
      <c r="B835" s="11"/>
      <c r="C835" s="11"/>
      <c r="D835" s="25"/>
      <c r="E835" s="25"/>
    </row>
    <row r="836">
      <c r="A836" s="11"/>
      <c r="B836" s="11"/>
      <c r="C836" s="11"/>
      <c r="D836" s="25"/>
      <c r="E836" s="25"/>
    </row>
    <row r="837">
      <c r="A837" s="11"/>
      <c r="B837" s="11"/>
      <c r="C837" s="11"/>
      <c r="D837" s="25"/>
      <c r="E837" s="25"/>
    </row>
    <row r="838">
      <c r="A838" s="11"/>
      <c r="B838" s="11"/>
      <c r="C838" s="11"/>
      <c r="D838" s="25"/>
      <c r="E838" s="25"/>
    </row>
    <row r="839">
      <c r="A839" s="11"/>
      <c r="B839" s="11"/>
      <c r="C839" s="11"/>
      <c r="D839" s="25"/>
      <c r="E839" s="25"/>
    </row>
    <row r="840">
      <c r="A840" s="11"/>
      <c r="B840" s="11"/>
      <c r="C840" s="11"/>
      <c r="D840" s="25"/>
      <c r="E840" s="25"/>
    </row>
    <row r="841">
      <c r="A841" s="11"/>
      <c r="B841" s="11"/>
      <c r="C841" s="11"/>
      <c r="D841" s="25"/>
      <c r="E841" s="25"/>
    </row>
    <row r="842">
      <c r="A842" s="11"/>
      <c r="B842" s="11"/>
      <c r="C842" s="11"/>
      <c r="D842" s="25"/>
      <c r="E842" s="25"/>
    </row>
    <row r="843">
      <c r="A843" s="11"/>
      <c r="B843" s="11"/>
      <c r="C843" s="11"/>
      <c r="D843" s="25"/>
      <c r="E843" s="25"/>
    </row>
    <row r="844">
      <c r="A844" s="11"/>
      <c r="B844" s="11"/>
      <c r="C844" s="11"/>
      <c r="D844" s="25"/>
      <c r="E844" s="25"/>
    </row>
    <row r="845">
      <c r="A845" s="11"/>
      <c r="B845" s="11"/>
      <c r="C845" s="11"/>
      <c r="D845" s="25"/>
      <c r="E845" s="25"/>
    </row>
    <row r="846">
      <c r="A846" s="11"/>
      <c r="B846" s="11"/>
      <c r="C846" s="11"/>
      <c r="D846" s="25"/>
      <c r="E846" s="25"/>
    </row>
    <row r="847">
      <c r="A847" s="11"/>
      <c r="B847" s="11"/>
      <c r="C847" s="11"/>
      <c r="D847" s="25"/>
      <c r="E847" s="25"/>
    </row>
    <row r="848">
      <c r="A848" s="11"/>
      <c r="B848" s="11"/>
      <c r="C848" s="11"/>
      <c r="D848" s="25"/>
      <c r="E848" s="25"/>
    </row>
    <row r="849">
      <c r="A849" s="11"/>
      <c r="B849" s="11"/>
      <c r="C849" s="11"/>
      <c r="D849" s="25"/>
      <c r="E849" s="25"/>
    </row>
    <row r="850">
      <c r="A850" s="11"/>
      <c r="B850" s="11"/>
      <c r="C850" s="11"/>
      <c r="D850" s="25"/>
      <c r="E850" s="25"/>
    </row>
    <row r="851">
      <c r="A851" s="11"/>
      <c r="B851" s="11"/>
      <c r="C851" s="11"/>
      <c r="D851" s="25"/>
      <c r="E851" s="25"/>
    </row>
    <row r="852">
      <c r="A852" s="11"/>
      <c r="B852" s="11"/>
      <c r="C852" s="11"/>
      <c r="D852" s="25"/>
      <c r="E852" s="25"/>
    </row>
    <row r="853">
      <c r="A853" s="11"/>
      <c r="B853" s="11"/>
      <c r="C853" s="11"/>
      <c r="D853" s="25"/>
      <c r="E853" s="25"/>
    </row>
    <row r="854">
      <c r="A854" s="11"/>
      <c r="B854" s="11"/>
      <c r="C854" s="11"/>
      <c r="D854" s="25"/>
      <c r="E854" s="25"/>
    </row>
    <row r="855">
      <c r="A855" s="11"/>
      <c r="B855" s="11"/>
      <c r="C855" s="11"/>
      <c r="D855" s="25"/>
      <c r="E855" s="25"/>
    </row>
    <row r="856">
      <c r="A856" s="11"/>
      <c r="B856" s="11"/>
      <c r="C856" s="11"/>
      <c r="D856" s="25"/>
      <c r="E856" s="25"/>
    </row>
    <row r="857">
      <c r="A857" s="11"/>
      <c r="B857" s="11"/>
      <c r="C857" s="11"/>
      <c r="D857" s="25"/>
      <c r="E857" s="25"/>
    </row>
    <row r="858">
      <c r="A858" s="11"/>
      <c r="B858" s="11"/>
      <c r="C858" s="11"/>
      <c r="D858" s="25"/>
      <c r="E858" s="25"/>
    </row>
    <row r="859">
      <c r="A859" s="11"/>
      <c r="B859" s="11"/>
      <c r="C859" s="11"/>
      <c r="D859" s="25"/>
      <c r="E859" s="25"/>
    </row>
    <row r="860">
      <c r="A860" s="11"/>
      <c r="B860" s="11"/>
      <c r="C860" s="11"/>
      <c r="D860" s="25"/>
      <c r="E860" s="25"/>
    </row>
    <row r="861">
      <c r="A861" s="11"/>
      <c r="B861" s="11"/>
      <c r="C861" s="11"/>
      <c r="D861" s="25"/>
      <c r="E861" s="25"/>
    </row>
    <row r="862">
      <c r="A862" s="11"/>
      <c r="B862" s="11"/>
      <c r="C862" s="11"/>
      <c r="D862" s="25"/>
      <c r="E862" s="25"/>
    </row>
    <row r="863">
      <c r="A863" s="11"/>
      <c r="B863" s="11"/>
      <c r="C863" s="11"/>
      <c r="D863" s="25"/>
      <c r="E863" s="25"/>
    </row>
    <row r="864">
      <c r="A864" s="11"/>
      <c r="B864" s="11"/>
      <c r="C864" s="11"/>
      <c r="D864" s="25"/>
      <c r="E864" s="25"/>
    </row>
    <row r="865">
      <c r="A865" s="11"/>
      <c r="B865" s="11"/>
      <c r="C865" s="11"/>
      <c r="D865" s="25"/>
      <c r="E865" s="25"/>
    </row>
    <row r="866">
      <c r="A866" s="11"/>
      <c r="B866" s="11"/>
      <c r="C866" s="11"/>
      <c r="D866" s="25"/>
      <c r="E866" s="25"/>
    </row>
    <row r="867">
      <c r="A867" s="11"/>
      <c r="B867" s="11"/>
      <c r="C867" s="11"/>
      <c r="D867" s="25"/>
      <c r="E867" s="25"/>
    </row>
    <row r="868">
      <c r="A868" s="11"/>
      <c r="B868" s="11"/>
      <c r="C868" s="11"/>
      <c r="D868" s="25"/>
      <c r="E868" s="25"/>
    </row>
    <row r="869">
      <c r="A869" s="11"/>
      <c r="B869" s="11"/>
      <c r="C869" s="11"/>
      <c r="D869" s="25"/>
      <c r="E869" s="25"/>
    </row>
    <row r="870">
      <c r="A870" s="11"/>
      <c r="B870" s="11"/>
      <c r="C870" s="11"/>
      <c r="D870" s="25"/>
      <c r="E870" s="25"/>
    </row>
    <row r="871">
      <c r="A871" s="11"/>
      <c r="B871" s="11"/>
      <c r="C871" s="11"/>
      <c r="D871" s="25"/>
      <c r="E871" s="25"/>
    </row>
    <row r="872">
      <c r="A872" s="11"/>
      <c r="B872" s="11"/>
      <c r="C872" s="11"/>
      <c r="D872" s="25"/>
      <c r="E872" s="25"/>
    </row>
    <row r="873">
      <c r="A873" s="11"/>
      <c r="B873" s="11"/>
      <c r="C873" s="11"/>
      <c r="D873" s="25"/>
      <c r="E873" s="25"/>
    </row>
    <row r="874">
      <c r="A874" s="11"/>
      <c r="B874" s="11"/>
      <c r="C874" s="11"/>
      <c r="D874" s="25"/>
      <c r="E874" s="25"/>
    </row>
    <row r="875">
      <c r="A875" s="11"/>
      <c r="B875" s="11"/>
      <c r="C875" s="11"/>
      <c r="D875" s="25"/>
      <c r="E875" s="25"/>
    </row>
    <row r="876">
      <c r="A876" s="11"/>
      <c r="B876" s="11"/>
      <c r="C876" s="11"/>
      <c r="D876" s="25"/>
      <c r="E876" s="25"/>
    </row>
    <row r="877">
      <c r="A877" s="11"/>
      <c r="B877" s="11"/>
      <c r="C877" s="11"/>
      <c r="D877" s="25"/>
      <c r="E877" s="25"/>
    </row>
    <row r="878">
      <c r="A878" s="11"/>
      <c r="B878" s="11"/>
      <c r="C878" s="11"/>
      <c r="D878" s="25"/>
      <c r="E878" s="25"/>
    </row>
    <row r="879">
      <c r="A879" s="11"/>
      <c r="B879" s="11"/>
      <c r="C879" s="11"/>
      <c r="D879" s="25"/>
      <c r="E879" s="25"/>
    </row>
    <row r="880">
      <c r="A880" s="11"/>
      <c r="B880" s="11"/>
      <c r="C880" s="11"/>
      <c r="D880" s="25"/>
      <c r="E880" s="25"/>
    </row>
    <row r="881">
      <c r="A881" s="11"/>
      <c r="B881" s="11"/>
      <c r="C881" s="11"/>
      <c r="D881" s="25"/>
      <c r="E881" s="25"/>
    </row>
    <row r="882">
      <c r="A882" s="11"/>
      <c r="B882" s="11"/>
      <c r="C882" s="11"/>
      <c r="D882" s="25"/>
      <c r="E882" s="25"/>
    </row>
    <row r="883">
      <c r="A883" s="11"/>
      <c r="B883" s="11"/>
      <c r="C883" s="11"/>
      <c r="D883" s="25"/>
      <c r="E883" s="25"/>
    </row>
    <row r="884">
      <c r="A884" s="11"/>
      <c r="B884" s="11"/>
      <c r="C884" s="11"/>
      <c r="D884" s="25"/>
      <c r="E884" s="25"/>
    </row>
    <row r="885">
      <c r="A885" s="11"/>
      <c r="B885" s="11"/>
      <c r="C885" s="11"/>
      <c r="D885" s="25"/>
      <c r="E885" s="25"/>
    </row>
    <row r="886">
      <c r="A886" s="11"/>
      <c r="B886" s="11"/>
      <c r="C886" s="11"/>
      <c r="D886" s="25"/>
      <c r="E886" s="25"/>
    </row>
    <row r="887">
      <c r="A887" s="11"/>
      <c r="B887" s="11"/>
      <c r="C887" s="11"/>
      <c r="D887" s="25"/>
      <c r="E887" s="25"/>
    </row>
    <row r="888">
      <c r="A888" s="11"/>
      <c r="B888" s="11"/>
      <c r="C888" s="11"/>
      <c r="D888" s="25"/>
      <c r="E888" s="25"/>
    </row>
    <row r="889">
      <c r="A889" s="11"/>
      <c r="B889" s="11"/>
      <c r="C889" s="11"/>
      <c r="D889" s="25"/>
      <c r="E889" s="25"/>
    </row>
    <row r="890">
      <c r="A890" s="11"/>
      <c r="B890" s="11"/>
      <c r="C890" s="11"/>
      <c r="D890" s="25"/>
      <c r="E890" s="25"/>
    </row>
    <row r="891">
      <c r="A891" s="11"/>
      <c r="B891" s="11"/>
      <c r="C891" s="11"/>
      <c r="D891" s="25"/>
      <c r="E891" s="25"/>
    </row>
    <row r="892">
      <c r="A892" s="11"/>
      <c r="B892" s="11"/>
      <c r="C892" s="11"/>
      <c r="D892" s="25"/>
      <c r="E892" s="25"/>
    </row>
    <row r="893">
      <c r="A893" s="11"/>
      <c r="B893" s="11"/>
      <c r="C893" s="11"/>
      <c r="D893" s="25"/>
      <c r="E893" s="25"/>
    </row>
    <row r="894">
      <c r="A894" s="11"/>
      <c r="B894" s="11"/>
      <c r="C894" s="11"/>
      <c r="D894" s="25"/>
      <c r="E894" s="25"/>
    </row>
    <row r="895">
      <c r="A895" s="11"/>
      <c r="B895" s="11"/>
      <c r="C895" s="11"/>
      <c r="D895" s="25"/>
      <c r="E895" s="25"/>
    </row>
    <row r="896">
      <c r="A896" s="11"/>
      <c r="B896" s="11"/>
      <c r="C896" s="11"/>
      <c r="D896" s="25"/>
      <c r="E896" s="25"/>
    </row>
    <row r="897">
      <c r="A897" s="11"/>
      <c r="B897" s="11"/>
      <c r="C897" s="11"/>
      <c r="D897" s="25"/>
      <c r="E897" s="25"/>
    </row>
    <row r="898">
      <c r="A898" s="11"/>
      <c r="B898" s="11"/>
      <c r="C898" s="11"/>
      <c r="D898" s="25"/>
      <c r="E898" s="25"/>
    </row>
    <row r="899">
      <c r="A899" s="11"/>
      <c r="B899" s="11"/>
      <c r="C899" s="11"/>
      <c r="D899" s="25"/>
      <c r="E899" s="25"/>
    </row>
    <row r="900">
      <c r="A900" s="11"/>
      <c r="B900" s="11"/>
      <c r="C900" s="11"/>
      <c r="D900" s="25"/>
      <c r="E900" s="25"/>
    </row>
    <row r="901">
      <c r="A901" s="11"/>
      <c r="B901" s="11"/>
      <c r="C901" s="11"/>
      <c r="D901" s="25"/>
      <c r="E901" s="25"/>
    </row>
    <row r="902">
      <c r="A902" s="11"/>
      <c r="B902" s="11"/>
      <c r="C902" s="11"/>
      <c r="D902" s="25"/>
      <c r="E902" s="25"/>
    </row>
    <row r="903">
      <c r="A903" s="11"/>
      <c r="B903" s="11"/>
      <c r="C903" s="11"/>
      <c r="D903" s="25"/>
      <c r="E903" s="25"/>
    </row>
    <row r="904">
      <c r="A904" s="11"/>
      <c r="B904" s="11"/>
      <c r="C904" s="11"/>
      <c r="D904" s="25"/>
      <c r="E904" s="25"/>
    </row>
    <row r="905">
      <c r="A905" s="11"/>
      <c r="B905" s="11"/>
      <c r="C905" s="11"/>
      <c r="D905" s="25"/>
      <c r="E905" s="25"/>
    </row>
    <row r="906">
      <c r="A906" s="11"/>
      <c r="B906" s="11"/>
      <c r="C906" s="11"/>
      <c r="D906" s="25"/>
      <c r="E906" s="25"/>
    </row>
    <row r="907">
      <c r="A907" s="11"/>
      <c r="B907" s="11"/>
      <c r="C907" s="11"/>
      <c r="D907" s="25"/>
      <c r="E907" s="25"/>
    </row>
    <row r="908">
      <c r="A908" s="11"/>
      <c r="B908" s="11"/>
      <c r="C908" s="11"/>
      <c r="D908" s="25"/>
      <c r="E908" s="25"/>
    </row>
    <row r="909">
      <c r="A909" s="11"/>
      <c r="B909" s="11"/>
      <c r="C909" s="11"/>
      <c r="D909" s="25"/>
      <c r="E909" s="25"/>
    </row>
    <row r="910">
      <c r="A910" s="11"/>
      <c r="B910" s="11"/>
      <c r="C910" s="11"/>
      <c r="D910" s="25"/>
      <c r="E910" s="25"/>
    </row>
    <row r="911">
      <c r="A911" s="11"/>
      <c r="B911" s="11"/>
      <c r="C911" s="11"/>
      <c r="D911" s="25"/>
      <c r="E911" s="25"/>
    </row>
    <row r="912">
      <c r="A912" s="11"/>
      <c r="B912" s="11"/>
      <c r="C912" s="11"/>
      <c r="D912" s="25"/>
      <c r="E912" s="25"/>
    </row>
    <row r="913">
      <c r="A913" s="11"/>
      <c r="B913" s="11"/>
      <c r="C913" s="11"/>
      <c r="D913" s="25"/>
      <c r="E913" s="25"/>
    </row>
    <row r="914">
      <c r="A914" s="11"/>
      <c r="B914" s="11"/>
      <c r="C914" s="11"/>
      <c r="D914" s="25"/>
      <c r="E914" s="25"/>
    </row>
    <row r="915">
      <c r="A915" s="11"/>
      <c r="B915" s="11"/>
      <c r="C915" s="11"/>
      <c r="D915" s="25"/>
      <c r="E915" s="25"/>
    </row>
    <row r="916">
      <c r="A916" s="11"/>
      <c r="B916" s="11"/>
      <c r="C916" s="11"/>
      <c r="D916" s="25"/>
      <c r="E916" s="25"/>
    </row>
    <row r="917">
      <c r="A917" s="11"/>
      <c r="B917" s="11"/>
      <c r="C917" s="11"/>
      <c r="D917" s="25"/>
      <c r="E917" s="25"/>
    </row>
    <row r="918">
      <c r="A918" s="11"/>
      <c r="B918" s="11"/>
      <c r="C918" s="11"/>
      <c r="D918" s="25"/>
      <c r="E918" s="25"/>
    </row>
    <row r="919">
      <c r="A919" s="11"/>
      <c r="B919" s="11"/>
      <c r="C919" s="11"/>
      <c r="D919" s="25"/>
      <c r="E919" s="25"/>
    </row>
    <row r="920">
      <c r="A920" s="11"/>
      <c r="B920" s="11"/>
      <c r="C920" s="11"/>
      <c r="D920" s="25"/>
      <c r="E920" s="25"/>
    </row>
    <row r="921">
      <c r="A921" s="11"/>
      <c r="B921" s="11"/>
      <c r="C921" s="11"/>
      <c r="D921" s="25"/>
      <c r="E921" s="25"/>
    </row>
    <row r="922">
      <c r="A922" s="11"/>
      <c r="B922" s="11"/>
      <c r="C922" s="11"/>
      <c r="D922" s="25"/>
      <c r="E922" s="25"/>
    </row>
    <row r="923">
      <c r="A923" s="11"/>
      <c r="B923" s="11"/>
      <c r="C923" s="11"/>
      <c r="D923" s="25"/>
      <c r="E923" s="25"/>
    </row>
    <row r="924">
      <c r="A924" s="11"/>
      <c r="B924" s="11"/>
      <c r="C924" s="11"/>
      <c r="D924" s="25"/>
      <c r="E924" s="25"/>
    </row>
    <row r="925">
      <c r="A925" s="11"/>
      <c r="B925" s="11"/>
      <c r="C925" s="11"/>
      <c r="D925" s="25"/>
      <c r="E925" s="25"/>
    </row>
    <row r="926">
      <c r="A926" s="11"/>
      <c r="B926" s="11"/>
      <c r="C926" s="11"/>
      <c r="D926" s="25"/>
      <c r="E926" s="25"/>
    </row>
    <row r="927">
      <c r="A927" s="11"/>
      <c r="B927" s="11"/>
      <c r="C927" s="11"/>
      <c r="D927" s="25"/>
      <c r="E927" s="25"/>
    </row>
    <row r="928">
      <c r="A928" s="11"/>
      <c r="B928" s="11"/>
      <c r="C928" s="11"/>
      <c r="D928" s="25"/>
      <c r="E928" s="25"/>
    </row>
    <row r="929">
      <c r="A929" s="11"/>
      <c r="B929" s="11"/>
      <c r="C929" s="11"/>
      <c r="D929" s="25"/>
      <c r="E929" s="25"/>
    </row>
    <row r="930">
      <c r="A930" s="11"/>
      <c r="B930" s="11"/>
      <c r="C930" s="11"/>
      <c r="D930" s="25"/>
      <c r="E930" s="25"/>
    </row>
    <row r="931">
      <c r="A931" s="11"/>
      <c r="B931" s="11"/>
      <c r="C931" s="11"/>
      <c r="D931" s="25"/>
      <c r="E931" s="25"/>
    </row>
    <row r="932">
      <c r="A932" s="11"/>
      <c r="B932" s="11"/>
      <c r="C932" s="11"/>
      <c r="D932" s="25"/>
      <c r="E932" s="25"/>
    </row>
    <row r="933">
      <c r="A933" s="11"/>
      <c r="B933" s="11"/>
      <c r="C933" s="11"/>
      <c r="D933" s="25"/>
      <c r="E933" s="25"/>
    </row>
    <row r="934">
      <c r="A934" s="11"/>
      <c r="B934" s="11"/>
      <c r="C934" s="11"/>
      <c r="D934" s="25"/>
      <c r="E934" s="25"/>
    </row>
    <row r="935">
      <c r="A935" s="11"/>
      <c r="B935" s="11"/>
      <c r="C935" s="11"/>
      <c r="D935" s="25"/>
      <c r="E935" s="25"/>
    </row>
    <row r="936">
      <c r="A936" s="11"/>
      <c r="B936" s="11"/>
      <c r="C936" s="11"/>
      <c r="D936" s="25"/>
      <c r="E936" s="25"/>
    </row>
    <row r="937">
      <c r="A937" s="11"/>
      <c r="B937" s="11"/>
      <c r="C937" s="11"/>
      <c r="D937" s="25"/>
      <c r="E937" s="25"/>
    </row>
    <row r="938">
      <c r="A938" s="11"/>
      <c r="B938" s="11"/>
      <c r="C938" s="11"/>
      <c r="D938" s="25"/>
      <c r="E938" s="25"/>
    </row>
    <row r="939">
      <c r="A939" s="11"/>
      <c r="B939" s="11"/>
      <c r="C939" s="11"/>
      <c r="D939" s="25"/>
      <c r="E939" s="25"/>
    </row>
    <row r="940">
      <c r="A940" s="11"/>
      <c r="B940" s="11"/>
      <c r="C940" s="11"/>
      <c r="D940" s="25"/>
      <c r="E940" s="25"/>
    </row>
    <row r="941">
      <c r="A941" s="11"/>
      <c r="B941" s="11"/>
      <c r="C941" s="11"/>
      <c r="D941" s="25"/>
      <c r="E941" s="25"/>
    </row>
    <row r="942">
      <c r="A942" s="11"/>
      <c r="B942" s="11"/>
      <c r="C942" s="11"/>
      <c r="D942" s="25"/>
      <c r="E942" s="25"/>
    </row>
    <row r="943">
      <c r="A943" s="11"/>
      <c r="B943" s="11"/>
      <c r="C943" s="11"/>
      <c r="D943" s="25"/>
      <c r="E943" s="25"/>
    </row>
    <row r="944">
      <c r="A944" s="11"/>
      <c r="B944" s="11"/>
      <c r="C944" s="11"/>
      <c r="D944" s="25"/>
      <c r="E944" s="25"/>
    </row>
    <row r="945">
      <c r="A945" s="11"/>
      <c r="B945" s="11"/>
      <c r="C945" s="11"/>
      <c r="D945" s="25"/>
      <c r="E945" s="25"/>
    </row>
    <row r="946">
      <c r="A946" s="11"/>
      <c r="B946" s="11"/>
      <c r="C946" s="11"/>
      <c r="D946" s="25"/>
      <c r="E946" s="25"/>
    </row>
    <row r="947">
      <c r="A947" s="11"/>
      <c r="B947" s="11"/>
      <c r="C947" s="11"/>
      <c r="D947" s="25"/>
      <c r="E947" s="25"/>
    </row>
    <row r="948">
      <c r="A948" s="11"/>
      <c r="B948" s="11"/>
      <c r="C948" s="11"/>
      <c r="D948" s="25"/>
      <c r="E948" s="25"/>
    </row>
    <row r="949">
      <c r="A949" s="11"/>
      <c r="B949" s="11"/>
      <c r="C949" s="11"/>
      <c r="D949" s="25"/>
      <c r="E949" s="25"/>
    </row>
    <row r="950">
      <c r="A950" s="11"/>
      <c r="B950" s="11"/>
      <c r="C950" s="11"/>
      <c r="D950" s="25"/>
      <c r="E950" s="25"/>
    </row>
    <row r="951">
      <c r="A951" s="11"/>
      <c r="B951" s="11"/>
      <c r="C951" s="11"/>
      <c r="D951" s="25"/>
      <c r="E951" s="25"/>
    </row>
    <row r="952">
      <c r="A952" s="11"/>
      <c r="B952" s="11"/>
      <c r="C952" s="11"/>
      <c r="D952" s="25"/>
      <c r="E952" s="25"/>
    </row>
    <row r="953">
      <c r="A953" s="11"/>
      <c r="B953" s="11"/>
      <c r="C953" s="11"/>
      <c r="D953" s="25"/>
      <c r="E953" s="25"/>
    </row>
    <row r="954">
      <c r="A954" s="11"/>
      <c r="B954" s="11"/>
      <c r="C954" s="11"/>
      <c r="D954" s="25"/>
      <c r="E954" s="25"/>
    </row>
    <row r="955">
      <c r="A955" s="11"/>
      <c r="B955" s="11"/>
      <c r="C955" s="11"/>
      <c r="D955" s="25"/>
      <c r="E955" s="25"/>
    </row>
    <row r="956">
      <c r="A956" s="11"/>
      <c r="B956" s="11"/>
      <c r="C956" s="11"/>
      <c r="D956" s="25"/>
      <c r="E956" s="25"/>
    </row>
    <row r="957">
      <c r="A957" s="11"/>
      <c r="B957" s="11"/>
      <c r="C957" s="11"/>
      <c r="D957" s="25"/>
      <c r="E957" s="25"/>
    </row>
    <row r="958">
      <c r="A958" s="11"/>
      <c r="B958" s="11"/>
      <c r="C958" s="11"/>
      <c r="D958" s="25"/>
      <c r="E958" s="25"/>
    </row>
    <row r="959">
      <c r="A959" s="11"/>
      <c r="B959" s="11"/>
      <c r="C959" s="11"/>
      <c r="D959" s="25"/>
      <c r="E959" s="25"/>
    </row>
    <row r="960">
      <c r="A960" s="11"/>
      <c r="B960" s="11"/>
      <c r="C960" s="11"/>
      <c r="D960" s="25"/>
      <c r="E960" s="25"/>
    </row>
    <row r="961">
      <c r="A961" s="11"/>
      <c r="B961" s="11"/>
      <c r="C961" s="11"/>
      <c r="D961" s="25"/>
      <c r="E961" s="25"/>
    </row>
    <row r="962">
      <c r="A962" s="11"/>
      <c r="B962" s="11"/>
      <c r="C962" s="11"/>
      <c r="D962" s="25"/>
      <c r="E962" s="25"/>
    </row>
    <row r="963">
      <c r="A963" s="11"/>
      <c r="B963" s="11"/>
      <c r="C963" s="11"/>
      <c r="D963" s="25"/>
      <c r="E963" s="25"/>
    </row>
    <row r="964">
      <c r="A964" s="11"/>
      <c r="B964" s="11"/>
      <c r="C964" s="11"/>
      <c r="D964" s="25"/>
      <c r="E964" s="25"/>
    </row>
    <row r="965">
      <c r="A965" s="11"/>
      <c r="B965" s="11"/>
      <c r="C965" s="11"/>
      <c r="D965" s="25"/>
      <c r="E965" s="25"/>
    </row>
    <row r="966">
      <c r="A966" s="11"/>
      <c r="B966" s="11"/>
      <c r="C966" s="11"/>
      <c r="D966" s="25"/>
      <c r="E966" s="25"/>
    </row>
    <row r="967">
      <c r="A967" s="11"/>
      <c r="B967" s="11"/>
      <c r="C967" s="11"/>
      <c r="D967" s="25"/>
      <c r="E967" s="25"/>
    </row>
    <row r="968">
      <c r="A968" s="11"/>
      <c r="B968" s="11"/>
      <c r="C968" s="11"/>
      <c r="D968" s="25"/>
      <c r="E968" s="25"/>
    </row>
    <row r="969">
      <c r="A969" s="11"/>
      <c r="B969" s="11"/>
      <c r="C969" s="11"/>
      <c r="D969" s="25"/>
      <c r="E969" s="25"/>
    </row>
    <row r="970">
      <c r="A970" s="11"/>
      <c r="B970" s="11"/>
      <c r="C970" s="11"/>
      <c r="D970" s="25"/>
      <c r="E970" s="25"/>
    </row>
    <row r="971">
      <c r="A971" s="11"/>
      <c r="B971" s="11"/>
      <c r="C971" s="11"/>
      <c r="D971" s="25"/>
      <c r="E971" s="25"/>
    </row>
    <row r="972">
      <c r="A972" s="11"/>
      <c r="B972" s="11"/>
      <c r="C972" s="11"/>
      <c r="D972" s="25"/>
      <c r="E972" s="25"/>
    </row>
    <row r="973">
      <c r="A973" s="11"/>
      <c r="B973" s="11"/>
      <c r="C973" s="11"/>
      <c r="D973" s="25"/>
      <c r="E973" s="25"/>
    </row>
    <row r="974">
      <c r="A974" s="11"/>
      <c r="B974" s="11"/>
      <c r="C974" s="11"/>
      <c r="D974" s="25"/>
      <c r="E974" s="25"/>
    </row>
    <row r="975">
      <c r="A975" s="11"/>
      <c r="B975" s="11"/>
      <c r="C975" s="11"/>
      <c r="D975" s="25"/>
      <c r="E975" s="25"/>
    </row>
    <row r="976">
      <c r="A976" s="11"/>
      <c r="B976" s="11"/>
      <c r="C976" s="11"/>
      <c r="D976" s="25"/>
      <c r="E976" s="25"/>
    </row>
    <row r="977">
      <c r="A977" s="11"/>
      <c r="B977" s="11"/>
      <c r="C977" s="11"/>
      <c r="D977" s="25"/>
      <c r="E977" s="25"/>
    </row>
    <row r="978">
      <c r="A978" s="11"/>
      <c r="B978" s="11"/>
      <c r="C978" s="11"/>
      <c r="D978" s="25"/>
      <c r="E978" s="25"/>
    </row>
    <row r="979">
      <c r="A979" s="11"/>
      <c r="B979" s="11"/>
      <c r="C979" s="11"/>
      <c r="D979" s="25"/>
      <c r="E979" s="25"/>
    </row>
    <row r="980">
      <c r="A980" s="11"/>
      <c r="B980" s="11"/>
      <c r="C980" s="11"/>
      <c r="D980" s="25"/>
      <c r="E980" s="25"/>
    </row>
    <row r="981">
      <c r="A981" s="11"/>
      <c r="B981" s="11"/>
      <c r="C981" s="11"/>
      <c r="D981" s="25"/>
      <c r="E981" s="25"/>
    </row>
    <row r="982">
      <c r="A982" s="11"/>
      <c r="B982" s="11"/>
      <c r="C982" s="11"/>
      <c r="D982" s="25"/>
      <c r="E982" s="25"/>
    </row>
    <row r="983">
      <c r="A983" s="11"/>
      <c r="B983" s="11"/>
      <c r="C983" s="11"/>
      <c r="D983" s="25"/>
      <c r="E983" s="25"/>
    </row>
    <row r="984">
      <c r="A984" s="11"/>
      <c r="B984" s="11"/>
      <c r="C984" s="11"/>
      <c r="D984" s="25"/>
      <c r="E984" s="25"/>
    </row>
    <row r="985">
      <c r="A985" s="11"/>
      <c r="B985" s="11"/>
      <c r="C985" s="11"/>
      <c r="D985" s="25"/>
      <c r="E985" s="25"/>
    </row>
    <row r="986">
      <c r="A986" s="11"/>
      <c r="B986" s="11"/>
      <c r="C986" s="11"/>
      <c r="D986" s="25"/>
      <c r="E986" s="25"/>
    </row>
    <row r="987">
      <c r="A987" s="11"/>
      <c r="B987" s="11"/>
      <c r="C987" s="11"/>
      <c r="D987" s="25"/>
      <c r="E987" s="25"/>
    </row>
    <row r="988">
      <c r="A988" s="11"/>
      <c r="B988" s="11"/>
      <c r="C988" s="11"/>
      <c r="D988" s="25"/>
      <c r="E988" s="25"/>
    </row>
    <row r="989">
      <c r="A989" s="11"/>
      <c r="B989" s="11"/>
      <c r="C989" s="11"/>
      <c r="D989" s="25"/>
      <c r="E989" s="25"/>
    </row>
    <row r="990">
      <c r="A990" s="11"/>
      <c r="B990" s="11"/>
      <c r="C990" s="11"/>
      <c r="D990" s="25"/>
      <c r="E990" s="25"/>
    </row>
    <row r="991">
      <c r="A991" s="11"/>
      <c r="B991" s="11"/>
      <c r="C991" s="11"/>
      <c r="D991" s="25"/>
      <c r="E991" s="25"/>
    </row>
    <row r="992">
      <c r="A992" s="11"/>
      <c r="B992" s="11"/>
      <c r="C992" s="11"/>
      <c r="D992" s="25"/>
      <c r="E992" s="25"/>
    </row>
    <row r="993">
      <c r="A993" s="11"/>
      <c r="B993" s="11"/>
      <c r="C993" s="11"/>
      <c r="D993" s="25"/>
      <c r="E993" s="25"/>
    </row>
    <row r="994">
      <c r="A994" s="11"/>
      <c r="B994" s="11"/>
      <c r="C994" s="11"/>
      <c r="D994" s="25"/>
      <c r="E994" s="25"/>
    </row>
    <row r="995">
      <c r="A995" s="11"/>
      <c r="B995" s="11"/>
      <c r="C995" s="11"/>
      <c r="D995" s="25"/>
      <c r="E995" s="25"/>
    </row>
    <row r="996">
      <c r="A996" s="11"/>
      <c r="B996" s="11"/>
      <c r="C996" s="11"/>
      <c r="D996" s="25"/>
      <c r="E996" s="25"/>
    </row>
    <row r="997">
      <c r="A997" s="11"/>
      <c r="B997" s="11"/>
      <c r="C997" s="11"/>
      <c r="D997" s="25"/>
      <c r="E997" s="25"/>
    </row>
    <row r="998">
      <c r="A998" s="11"/>
      <c r="B998" s="11"/>
      <c r="C998" s="11"/>
      <c r="D998" s="25"/>
      <c r="E998" s="25"/>
    </row>
    <row r="999">
      <c r="A999" s="11"/>
      <c r="B999" s="11"/>
      <c r="C999" s="11"/>
      <c r="D999" s="25"/>
      <c r="E999" s="25"/>
    </row>
    <row r="1000">
      <c r="A1000" s="11"/>
      <c r="B1000" s="11"/>
      <c r="C1000" s="11"/>
      <c r="D1000" s="25"/>
      <c r="E1000" s="25"/>
    </row>
    <row r="1001">
      <c r="A1001" s="11"/>
      <c r="B1001" s="11"/>
      <c r="C1001" s="11"/>
      <c r="D1001" s="25"/>
      <c r="E1001" s="25"/>
    </row>
  </sheetData>
  <mergeCells count="6">
    <mergeCell ref="A2:E2"/>
    <mergeCell ref="A16:E16"/>
    <mergeCell ref="F18:F21"/>
    <mergeCell ref="F22:F23"/>
    <mergeCell ref="A28:E28"/>
    <mergeCell ref="A39:E39"/>
  </mergeCells>
  <hyperlinks>
    <hyperlink r:id="rId1" location="slide=id.p7" ref="E13"/>
    <hyperlink r:id="rId2" location="slide=id.p7" ref="E24"/>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3" max="3" width="27.0"/>
    <col customWidth="1" min="6" max="7" width="16.75"/>
    <col customWidth="1" min="8" max="8" width="26.13"/>
    <col customWidth="1" min="9" max="9" width="14.88"/>
    <col customWidth="1" min="10" max="10" width="16.63"/>
    <col customWidth="1" min="12" max="12" width="18.38"/>
  </cols>
  <sheetData>
    <row r="1">
      <c r="A1" s="61" t="s">
        <v>75</v>
      </c>
    </row>
    <row r="2">
      <c r="A2" s="62" t="s">
        <v>973</v>
      </c>
      <c r="B2" s="63" t="s">
        <v>974</v>
      </c>
      <c r="C2" s="62" t="s">
        <v>975</v>
      </c>
      <c r="D2" s="63" t="s">
        <v>976</v>
      </c>
      <c r="E2" s="62" t="s">
        <v>977</v>
      </c>
      <c r="F2" s="62" t="s">
        <v>978</v>
      </c>
      <c r="G2" s="62" t="s">
        <v>979</v>
      </c>
      <c r="H2" s="62" t="s">
        <v>980</v>
      </c>
      <c r="I2" s="62" t="s">
        <v>981</v>
      </c>
      <c r="J2" s="62" t="s">
        <v>982</v>
      </c>
      <c r="K2" s="64" t="s">
        <v>983</v>
      </c>
      <c r="L2" s="64" t="s">
        <v>984</v>
      </c>
    </row>
    <row r="3">
      <c r="A3" s="65">
        <v>46023.0</v>
      </c>
      <c r="B3" s="66">
        <f>53244.65+14103.01+1565.02</f>
        <v>68912.68</v>
      </c>
      <c r="C3" s="9">
        <f>3637</f>
        <v>3637</v>
      </c>
      <c r="D3" s="66">
        <f t="shared" ref="D3:D8" si="1">IFERROR(B3/C3, "$0.00")</f>
        <v>18.94767116</v>
      </c>
      <c r="E3" s="67">
        <f t="shared" ref="E3:E9" si="2">C3/K3</f>
        <v>0.1084603227</v>
      </c>
      <c r="F3" s="66">
        <f t="shared" ref="F3:F8" si="3">IFERROR(C3*40.26, "0.00")</f>
        <v>146425.62</v>
      </c>
      <c r="G3" s="68">
        <f t="shared" ref="G3:G8" si="4">IFERROR(F3/B3, "0.00")</f>
        <v>2.124799384</v>
      </c>
      <c r="H3" s="69">
        <f>1503.01+1949</f>
        <v>3452.01</v>
      </c>
      <c r="I3" s="66">
        <f t="shared" ref="I3:I9" si="5">B3/H3</f>
        <v>19.9630592</v>
      </c>
      <c r="J3" s="67">
        <f t="shared" ref="J3:J9" si="6">H3/L3</f>
        <v>0.274994822</v>
      </c>
      <c r="K3" s="3">
        <f>33533</f>
        <v>33533</v>
      </c>
      <c r="L3" s="9">
        <f>10034+2519</f>
        <v>12553</v>
      </c>
    </row>
    <row r="4">
      <c r="A4" s="65">
        <v>46054.0</v>
      </c>
      <c r="B4" s="66">
        <f>55714.23+3683.22+784.26</f>
        <v>60181.71</v>
      </c>
      <c r="C4" s="3">
        <f>3752</f>
        <v>3752</v>
      </c>
      <c r="D4" s="66">
        <f t="shared" si="1"/>
        <v>16.03990139</v>
      </c>
      <c r="E4" s="67">
        <f t="shared" si="2"/>
        <v>0.1202294357</v>
      </c>
      <c r="F4" s="66">
        <f t="shared" si="3"/>
        <v>151055.52</v>
      </c>
      <c r="G4" s="68">
        <f t="shared" si="4"/>
        <v>2.509990494</v>
      </c>
      <c r="H4" s="70">
        <f>252+1112</f>
        <v>1364</v>
      </c>
      <c r="I4" s="66">
        <f t="shared" si="5"/>
        <v>44.12148827</v>
      </c>
      <c r="J4" s="67">
        <f t="shared" si="6"/>
        <v>0.4002347418</v>
      </c>
      <c r="K4" s="9">
        <f>31207</f>
        <v>31207</v>
      </c>
      <c r="L4" s="9">
        <f>2253+1155</f>
        <v>3408</v>
      </c>
    </row>
    <row r="5">
      <c r="A5" s="65">
        <v>46082.0</v>
      </c>
      <c r="B5" s="66">
        <f>44911.47+9201.26+844.56+1999.12+650.16</f>
        <v>57606.57</v>
      </c>
      <c r="C5" s="3">
        <v>4013.0</v>
      </c>
      <c r="D5" s="66">
        <f t="shared" si="1"/>
        <v>14.35498879</v>
      </c>
      <c r="E5" s="67">
        <f t="shared" si="2"/>
        <v>0.1513882601</v>
      </c>
      <c r="F5" s="66">
        <f t="shared" si="3"/>
        <v>161563.38</v>
      </c>
      <c r="G5" s="68">
        <f t="shared" si="4"/>
        <v>2.804599892</v>
      </c>
      <c r="H5" s="70">
        <f>91+1051+15</f>
        <v>1157</v>
      </c>
      <c r="I5" s="66">
        <f t="shared" si="5"/>
        <v>49.78960242</v>
      </c>
      <c r="J5" s="67">
        <f t="shared" si="6"/>
        <v>0.04609561753</v>
      </c>
      <c r="K5" s="3">
        <v>26508.0</v>
      </c>
      <c r="L5" s="9">
        <f>10651+1202+1891+11356</f>
        <v>25100</v>
      </c>
    </row>
    <row r="6">
      <c r="A6" s="65">
        <v>46113.0</v>
      </c>
      <c r="B6" s="66">
        <f>51897.45+8373.72+4092.19+1369.05+143.88</f>
        <v>65876.29</v>
      </c>
      <c r="C6" s="9">
        <f>3943</f>
        <v>3943</v>
      </c>
      <c r="D6" s="66">
        <f t="shared" si="1"/>
        <v>16.70714938</v>
      </c>
      <c r="E6" s="67">
        <f t="shared" si="2"/>
        <v>0.129904787</v>
      </c>
      <c r="F6" s="66">
        <f t="shared" si="3"/>
        <v>158745.18</v>
      </c>
      <c r="G6" s="68">
        <f t="shared" si="4"/>
        <v>2.409746815</v>
      </c>
      <c r="H6" s="70">
        <f>1179+4928+230</f>
        <v>6337</v>
      </c>
      <c r="I6" s="66">
        <f t="shared" si="5"/>
        <v>10.39550103</v>
      </c>
      <c r="J6" s="67">
        <f t="shared" si="6"/>
        <v>0.2138782949</v>
      </c>
      <c r="K6" s="9">
        <f>30353</f>
        <v>30353</v>
      </c>
      <c r="L6" s="9">
        <f>13633+4992+7225+3779</f>
        <v>29629</v>
      </c>
    </row>
    <row r="7">
      <c r="A7" s="65">
        <v>46143.0</v>
      </c>
      <c r="B7" s="66">
        <f>93125.53+7347+6568.54+3630.25</f>
        <v>110671.32</v>
      </c>
      <c r="C7" s="9">
        <f>4170</f>
        <v>4170</v>
      </c>
      <c r="D7" s="66">
        <f t="shared" si="1"/>
        <v>26.53988489</v>
      </c>
      <c r="E7" s="67">
        <f t="shared" si="2"/>
        <v>0.08576364609</v>
      </c>
      <c r="F7" s="66">
        <f t="shared" si="3"/>
        <v>167884.2</v>
      </c>
      <c r="G7" s="68">
        <f t="shared" si="4"/>
        <v>1.516962118</v>
      </c>
      <c r="H7" s="70">
        <f>696+6245+4</f>
        <v>6945</v>
      </c>
      <c r="I7" s="66">
        <f t="shared" si="5"/>
        <v>15.93539525</v>
      </c>
      <c r="J7" s="67">
        <f t="shared" si="6"/>
        <v>0.1960922721</v>
      </c>
      <c r="K7" s="3">
        <f>48622</f>
        <v>48622</v>
      </c>
      <c r="L7" s="9">
        <f>10202+6859+18356</f>
        <v>35417</v>
      </c>
    </row>
    <row r="8">
      <c r="A8" s="65">
        <v>46174.0</v>
      </c>
      <c r="B8" s="66">
        <f>7946.49+1498.59+3449.95+594.32</f>
        <v>13489.35</v>
      </c>
      <c r="C8" s="9">
        <f>1957</f>
        <v>1957</v>
      </c>
      <c r="D8" s="66">
        <f t="shared" si="1"/>
        <v>6.892871742</v>
      </c>
      <c r="E8" s="67">
        <f t="shared" si="2"/>
        <v>0.1502033924</v>
      </c>
      <c r="F8" s="66">
        <f t="shared" si="3"/>
        <v>78788.82</v>
      </c>
      <c r="G8" s="68">
        <f t="shared" si="4"/>
        <v>5.840816644</v>
      </c>
      <c r="H8" s="70">
        <f>143+4424</f>
        <v>4567</v>
      </c>
      <c r="I8" s="66">
        <f t="shared" si="5"/>
        <v>2.953656667</v>
      </c>
      <c r="J8" s="67">
        <f t="shared" si="6"/>
        <v>0.5809693423</v>
      </c>
      <c r="K8" s="3">
        <f>13029</f>
        <v>13029</v>
      </c>
      <c r="L8" s="9">
        <f>1716+3793+2352</f>
        <v>7861</v>
      </c>
    </row>
    <row r="9">
      <c r="A9" s="71" t="s">
        <v>89</v>
      </c>
      <c r="B9" s="72">
        <f t="shared" ref="B9:C9" si="7">SUM(B3:B8)</f>
        <v>376737.92</v>
      </c>
      <c r="C9" s="73">
        <f t="shared" si="7"/>
        <v>21472</v>
      </c>
      <c r="D9" s="72">
        <f>B9/C9</f>
        <v>17.54554396</v>
      </c>
      <c r="E9" s="74">
        <f t="shared" si="2"/>
        <v>0.1171719818</v>
      </c>
      <c r="F9" s="72">
        <f>SUM(F3:F8)</f>
        <v>864462.72</v>
      </c>
      <c r="G9" s="75">
        <f>F9/B9</f>
        <v>2.294599705</v>
      </c>
      <c r="H9" s="70">
        <f>sum(H3:H8)</f>
        <v>23822.01</v>
      </c>
      <c r="I9" s="66">
        <f t="shared" si="5"/>
        <v>15.8146991</v>
      </c>
      <c r="J9" s="67">
        <f t="shared" si="6"/>
        <v>0.2090236733</v>
      </c>
      <c r="K9" s="9">
        <f t="shared" ref="K9:L9" si="8">SUM(K3:K8)</f>
        <v>183252</v>
      </c>
      <c r="L9" s="9">
        <f t="shared" si="8"/>
        <v>113968</v>
      </c>
    </row>
    <row r="10">
      <c r="B10" s="66"/>
      <c r="D10" s="66"/>
    </row>
    <row r="11">
      <c r="B11" s="66"/>
      <c r="D11" s="66"/>
    </row>
    <row r="12">
      <c r="A12" s="76" t="s">
        <v>78</v>
      </c>
    </row>
    <row r="13">
      <c r="A13" s="76" t="s">
        <v>973</v>
      </c>
      <c r="B13" s="77" t="s">
        <v>67</v>
      </c>
      <c r="C13" s="76" t="s">
        <v>68</v>
      </c>
      <c r="D13" s="77" t="s">
        <v>69</v>
      </c>
      <c r="E13" s="76" t="s">
        <v>985</v>
      </c>
      <c r="F13" s="76" t="s">
        <v>986</v>
      </c>
      <c r="G13" s="76" t="s">
        <v>70</v>
      </c>
      <c r="H13" s="3" t="s">
        <v>987</v>
      </c>
    </row>
    <row r="14">
      <c r="A14" s="65">
        <v>46023.0</v>
      </c>
      <c r="B14" s="66">
        <f>2130.28+860.6</f>
        <v>2990.88</v>
      </c>
      <c r="C14" s="9">
        <f>29</f>
        <v>29</v>
      </c>
      <c r="D14" s="66">
        <f t="shared" ref="D14:D19" si="9">IFERROR(B14/C14, "$0.00")</f>
        <v>103.1337931</v>
      </c>
      <c r="E14" s="67">
        <f t="shared" ref="E14:E20" si="10">C14/H14</f>
        <v>0.01009397842</v>
      </c>
      <c r="F14" s="66">
        <f t="shared" ref="F14:F19" si="11">IFERROR(C14*445.8, "0.00")</f>
        <v>12928.2</v>
      </c>
      <c r="G14" s="68">
        <f t="shared" ref="G14:G20" si="12">F14/B14</f>
        <v>4.322540523</v>
      </c>
      <c r="H14" s="3">
        <f>1251+1622</f>
        <v>2873</v>
      </c>
    </row>
    <row r="15">
      <c r="A15" s="65">
        <v>46054.0</v>
      </c>
      <c r="B15" s="66">
        <f>2116.48+2941.23</f>
        <v>5057.71</v>
      </c>
      <c r="C15" s="9">
        <f>21+82</f>
        <v>103</v>
      </c>
      <c r="D15" s="66">
        <f t="shared" si="9"/>
        <v>49.10398058</v>
      </c>
      <c r="E15" s="67">
        <f t="shared" si="10"/>
        <v>0.02211249463</v>
      </c>
      <c r="F15" s="66">
        <f t="shared" si="11"/>
        <v>45917.4</v>
      </c>
      <c r="G15" s="68">
        <f t="shared" si="12"/>
        <v>9.078693717</v>
      </c>
      <c r="H15" s="3">
        <f>847+3811</f>
        <v>4658</v>
      </c>
    </row>
    <row r="16">
      <c r="A16" s="65">
        <v>46082.0</v>
      </c>
      <c r="B16" s="78">
        <f>1659.34+3118.86</f>
        <v>4778.2</v>
      </c>
      <c r="C16" s="3">
        <f>11+175</f>
        <v>186</v>
      </c>
      <c r="D16" s="66">
        <f t="shared" si="9"/>
        <v>25.68924731</v>
      </c>
      <c r="E16" s="67">
        <f t="shared" si="10"/>
        <v>0.0486528904</v>
      </c>
      <c r="F16" s="66">
        <f t="shared" si="11"/>
        <v>82918.8</v>
      </c>
      <c r="G16" s="68">
        <f t="shared" si="12"/>
        <v>17.3535641</v>
      </c>
      <c r="H16" s="3">
        <f>1070+2753</f>
        <v>3823</v>
      </c>
    </row>
    <row r="17">
      <c r="A17" s="65">
        <v>46113.0</v>
      </c>
      <c r="B17" s="66">
        <f>2985.92+6036.14</f>
        <v>9022.06</v>
      </c>
      <c r="C17" s="9">
        <f>31+101</f>
        <v>132</v>
      </c>
      <c r="D17" s="66">
        <f t="shared" si="9"/>
        <v>68.34893939</v>
      </c>
      <c r="E17" s="67">
        <f t="shared" si="10"/>
        <v>0.009678128895</v>
      </c>
      <c r="F17" s="66">
        <f t="shared" si="11"/>
        <v>58845.6</v>
      </c>
      <c r="G17" s="68">
        <f t="shared" si="12"/>
        <v>6.522412841</v>
      </c>
      <c r="H17" s="3">
        <f>4131+9508</f>
        <v>13639</v>
      </c>
    </row>
    <row r="18">
      <c r="A18" s="65">
        <v>46143.0</v>
      </c>
      <c r="B18" s="66">
        <f>5697.56+6074.2</f>
        <v>11771.76</v>
      </c>
      <c r="C18" s="3">
        <f>22+38</f>
        <v>60</v>
      </c>
      <c r="D18" s="66">
        <f t="shared" si="9"/>
        <v>196.196</v>
      </c>
      <c r="E18" s="67">
        <f t="shared" si="10"/>
        <v>0.002724053391</v>
      </c>
      <c r="F18" s="66">
        <f t="shared" si="11"/>
        <v>26748</v>
      </c>
      <c r="G18" s="68">
        <f t="shared" si="12"/>
        <v>2.272217578</v>
      </c>
      <c r="H18" s="3">
        <f>6726+15300</f>
        <v>22026</v>
      </c>
    </row>
    <row r="19">
      <c r="A19" s="65">
        <v>46174.0</v>
      </c>
      <c r="B19" s="66">
        <f>2625.86+3395.53</f>
        <v>6021.39</v>
      </c>
      <c r="C19" s="9">
        <f>19</f>
        <v>19</v>
      </c>
      <c r="D19" s="66">
        <f t="shared" si="9"/>
        <v>316.9152632</v>
      </c>
      <c r="E19" s="67">
        <f t="shared" si="10"/>
        <v>0.002655856863</v>
      </c>
      <c r="F19" s="66">
        <f t="shared" si="11"/>
        <v>8470.2</v>
      </c>
      <c r="G19" s="68">
        <f t="shared" si="12"/>
        <v>1.406685167</v>
      </c>
      <c r="H19" s="3">
        <f>1815+5339</f>
        <v>7154</v>
      </c>
    </row>
    <row r="20">
      <c r="A20" s="71" t="s">
        <v>89</v>
      </c>
      <c r="B20" s="72">
        <f t="shared" ref="B20:C20" si="13">SUM(B14:B19)</f>
        <v>39642</v>
      </c>
      <c r="C20" s="79">
        <f t="shared" si="13"/>
        <v>529</v>
      </c>
      <c r="D20" s="72">
        <f>B20/C20</f>
        <v>74.93761815</v>
      </c>
      <c r="E20" s="74">
        <f t="shared" si="10"/>
        <v>0.009765012091</v>
      </c>
      <c r="F20" s="72">
        <f>SUM(F14:F19)</f>
        <v>235828.2</v>
      </c>
      <c r="G20" s="75">
        <f t="shared" si="12"/>
        <v>5.948948085</v>
      </c>
      <c r="H20" s="9">
        <f>sum(H14:H19)</f>
        <v>54173</v>
      </c>
    </row>
    <row r="21">
      <c r="B21" s="66"/>
      <c r="D21" s="66"/>
    </row>
    <row r="22">
      <c r="B22" s="66"/>
      <c r="D22" s="66"/>
    </row>
    <row r="23">
      <c r="A23" s="76" t="s">
        <v>82</v>
      </c>
    </row>
    <row r="24">
      <c r="A24" s="76" t="s">
        <v>973</v>
      </c>
      <c r="B24" s="77" t="s">
        <v>67</v>
      </c>
      <c r="C24" s="76" t="s">
        <v>68</v>
      </c>
      <c r="D24" s="77" t="s">
        <v>69</v>
      </c>
      <c r="E24" s="76" t="s">
        <v>985</v>
      </c>
      <c r="F24" s="76" t="s">
        <v>986</v>
      </c>
      <c r="G24" s="76" t="s">
        <v>70</v>
      </c>
      <c r="H24" s="3" t="s">
        <v>988</v>
      </c>
    </row>
    <row r="25">
      <c r="A25" s="65">
        <v>46023.0</v>
      </c>
      <c r="B25" s="66">
        <f>4608.28+4187.07+445.25</f>
        <v>9240.6</v>
      </c>
      <c r="C25" s="9">
        <f>30+35</f>
        <v>65</v>
      </c>
      <c r="D25" s="66">
        <f t="shared" ref="D25:D31" si="14">IFERROR(B25/C25, "$0.00")</f>
        <v>142.1630769</v>
      </c>
      <c r="E25" s="67">
        <f t="shared" ref="E25:E31" si="15">C25/H25</f>
        <v>0.001416029453</v>
      </c>
      <c r="F25" s="66">
        <f t="shared" ref="F25:F30" si="16">IFERROR(C25*185.03, "0.00")</f>
        <v>12026.95</v>
      </c>
      <c r="G25" s="68">
        <f t="shared" ref="G25:G31" si="17">F25/B25</f>
        <v>1.30153345</v>
      </c>
      <c r="H25" s="3">
        <f>5965+5524+34414</f>
        <v>45903</v>
      </c>
    </row>
    <row r="26">
      <c r="A26" s="65">
        <v>46054.0</v>
      </c>
      <c r="B26" s="66">
        <f>12361.59+5115.05+1000</f>
        <v>18476.64</v>
      </c>
      <c r="C26" s="9">
        <f>103+30</f>
        <v>133</v>
      </c>
      <c r="D26" s="66">
        <f t="shared" si="14"/>
        <v>138.9221053</v>
      </c>
      <c r="E26" s="67">
        <f t="shared" si="15"/>
        <v>0.007777777778</v>
      </c>
      <c r="F26" s="66">
        <f t="shared" si="16"/>
        <v>24608.99</v>
      </c>
      <c r="G26" s="68">
        <f t="shared" si="17"/>
        <v>1.331897466</v>
      </c>
      <c r="H26" s="9">
        <f>12606+4260+234</f>
        <v>17100</v>
      </c>
    </row>
    <row r="27">
      <c r="A27" s="65">
        <v>46082.0</v>
      </c>
      <c r="B27" s="78">
        <f>13443.56+7764.47+300</f>
        <v>21508.03</v>
      </c>
      <c r="C27" s="9">
        <f>82+20</f>
        <v>102</v>
      </c>
      <c r="D27" s="66">
        <f t="shared" si="14"/>
        <v>210.8630392</v>
      </c>
      <c r="E27" s="67">
        <f t="shared" si="15"/>
        <v>0.005988375506</v>
      </c>
      <c r="F27" s="66">
        <f t="shared" si="16"/>
        <v>18873.06</v>
      </c>
      <c r="G27" s="68">
        <f t="shared" si="17"/>
        <v>0.8774890122</v>
      </c>
      <c r="H27" s="3">
        <f>9966+6840+227</f>
        <v>17033</v>
      </c>
    </row>
    <row r="28">
      <c r="A28" s="65">
        <v>46113.0</v>
      </c>
      <c r="B28" s="66">
        <f>12033.11+5593.88+500</f>
        <v>18126.99</v>
      </c>
      <c r="C28" s="9">
        <f>68+21</f>
        <v>89</v>
      </c>
      <c r="D28" s="66">
        <f t="shared" si="14"/>
        <v>203.6740449</v>
      </c>
      <c r="E28" s="67">
        <f t="shared" si="15"/>
        <v>0.005494505495</v>
      </c>
      <c r="F28" s="66">
        <f t="shared" si="16"/>
        <v>16467.67</v>
      </c>
      <c r="G28" s="68">
        <f t="shared" si="17"/>
        <v>0.9084613607</v>
      </c>
      <c r="H28" s="9">
        <f>7987+7838+373</f>
        <v>16198</v>
      </c>
    </row>
    <row r="29">
      <c r="A29" s="65">
        <v>46143.0</v>
      </c>
      <c r="B29" s="66">
        <f>30559.69+17052.45+1300+1000</f>
        <v>49912.14</v>
      </c>
      <c r="C29" s="9">
        <f>66+23</f>
        <v>89</v>
      </c>
      <c r="D29" s="66">
        <f t="shared" si="14"/>
        <v>560.8105618</v>
      </c>
      <c r="E29" s="67">
        <f t="shared" si="15"/>
        <v>0.001083489567</v>
      </c>
      <c r="F29" s="66">
        <f t="shared" si="16"/>
        <v>16467.67</v>
      </c>
      <c r="G29" s="68">
        <f t="shared" si="17"/>
        <v>0.3299331585</v>
      </c>
      <c r="H29" s="3">
        <f>44690+27233+9532+687</f>
        <v>82142</v>
      </c>
    </row>
    <row r="30">
      <c r="A30" s="65">
        <v>46174.0</v>
      </c>
      <c r="B30" s="66">
        <f>5605.7+4076.37</f>
        <v>9682.07</v>
      </c>
      <c r="C30" s="9">
        <f>60+24</f>
        <v>84</v>
      </c>
      <c r="D30" s="66">
        <f t="shared" si="14"/>
        <v>115.2627381</v>
      </c>
      <c r="E30" s="67">
        <f t="shared" si="15"/>
        <v>0.004533923463</v>
      </c>
      <c r="F30" s="66">
        <f t="shared" si="16"/>
        <v>15542.52</v>
      </c>
      <c r="G30" s="68">
        <f t="shared" si="17"/>
        <v>1.605288952</v>
      </c>
      <c r="H30" s="9">
        <f>9833+8694</f>
        <v>18527</v>
      </c>
    </row>
    <row r="31">
      <c r="A31" s="71" t="s">
        <v>89</v>
      </c>
      <c r="B31" s="72">
        <f t="shared" ref="B31:C31" si="18">SUM(B25:B30)</f>
        <v>126946.47</v>
      </c>
      <c r="C31" s="79">
        <f t="shared" si="18"/>
        <v>562</v>
      </c>
      <c r="D31" s="72">
        <f t="shared" si="14"/>
        <v>225.8833986</v>
      </c>
      <c r="E31" s="74">
        <f t="shared" si="15"/>
        <v>0.002854197244</v>
      </c>
      <c r="F31" s="72">
        <f>SUM(F25:F30)</f>
        <v>103986.86</v>
      </c>
      <c r="G31" s="75">
        <f t="shared" si="17"/>
        <v>0.8191394373</v>
      </c>
      <c r="H31" s="9">
        <f>SUM(H25:H30)</f>
        <v>196903</v>
      </c>
    </row>
    <row r="32">
      <c r="B32" s="66"/>
      <c r="D32" s="66"/>
    </row>
    <row r="33">
      <c r="B33" s="66"/>
      <c r="D33" s="66"/>
    </row>
    <row r="34">
      <c r="A34" s="76" t="s">
        <v>85</v>
      </c>
      <c r="G34" s="80"/>
    </row>
    <row r="35">
      <c r="A35" s="76" t="s">
        <v>973</v>
      </c>
      <c r="B35" s="77" t="s">
        <v>67</v>
      </c>
      <c r="C35" s="76" t="s">
        <v>68</v>
      </c>
      <c r="D35" s="77" t="s">
        <v>69</v>
      </c>
      <c r="E35" s="76" t="s">
        <v>985</v>
      </c>
      <c r="F35" s="76" t="s">
        <v>989</v>
      </c>
      <c r="G35" s="3" t="s">
        <v>987</v>
      </c>
    </row>
    <row r="36">
      <c r="A36" s="65">
        <v>46023.0</v>
      </c>
      <c r="B36" s="66">
        <f>4290.62+1959.04+3787.08</f>
        <v>10036.74</v>
      </c>
      <c r="C36" s="9">
        <f>25+18+11</f>
        <v>54</v>
      </c>
      <c r="D36" s="66">
        <f t="shared" ref="D36:D41" si="19">IFERROR(B36/C36, "$0.00")</f>
        <v>185.8655556</v>
      </c>
      <c r="E36" s="67">
        <f t="shared" ref="E36:E42" si="20">C36/G36</f>
        <v>0.01882188916</v>
      </c>
      <c r="F36" s="3">
        <v>6.0</v>
      </c>
      <c r="G36" s="3">
        <f>897+90+1882</f>
        <v>2869</v>
      </c>
    </row>
    <row r="37">
      <c r="A37" s="65">
        <v>46054.0</v>
      </c>
      <c r="B37" s="66">
        <f>4250.88+3870.48+439.44</f>
        <v>8560.8</v>
      </c>
      <c r="C37" s="9">
        <f>17+23+11</f>
        <v>51</v>
      </c>
      <c r="D37" s="66">
        <f t="shared" si="19"/>
        <v>167.8588235</v>
      </c>
      <c r="E37" s="67">
        <f t="shared" si="20"/>
        <v>0.03436657682</v>
      </c>
      <c r="F37" s="3">
        <v>4.0</v>
      </c>
      <c r="G37" s="3">
        <f>987+453+44</f>
        <v>1484</v>
      </c>
    </row>
    <row r="38">
      <c r="A38" s="65">
        <v>46082.0</v>
      </c>
      <c r="B38" s="66">
        <f>4123.15+3579.64</f>
        <v>7702.79</v>
      </c>
      <c r="C38" s="3">
        <f>23+18</f>
        <v>41</v>
      </c>
      <c r="D38" s="66">
        <f t="shared" si="19"/>
        <v>187.8729268</v>
      </c>
      <c r="E38" s="67">
        <f t="shared" si="20"/>
        <v>0.03410981697</v>
      </c>
      <c r="F38" s="3">
        <v>5.0</v>
      </c>
      <c r="G38" s="3">
        <f>995+207</f>
        <v>1202</v>
      </c>
    </row>
    <row r="39">
      <c r="A39" s="65">
        <v>46113.0</v>
      </c>
      <c r="B39" s="66">
        <f>4190.57+3014.76+777.3</f>
        <v>7982.63</v>
      </c>
      <c r="C39" s="9">
        <f>31+16</f>
        <v>47</v>
      </c>
      <c r="D39" s="66">
        <f t="shared" si="19"/>
        <v>169.8431915</v>
      </c>
      <c r="E39" s="67">
        <f t="shared" si="20"/>
        <v>0.03463522476</v>
      </c>
      <c r="F39" s="3">
        <v>3.0</v>
      </c>
      <c r="G39" s="3">
        <f>1131+140+86</f>
        <v>1357</v>
      </c>
    </row>
    <row r="40">
      <c r="A40" s="65">
        <v>46143.0</v>
      </c>
      <c r="B40" s="66">
        <f>4746.51+3837.48+5370.53</f>
        <v>13954.52</v>
      </c>
      <c r="C40" s="9">
        <f>17+20+3</f>
        <v>40</v>
      </c>
      <c r="D40" s="66">
        <f t="shared" si="19"/>
        <v>348.863</v>
      </c>
      <c r="E40" s="67">
        <f t="shared" si="20"/>
        <v>0.0150206534</v>
      </c>
      <c r="F40" s="3">
        <v>3.0</v>
      </c>
      <c r="G40" s="3">
        <f>710+174+1779</f>
        <v>2663</v>
      </c>
    </row>
    <row r="41">
      <c r="A41" s="65">
        <v>46174.0</v>
      </c>
      <c r="B41" s="66">
        <f>3397.26+2332.23</f>
        <v>5729.49</v>
      </c>
      <c r="C41" s="9">
        <f>9+7</f>
        <v>16</v>
      </c>
      <c r="D41" s="66">
        <f t="shared" si="19"/>
        <v>358.093125</v>
      </c>
      <c r="E41" s="67">
        <f t="shared" si="20"/>
        <v>0.005306799337</v>
      </c>
      <c r="F41" s="3">
        <v>4.0</v>
      </c>
      <c r="G41" s="3">
        <f>2826+189</f>
        <v>3015</v>
      </c>
    </row>
    <row r="42">
      <c r="A42" s="71" t="s">
        <v>89</v>
      </c>
      <c r="B42" s="72">
        <f t="shared" ref="B42:C42" si="21">SUM(B36:B41)</f>
        <v>53966.97</v>
      </c>
      <c r="C42" s="79">
        <f t="shared" si="21"/>
        <v>249</v>
      </c>
      <c r="D42" s="72">
        <f>B42/C42</f>
        <v>216.7348193</v>
      </c>
      <c r="E42" s="74">
        <f t="shared" si="20"/>
        <v>0.01977760127</v>
      </c>
      <c r="F42" s="81">
        <f t="shared" ref="F42:G42" si="22">SUM(F36:F41)</f>
        <v>25</v>
      </c>
      <c r="G42" s="9">
        <f t="shared" si="22"/>
        <v>12590</v>
      </c>
    </row>
    <row r="43">
      <c r="B43" s="66"/>
      <c r="D43" s="66"/>
    </row>
    <row r="44">
      <c r="B44" s="66"/>
      <c r="D44" s="66"/>
    </row>
    <row r="45">
      <c r="B45" s="66"/>
      <c r="D45" s="66"/>
    </row>
    <row r="46">
      <c r="B46" s="66"/>
      <c r="D46" s="66"/>
    </row>
    <row r="47">
      <c r="B47" s="66"/>
      <c r="D47" s="66"/>
    </row>
    <row r="48">
      <c r="B48" s="66"/>
      <c r="D48" s="66"/>
    </row>
    <row r="49">
      <c r="B49" s="66"/>
      <c r="D49" s="66"/>
    </row>
    <row r="50">
      <c r="B50" s="66"/>
      <c r="D50" s="66"/>
    </row>
    <row r="51">
      <c r="B51" s="66"/>
      <c r="D51" s="66"/>
    </row>
    <row r="52">
      <c r="B52" s="66"/>
      <c r="D52" s="66"/>
    </row>
    <row r="53">
      <c r="B53" s="66"/>
      <c r="D53" s="66"/>
    </row>
    <row r="54">
      <c r="B54" s="66"/>
      <c r="D54" s="66"/>
    </row>
    <row r="55">
      <c r="B55" s="66"/>
      <c r="D55" s="66"/>
    </row>
    <row r="56">
      <c r="B56" s="66"/>
      <c r="D56" s="66"/>
    </row>
    <row r="57">
      <c r="B57" s="66"/>
      <c r="D57" s="66"/>
    </row>
    <row r="58">
      <c r="B58" s="66"/>
      <c r="D58" s="66"/>
    </row>
    <row r="59">
      <c r="B59" s="66"/>
      <c r="D59" s="66"/>
    </row>
    <row r="60">
      <c r="B60" s="66"/>
      <c r="D60" s="66"/>
    </row>
    <row r="61">
      <c r="B61" s="66"/>
      <c r="D61" s="66"/>
    </row>
    <row r="62">
      <c r="B62" s="66"/>
      <c r="D62" s="66"/>
    </row>
    <row r="63">
      <c r="B63" s="66"/>
      <c r="D63" s="66"/>
    </row>
    <row r="64">
      <c r="B64" s="66"/>
      <c r="D64" s="66"/>
    </row>
    <row r="65">
      <c r="B65" s="66"/>
      <c r="D65" s="66"/>
    </row>
    <row r="66">
      <c r="B66" s="66"/>
      <c r="D66" s="66"/>
    </row>
    <row r="67">
      <c r="B67" s="66"/>
      <c r="D67" s="66"/>
    </row>
    <row r="68">
      <c r="B68" s="66"/>
      <c r="D68" s="66"/>
    </row>
    <row r="69">
      <c r="B69" s="66"/>
      <c r="D69" s="66"/>
    </row>
    <row r="70">
      <c r="B70" s="66"/>
      <c r="D70" s="66"/>
    </row>
    <row r="71">
      <c r="B71" s="66"/>
      <c r="D71" s="66"/>
    </row>
    <row r="72">
      <c r="B72" s="66"/>
      <c r="D72" s="66"/>
    </row>
    <row r="73">
      <c r="B73" s="66"/>
      <c r="D73" s="66"/>
    </row>
    <row r="74">
      <c r="B74" s="66"/>
      <c r="D74" s="66"/>
    </row>
    <row r="75">
      <c r="B75" s="66"/>
      <c r="D75" s="66"/>
    </row>
    <row r="76">
      <c r="B76" s="66"/>
      <c r="D76" s="66"/>
    </row>
    <row r="77">
      <c r="B77" s="66"/>
      <c r="D77" s="66"/>
    </row>
    <row r="78">
      <c r="B78" s="66"/>
      <c r="D78" s="66"/>
    </row>
    <row r="79">
      <c r="B79" s="66"/>
      <c r="D79" s="66"/>
    </row>
    <row r="80">
      <c r="B80" s="66"/>
      <c r="D80" s="66"/>
    </row>
    <row r="81">
      <c r="B81" s="66"/>
      <c r="D81" s="66"/>
    </row>
    <row r="82">
      <c r="B82" s="66"/>
      <c r="D82" s="66"/>
    </row>
    <row r="83">
      <c r="B83" s="66"/>
      <c r="D83" s="66"/>
    </row>
    <row r="84">
      <c r="B84" s="66"/>
      <c r="D84" s="66"/>
    </row>
    <row r="85">
      <c r="B85" s="66"/>
      <c r="D85" s="66"/>
    </row>
    <row r="86">
      <c r="B86" s="66"/>
      <c r="D86" s="66"/>
    </row>
    <row r="87">
      <c r="B87" s="66"/>
      <c r="D87" s="66"/>
    </row>
    <row r="88">
      <c r="B88" s="66"/>
      <c r="D88" s="66"/>
    </row>
    <row r="89">
      <c r="B89" s="66"/>
      <c r="D89" s="66"/>
    </row>
    <row r="90">
      <c r="B90" s="66"/>
      <c r="D90" s="66"/>
    </row>
    <row r="91">
      <c r="B91" s="66"/>
      <c r="D91" s="66"/>
    </row>
    <row r="92">
      <c r="B92" s="66"/>
      <c r="D92" s="66"/>
    </row>
    <row r="93">
      <c r="B93" s="66"/>
      <c r="D93" s="66"/>
    </row>
    <row r="94">
      <c r="B94" s="66"/>
      <c r="D94" s="66"/>
    </row>
    <row r="95">
      <c r="B95" s="66"/>
      <c r="D95" s="66"/>
    </row>
    <row r="96">
      <c r="B96" s="66"/>
      <c r="D96" s="66"/>
    </row>
    <row r="97">
      <c r="B97" s="66"/>
      <c r="D97" s="66"/>
    </row>
    <row r="98">
      <c r="B98" s="66"/>
      <c r="D98" s="66"/>
    </row>
    <row r="99">
      <c r="B99" s="66"/>
      <c r="D99" s="66"/>
    </row>
    <row r="100">
      <c r="B100" s="66"/>
      <c r="D100" s="66"/>
    </row>
    <row r="101">
      <c r="B101" s="66"/>
      <c r="D101" s="66"/>
    </row>
    <row r="102">
      <c r="B102" s="66"/>
      <c r="D102" s="66"/>
    </row>
    <row r="103">
      <c r="B103" s="66"/>
      <c r="D103" s="66"/>
    </row>
    <row r="104">
      <c r="B104" s="66"/>
      <c r="D104" s="66"/>
    </row>
    <row r="105">
      <c r="B105" s="66"/>
      <c r="D105" s="66"/>
    </row>
    <row r="106">
      <c r="B106" s="66"/>
      <c r="D106" s="66"/>
    </row>
    <row r="107">
      <c r="B107" s="66"/>
      <c r="D107" s="66"/>
    </row>
    <row r="108">
      <c r="B108" s="66"/>
      <c r="D108" s="66"/>
    </row>
    <row r="109">
      <c r="B109" s="66"/>
      <c r="D109" s="66"/>
    </row>
    <row r="110">
      <c r="B110" s="66"/>
      <c r="D110" s="66"/>
    </row>
    <row r="111">
      <c r="B111" s="66"/>
      <c r="D111" s="66"/>
    </row>
    <row r="112">
      <c r="B112" s="66"/>
      <c r="D112" s="66"/>
    </row>
    <row r="113">
      <c r="B113" s="66"/>
      <c r="D113" s="66"/>
    </row>
    <row r="114">
      <c r="B114" s="66"/>
      <c r="D114" s="66"/>
    </row>
    <row r="115">
      <c r="B115" s="66"/>
      <c r="D115" s="66"/>
    </row>
    <row r="116">
      <c r="B116" s="66"/>
      <c r="D116" s="66"/>
    </row>
    <row r="117">
      <c r="B117" s="66"/>
      <c r="D117" s="66"/>
    </row>
    <row r="118">
      <c r="B118" s="66"/>
      <c r="D118" s="66"/>
    </row>
    <row r="119">
      <c r="B119" s="66"/>
      <c r="D119" s="66"/>
    </row>
    <row r="120">
      <c r="B120" s="66"/>
      <c r="D120" s="66"/>
    </row>
    <row r="121">
      <c r="B121" s="66"/>
      <c r="D121" s="66"/>
    </row>
    <row r="122">
      <c r="B122" s="66"/>
      <c r="D122" s="66"/>
    </row>
    <row r="123">
      <c r="B123" s="66"/>
      <c r="D123" s="66"/>
    </row>
    <row r="124">
      <c r="B124" s="66"/>
      <c r="D124" s="66"/>
    </row>
    <row r="125">
      <c r="B125" s="66"/>
      <c r="D125" s="66"/>
    </row>
    <row r="126">
      <c r="B126" s="66"/>
      <c r="D126" s="66"/>
    </row>
    <row r="127">
      <c r="B127" s="66"/>
      <c r="D127" s="66"/>
    </row>
    <row r="128">
      <c r="B128" s="66"/>
      <c r="D128" s="66"/>
    </row>
    <row r="129">
      <c r="B129" s="66"/>
      <c r="D129" s="66"/>
    </row>
    <row r="130">
      <c r="B130" s="66"/>
      <c r="D130" s="66"/>
    </row>
    <row r="131">
      <c r="B131" s="66"/>
      <c r="D131" s="66"/>
    </row>
    <row r="132">
      <c r="B132" s="66"/>
      <c r="D132" s="66"/>
    </row>
    <row r="133">
      <c r="B133" s="66"/>
      <c r="D133" s="66"/>
    </row>
    <row r="134">
      <c r="B134" s="66"/>
      <c r="D134" s="66"/>
    </row>
    <row r="135">
      <c r="B135" s="66"/>
      <c r="D135" s="66"/>
    </row>
    <row r="136">
      <c r="B136" s="66"/>
      <c r="D136" s="66"/>
    </row>
    <row r="137">
      <c r="B137" s="66"/>
      <c r="D137" s="66"/>
    </row>
    <row r="138">
      <c r="B138" s="66"/>
      <c r="D138" s="66"/>
    </row>
    <row r="139">
      <c r="B139" s="66"/>
      <c r="D139" s="66"/>
    </row>
    <row r="140">
      <c r="B140" s="66"/>
      <c r="D140" s="66"/>
    </row>
    <row r="141">
      <c r="B141" s="66"/>
      <c r="D141" s="66"/>
    </row>
    <row r="142">
      <c r="B142" s="66"/>
      <c r="D142" s="66"/>
    </row>
    <row r="143">
      <c r="B143" s="66"/>
      <c r="D143" s="66"/>
    </row>
    <row r="144">
      <c r="B144" s="66"/>
      <c r="D144" s="66"/>
    </row>
    <row r="145">
      <c r="B145" s="66"/>
      <c r="D145" s="66"/>
    </row>
    <row r="146">
      <c r="B146" s="66"/>
      <c r="D146" s="66"/>
    </row>
    <row r="147">
      <c r="B147" s="66"/>
      <c r="D147" s="66"/>
    </row>
    <row r="148">
      <c r="B148" s="66"/>
      <c r="D148" s="66"/>
    </row>
    <row r="149">
      <c r="B149" s="66"/>
      <c r="D149" s="66"/>
    </row>
    <row r="150">
      <c r="B150" s="66"/>
      <c r="D150" s="66"/>
    </row>
    <row r="151">
      <c r="B151" s="66"/>
      <c r="D151" s="66"/>
    </row>
    <row r="152">
      <c r="B152" s="66"/>
      <c r="D152" s="66"/>
    </row>
    <row r="153">
      <c r="B153" s="66"/>
      <c r="D153" s="66"/>
    </row>
    <row r="154">
      <c r="B154" s="66"/>
      <c r="D154" s="66"/>
    </row>
    <row r="155">
      <c r="B155" s="66"/>
      <c r="D155" s="66"/>
    </row>
    <row r="156">
      <c r="B156" s="66"/>
      <c r="D156" s="66"/>
    </row>
    <row r="157">
      <c r="B157" s="66"/>
      <c r="D157" s="66"/>
    </row>
    <row r="158">
      <c r="B158" s="66"/>
      <c r="D158" s="66"/>
    </row>
    <row r="159">
      <c r="B159" s="66"/>
      <c r="D159" s="66"/>
    </row>
    <row r="160">
      <c r="B160" s="66"/>
      <c r="D160" s="66"/>
    </row>
    <row r="161">
      <c r="B161" s="66"/>
      <c r="D161" s="66"/>
    </row>
    <row r="162">
      <c r="B162" s="66"/>
      <c r="D162" s="66"/>
    </row>
    <row r="163">
      <c r="B163" s="66"/>
      <c r="D163" s="66"/>
    </row>
    <row r="164">
      <c r="B164" s="66"/>
      <c r="D164" s="66"/>
    </row>
    <row r="165">
      <c r="B165" s="66"/>
      <c r="D165" s="66"/>
    </row>
    <row r="166">
      <c r="B166" s="66"/>
      <c r="D166" s="66"/>
    </row>
    <row r="167">
      <c r="B167" s="66"/>
      <c r="D167" s="66"/>
    </row>
    <row r="168">
      <c r="B168" s="66"/>
      <c r="D168" s="66"/>
    </row>
    <row r="169">
      <c r="B169" s="66"/>
      <c r="D169" s="66"/>
    </row>
    <row r="170">
      <c r="B170" s="66"/>
      <c r="D170" s="66"/>
    </row>
    <row r="171">
      <c r="B171" s="66"/>
      <c r="D171" s="66"/>
    </row>
    <row r="172">
      <c r="B172" s="66"/>
      <c r="D172" s="66"/>
    </row>
    <row r="173">
      <c r="B173" s="66"/>
      <c r="D173" s="66"/>
    </row>
    <row r="174">
      <c r="B174" s="66"/>
      <c r="D174" s="66"/>
    </row>
    <row r="175">
      <c r="B175" s="66"/>
      <c r="D175" s="66"/>
    </row>
    <row r="176">
      <c r="B176" s="66"/>
      <c r="D176" s="66"/>
    </row>
    <row r="177">
      <c r="B177" s="66"/>
      <c r="D177" s="66"/>
    </row>
    <row r="178">
      <c r="B178" s="66"/>
      <c r="D178" s="66"/>
    </row>
    <row r="179">
      <c r="B179" s="66"/>
      <c r="D179" s="66"/>
    </row>
    <row r="180">
      <c r="B180" s="66"/>
      <c r="D180" s="66"/>
    </row>
    <row r="181">
      <c r="B181" s="66"/>
      <c r="D181" s="66"/>
    </row>
    <row r="182">
      <c r="B182" s="66"/>
      <c r="D182" s="66"/>
    </row>
    <row r="183">
      <c r="B183" s="66"/>
      <c r="D183" s="66"/>
    </row>
    <row r="184">
      <c r="B184" s="66"/>
      <c r="D184" s="66"/>
    </row>
    <row r="185">
      <c r="B185" s="66"/>
      <c r="D185" s="66"/>
    </row>
    <row r="186">
      <c r="B186" s="66"/>
      <c r="D186" s="66"/>
    </row>
    <row r="187">
      <c r="B187" s="66"/>
      <c r="D187" s="66"/>
    </row>
    <row r="188">
      <c r="B188" s="66"/>
      <c r="D188" s="66"/>
    </row>
    <row r="189">
      <c r="B189" s="66"/>
      <c r="D189" s="66"/>
    </row>
    <row r="190">
      <c r="B190" s="66"/>
      <c r="D190" s="66"/>
    </row>
    <row r="191">
      <c r="B191" s="66"/>
      <c r="D191" s="66"/>
    </row>
    <row r="192">
      <c r="B192" s="66"/>
      <c r="D192" s="66"/>
    </row>
    <row r="193">
      <c r="B193" s="66"/>
      <c r="D193" s="66"/>
    </row>
    <row r="194">
      <c r="B194" s="66"/>
      <c r="D194" s="66"/>
    </row>
    <row r="195">
      <c r="B195" s="66"/>
      <c r="D195" s="66"/>
    </row>
    <row r="196">
      <c r="B196" s="66"/>
      <c r="D196" s="66"/>
    </row>
    <row r="197">
      <c r="B197" s="66"/>
      <c r="D197" s="66"/>
    </row>
    <row r="198">
      <c r="B198" s="66"/>
      <c r="D198" s="66"/>
    </row>
    <row r="199">
      <c r="B199" s="66"/>
      <c r="D199" s="66"/>
    </row>
    <row r="200">
      <c r="B200" s="66"/>
      <c r="D200" s="66"/>
    </row>
    <row r="201">
      <c r="B201" s="66"/>
      <c r="D201" s="66"/>
    </row>
    <row r="202">
      <c r="B202" s="66"/>
      <c r="D202" s="66"/>
    </row>
    <row r="203">
      <c r="B203" s="66"/>
      <c r="D203" s="66"/>
    </row>
    <row r="204">
      <c r="B204" s="66"/>
      <c r="D204" s="66"/>
    </row>
    <row r="205">
      <c r="B205" s="66"/>
      <c r="D205" s="66"/>
    </row>
    <row r="206">
      <c r="B206" s="66"/>
      <c r="D206" s="66"/>
    </row>
    <row r="207">
      <c r="B207" s="66"/>
      <c r="D207" s="66"/>
    </row>
    <row r="208">
      <c r="B208" s="66"/>
      <c r="D208" s="66"/>
    </row>
    <row r="209">
      <c r="B209" s="66"/>
      <c r="D209" s="66"/>
    </row>
    <row r="210">
      <c r="B210" s="66"/>
      <c r="D210" s="66"/>
    </row>
    <row r="211">
      <c r="B211" s="66"/>
      <c r="D211" s="66"/>
    </row>
    <row r="212">
      <c r="B212" s="66"/>
      <c r="D212" s="66"/>
    </row>
    <row r="213">
      <c r="B213" s="66"/>
      <c r="D213" s="66"/>
    </row>
    <row r="214">
      <c r="B214" s="66"/>
      <c r="D214" s="66"/>
    </row>
    <row r="215">
      <c r="B215" s="66"/>
      <c r="D215" s="66"/>
    </row>
    <row r="216">
      <c r="B216" s="66"/>
      <c r="D216" s="66"/>
    </row>
    <row r="217">
      <c r="B217" s="66"/>
      <c r="D217" s="66"/>
    </row>
    <row r="218">
      <c r="B218" s="66"/>
      <c r="D218" s="66"/>
    </row>
    <row r="219">
      <c r="B219" s="66"/>
      <c r="D219" s="66"/>
    </row>
    <row r="220">
      <c r="B220" s="66"/>
      <c r="D220" s="66"/>
    </row>
    <row r="221">
      <c r="B221" s="66"/>
      <c r="D221" s="66"/>
    </row>
    <row r="222">
      <c r="B222" s="66"/>
      <c r="D222" s="66"/>
    </row>
    <row r="223">
      <c r="B223" s="66"/>
      <c r="D223" s="66"/>
    </row>
    <row r="224">
      <c r="B224" s="66"/>
      <c r="D224" s="66"/>
    </row>
    <row r="225">
      <c r="B225" s="66"/>
      <c r="D225" s="66"/>
    </row>
    <row r="226">
      <c r="B226" s="66"/>
      <c r="D226" s="66"/>
    </row>
    <row r="227">
      <c r="B227" s="66"/>
      <c r="D227" s="66"/>
    </row>
    <row r="228">
      <c r="B228" s="66"/>
      <c r="D228" s="66"/>
    </row>
    <row r="229">
      <c r="B229" s="66"/>
      <c r="D229" s="66"/>
    </row>
    <row r="230">
      <c r="B230" s="66"/>
      <c r="D230" s="66"/>
    </row>
    <row r="231">
      <c r="B231" s="66"/>
      <c r="D231" s="66"/>
    </row>
    <row r="232">
      <c r="B232" s="66"/>
      <c r="D232" s="66"/>
    </row>
    <row r="233">
      <c r="B233" s="66"/>
      <c r="D233" s="66"/>
    </row>
    <row r="234">
      <c r="B234" s="66"/>
      <c r="D234" s="66"/>
    </row>
    <row r="235">
      <c r="B235" s="66"/>
      <c r="D235" s="66"/>
    </row>
    <row r="236">
      <c r="B236" s="66"/>
      <c r="D236" s="66"/>
    </row>
    <row r="237">
      <c r="B237" s="66"/>
      <c r="D237" s="66"/>
    </row>
    <row r="238">
      <c r="B238" s="66"/>
      <c r="D238" s="66"/>
    </row>
    <row r="239">
      <c r="B239" s="66"/>
      <c r="D239" s="66"/>
    </row>
    <row r="240">
      <c r="B240" s="66"/>
      <c r="D240" s="66"/>
    </row>
    <row r="241">
      <c r="B241" s="66"/>
      <c r="D241" s="66"/>
    </row>
    <row r="242">
      <c r="B242" s="66"/>
      <c r="D242" s="66"/>
    </row>
    <row r="243">
      <c r="B243" s="66"/>
      <c r="D243" s="66"/>
    </row>
    <row r="244">
      <c r="B244" s="66"/>
      <c r="D244" s="66"/>
    </row>
    <row r="245">
      <c r="B245" s="66"/>
      <c r="D245" s="66"/>
    </row>
    <row r="246">
      <c r="B246" s="66"/>
      <c r="D246" s="66"/>
    </row>
    <row r="247">
      <c r="B247" s="66"/>
      <c r="D247" s="66"/>
    </row>
    <row r="248">
      <c r="B248" s="66"/>
      <c r="D248" s="66"/>
    </row>
    <row r="249">
      <c r="B249" s="66"/>
      <c r="D249" s="66"/>
    </row>
    <row r="250">
      <c r="B250" s="66"/>
      <c r="D250" s="66"/>
    </row>
    <row r="251">
      <c r="B251" s="66"/>
      <c r="D251" s="66"/>
    </row>
    <row r="252">
      <c r="B252" s="66"/>
      <c r="D252" s="66"/>
    </row>
    <row r="253">
      <c r="B253" s="66"/>
      <c r="D253" s="66"/>
    </row>
    <row r="254">
      <c r="B254" s="66"/>
      <c r="D254" s="66"/>
    </row>
    <row r="255">
      <c r="B255" s="66"/>
      <c r="D255" s="66"/>
    </row>
    <row r="256">
      <c r="B256" s="66"/>
      <c r="D256" s="66"/>
    </row>
    <row r="257">
      <c r="B257" s="66"/>
      <c r="D257" s="66"/>
    </row>
    <row r="258">
      <c r="B258" s="66"/>
      <c r="D258" s="66"/>
    </row>
    <row r="259">
      <c r="B259" s="66"/>
      <c r="D259" s="66"/>
    </row>
    <row r="260">
      <c r="B260" s="66"/>
      <c r="D260" s="66"/>
    </row>
    <row r="261">
      <c r="B261" s="66"/>
      <c r="D261" s="66"/>
    </row>
    <row r="262">
      <c r="B262" s="66"/>
      <c r="D262" s="66"/>
    </row>
    <row r="263">
      <c r="B263" s="66"/>
      <c r="D263" s="66"/>
    </row>
    <row r="264">
      <c r="B264" s="66"/>
      <c r="D264" s="66"/>
    </row>
    <row r="265">
      <c r="B265" s="66"/>
      <c r="D265" s="66"/>
    </row>
    <row r="266">
      <c r="B266" s="66"/>
      <c r="D266" s="66"/>
    </row>
    <row r="267">
      <c r="B267" s="66"/>
      <c r="D267" s="66"/>
    </row>
    <row r="268">
      <c r="B268" s="66"/>
      <c r="D268" s="66"/>
    </row>
    <row r="269">
      <c r="B269" s="66"/>
      <c r="D269" s="66"/>
    </row>
    <row r="270">
      <c r="B270" s="66"/>
      <c r="D270" s="66"/>
    </row>
    <row r="271">
      <c r="B271" s="66"/>
      <c r="D271" s="66"/>
    </row>
    <row r="272">
      <c r="B272" s="66"/>
      <c r="D272" s="66"/>
    </row>
    <row r="273">
      <c r="B273" s="66"/>
      <c r="D273" s="66"/>
    </row>
    <row r="274">
      <c r="B274" s="66"/>
      <c r="D274" s="66"/>
    </row>
    <row r="275">
      <c r="B275" s="66"/>
      <c r="D275" s="66"/>
    </row>
    <row r="276">
      <c r="B276" s="66"/>
      <c r="D276" s="66"/>
    </row>
    <row r="277">
      <c r="B277" s="66"/>
      <c r="D277" s="66"/>
    </row>
    <row r="278">
      <c r="B278" s="66"/>
      <c r="D278" s="66"/>
    </row>
    <row r="279">
      <c r="B279" s="66"/>
      <c r="D279" s="66"/>
    </row>
    <row r="280">
      <c r="B280" s="66"/>
      <c r="D280" s="66"/>
    </row>
    <row r="281">
      <c r="B281" s="66"/>
      <c r="D281" s="66"/>
    </row>
    <row r="282">
      <c r="B282" s="66"/>
      <c r="D282" s="66"/>
    </row>
    <row r="283">
      <c r="B283" s="66"/>
      <c r="D283" s="66"/>
    </row>
    <row r="284">
      <c r="B284" s="66"/>
      <c r="D284" s="66"/>
    </row>
    <row r="285">
      <c r="B285" s="66"/>
      <c r="D285" s="66"/>
    </row>
    <row r="286">
      <c r="B286" s="66"/>
      <c r="D286" s="66"/>
    </row>
    <row r="287">
      <c r="B287" s="66"/>
      <c r="D287" s="66"/>
    </row>
    <row r="288">
      <c r="B288" s="66"/>
      <c r="D288" s="66"/>
    </row>
    <row r="289">
      <c r="B289" s="66"/>
      <c r="D289" s="66"/>
    </row>
    <row r="290">
      <c r="B290" s="66"/>
      <c r="D290" s="66"/>
    </row>
    <row r="291">
      <c r="B291" s="66"/>
      <c r="D291" s="66"/>
    </row>
    <row r="292">
      <c r="B292" s="66"/>
      <c r="D292" s="66"/>
    </row>
    <row r="293">
      <c r="B293" s="66"/>
      <c r="D293" s="66"/>
    </row>
    <row r="294">
      <c r="B294" s="66"/>
      <c r="D294" s="66"/>
    </row>
    <row r="295">
      <c r="B295" s="66"/>
      <c r="D295" s="66"/>
    </row>
    <row r="296">
      <c r="B296" s="66"/>
      <c r="D296" s="66"/>
    </row>
    <row r="297">
      <c r="B297" s="66"/>
      <c r="D297" s="66"/>
    </row>
    <row r="298">
      <c r="B298" s="66"/>
      <c r="D298" s="66"/>
    </row>
    <row r="299">
      <c r="B299" s="66"/>
      <c r="D299" s="66"/>
    </row>
    <row r="300">
      <c r="B300" s="66"/>
      <c r="D300" s="66"/>
    </row>
    <row r="301">
      <c r="B301" s="66"/>
      <c r="D301" s="66"/>
    </row>
    <row r="302">
      <c r="B302" s="66"/>
      <c r="D302" s="66"/>
    </row>
    <row r="303">
      <c r="B303" s="66"/>
      <c r="D303" s="66"/>
    </row>
    <row r="304">
      <c r="B304" s="66"/>
      <c r="D304" s="66"/>
    </row>
    <row r="305">
      <c r="B305" s="66"/>
      <c r="D305" s="66"/>
    </row>
    <row r="306">
      <c r="B306" s="66"/>
      <c r="D306" s="66"/>
    </row>
    <row r="307">
      <c r="B307" s="66"/>
      <c r="D307" s="66"/>
    </row>
    <row r="308">
      <c r="B308" s="66"/>
      <c r="D308" s="66"/>
    </row>
    <row r="309">
      <c r="B309" s="66"/>
      <c r="D309" s="66"/>
    </row>
    <row r="310">
      <c r="B310" s="66"/>
      <c r="D310" s="66"/>
    </row>
    <row r="311">
      <c r="B311" s="66"/>
      <c r="D311" s="66"/>
    </row>
    <row r="312">
      <c r="B312" s="66"/>
      <c r="D312" s="66"/>
    </row>
    <row r="313">
      <c r="B313" s="66"/>
      <c r="D313" s="66"/>
    </row>
    <row r="314">
      <c r="B314" s="66"/>
      <c r="D314" s="66"/>
    </row>
    <row r="315">
      <c r="B315" s="66"/>
      <c r="D315" s="66"/>
    </row>
    <row r="316">
      <c r="B316" s="66"/>
      <c r="D316" s="66"/>
    </row>
    <row r="317">
      <c r="B317" s="66"/>
      <c r="D317" s="66"/>
    </row>
    <row r="318">
      <c r="B318" s="66"/>
      <c r="D318" s="66"/>
    </row>
    <row r="319">
      <c r="B319" s="66"/>
      <c r="D319" s="66"/>
    </row>
    <row r="320">
      <c r="B320" s="66"/>
      <c r="D320" s="66"/>
    </row>
    <row r="321">
      <c r="B321" s="66"/>
      <c r="D321" s="66"/>
    </row>
    <row r="322">
      <c r="B322" s="66"/>
      <c r="D322" s="66"/>
    </row>
    <row r="323">
      <c r="B323" s="66"/>
      <c r="D323" s="66"/>
    </row>
    <row r="324">
      <c r="B324" s="66"/>
      <c r="D324" s="66"/>
    </row>
    <row r="325">
      <c r="B325" s="66"/>
      <c r="D325" s="66"/>
    </row>
    <row r="326">
      <c r="B326" s="66"/>
      <c r="D326" s="66"/>
    </row>
    <row r="327">
      <c r="B327" s="66"/>
      <c r="D327" s="66"/>
    </row>
    <row r="328">
      <c r="B328" s="66"/>
      <c r="D328" s="66"/>
    </row>
    <row r="329">
      <c r="B329" s="66"/>
      <c r="D329" s="66"/>
    </row>
    <row r="330">
      <c r="B330" s="66"/>
      <c r="D330" s="66"/>
    </row>
    <row r="331">
      <c r="B331" s="66"/>
      <c r="D331" s="66"/>
    </row>
    <row r="332">
      <c r="B332" s="66"/>
      <c r="D332" s="66"/>
    </row>
    <row r="333">
      <c r="B333" s="66"/>
      <c r="D333" s="66"/>
    </row>
    <row r="334">
      <c r="B334" s="66"/>
      <c r="D334" s="66"/>
    </row>
    <row r="335">
      <c r="B335" s="66"/>
      <c r="D335" s="66"/>
    </row>
    <row r="336">
      <c r="B336" s="66"/>
      <c r="D336" s="66"/>
    </row>
    <row r="337">
      <c r="B337" s="66"/>
      <c r="D337" s="66"/>
    </row>
    <row r="338">
      <c r="B338" s="66"/>
      <c r="D338" s="66"/>
    </row>
    <row r="339">
      <c r="B339" s="66"/>
      <c r="D339" s="66"/>
    </row>
    <row r="340">
      <c r="B340" s="66"/>
      <c r="D340" s="66"/>
    </row>
    <row r="341">
      <c r="B341" s="66"/>
      <c r="D341" s="66"/>
    </row>
    <row r="342">
      <c r="B342" s="66"/>
      <c r="D342" s="66"/>
    </row>
    <row r="343">
      <c r="B343" s="66"/>
      <c r="D343" s="66"/>
    </row>
    <row r="344">
      <c r="B344" s="66"/>
      <c r="D344" s="66"/>
    </row>
    <row r="345">
      <c r="B345" s="66"/>
      <c r="D345" s="66"/>
    </row>
    <row r="346">
      <c r="B346" s="66"/>
      <c r="D346" s="66"/>
    </row>
    <row r="347">
      <c r="B347" s="66"/>
      <c r="D347" s="66"/>
    </row>
    <row r="348">
      <c r="B348" s="66"/>
      <c r="D348" s="66"/>
    </row>
    <row r="349">
      <c r="B349" s="66"/>
      <c r="D349" s="66"/>
    </row>
    <row r="350">
      <c r="B350" s="66"/>
      <c r="D350" s="66"/>
    </row>
    <row r="351">
      <c r="B351" s="66"/>
      <c r="D351" s="66"/>
    </row>
    <row r="352">
      <c r="B352" s="66"/>
      <c r="D352" s="66"/>
    </row>
    <row r="353">
      <c r="B353" s="66"/>
      <c r="D353" s="66"/>
    </row>
    <row r="354">
      <c r="B354" s="66"/>
      <c r="D354" s="66"/>
    </row>
    <row r="355">
      <c r="B355" s="66"/>
      <c r="D355" s="66"/>
    </row>
    <row r="356">
      <c r="B356" s="66"/>
      <c r="D356" s="66"/>
    </row>
    <row r="357">
      <c r="B357" s="66"/>
      <c r="D357" s="66"/>
    </row>
    <row r="358">
      <c r="B358" s="66"/>
      <c r="D358" s="66"/>
    </row>
    <row r="359">
      <c r="B359" s="66"/>
      <c r="D359" s="66"/>
    </row>
    <row r="360">
      <c r="B360" s="66"/>
      <c r="D360" s="66"/>
    </row>
    <row r="361">
      <c r="B361" s="66"/>
      <c r="D361" s="66"/>
    </row>
    <row r="362">
      <c r="B362" s="66"/>
      <c r="D362" s="66"/>
    </row>
    <row r="363">
      <c r="B363" s="66"/>
      <c r="D363" s="66"/>
    </row>
    <row r="364">
      <c r="B364" s="66"/>
      <c r="D364" s="66"/>
    </row>
    <row r="365">
      <c r="B365" s="66"/>
      <c r="D365" s="66"/>
    </row>
    <row r="366">
      <c r="B366" s="66"/>
      <c r="D366" s="66"/>
    </row>
    <row r="367">
      <c r="B367" s="66"/>
      <c r="D367" s="66"/>
    </row>
    <row r="368">
      <c r="B368" s="66"/>
      <c r="D368" s="66"/>
    </row>
    <row r="369">
      <c r="B369" s="66"/>
      <c r="D369" s="66"/>
    </row>
    <row r="370">
      <c r="B370" s="66"/>
      <c r="D370" s="66"/>
    </row>
    <row r="371">
      <c r="B371" s="66"/>
      <c r="D371" s="66"/>
    </row>
    <row r="372">
      <c r="B372" s="66"/>
      <c r="D372" s="66"/>
    </row>
    <row r="373">
      <c r="B373" s="66"/>
      <c r="D373" s="66"/>
    </row>
    <row r="374">
      <c r="B374" s="66"/>
      <c r="D374" s="66"/>
    </row>
    <row r="375">
      <c r="B375" s="66"/>
      <c r="D375" s="66"/>
    </row>
    <row r="376">
      <c r="B376" s="66"/>
      <c r="D376" s="66"/>
    </row>
    <row r="377">
      <c r="B377" s="66"/>
      <c r="D377" s="66"/>
    </row>
    <row r="378">
      <c r="B378" s="66"/>
      <c r="D378" s="66"/>
    </row>
    <row r="379">
      <c r="B379" s="66"/>
      <c r="D379" s="66"/>
    </row>
    <row r="380">
      <c r="B380" s="66"/>
      <c r="D380" s="66"/>
    </row>
    <row r="381">
      <c r="B381" s="66"/>
      <c r="D381" s="66"/>
    </row>
    <row r="382">
      <c r="B382" s="66"/>
      <c r="D382" s="66"/>
    </row>
    <row r="383">
      <c r="B383" s="66"/>
      <c r="D383" s="66"/>
    </row>
    <row r="384">
      <c r="B384" s="66"/>
      <c r="D384" s="66"/>
    </row>
    <row r="385">
      <c r="B385" s="66"/>
      <c r="D385" s="66"/>
    </row>
    <row r="386">
      <c r="B386" s="66"/>
      <c r="D386" s="66"/>
    </row>
    <row r="387">
      <c r="B387" s="66"/>
      <c r="D387" s="66"/>
    </row>
    <row r="388">
      <c r="B388" s="66"/>
      <c r="D388" s="66"/>
    </row>
    <row r="389">
      <c r="B389" s="66"/>
      <c r="D389" s="66"/>
    </row>
    <row r="390">
      <c r="B390" s="66"/>
      <c r="D390" s="66"/>
    </row>
    <row r="391">
      <c r="B391" s="66"/>
      <c r="D391" s="66"/>
    </row>
    <row r="392">
      <c r="B392" s="66"/>
      <c r="D392" s="66"/>
    </row>
    <row r="393">
      <c r="B393" s="66"/>
      <c r="D393" s="66"/>
    </row>
    <row r="394">
      <c r="B394" s="66"/>
      <c r="D394" s="66"/>
    </row>
    <row r="395">
      <c r="B395" s="66"/>
      <c r="D395" s="66"/>
    </row>
    <row r="396">
      <c r="B396" s="66"/>
      <c r="D396" s="66"/>
    </row>
    <row r="397">
      <c r="B397" s="66"/>
      <c r="D397" s="66"/>
    </row>
    <row r="398">
      <c r="B398" s="66"/>
      <c r="D398" s="66"/>
    </row>
    <row r="399">
      <c r="B399" s="66"/>
      <c r="D399" s="66"/>
    </row>
    <row r="400">
      <c r="B400" s="66"/>
      <c r="D400" s="66"/>
    </row>
    <row r="401">
      <c r="B401" s="66"/>
      <c r="D401" s="66"/>
    </row>
    <row r="402">
      <c r="B402" s="66"/>
      <c r="D402" s="66"/>
    </row>
    <row r="403">
      <c r="B403" s="66"/>
      <c r="D403" s="66"/>
    </row>
    <row r="404">
      <c r="B404" s="66"/>
      <c r="D404" s="66"/>
    </row>
    <row r="405">
      <c r="B405" s="66"/>
      <c r="D405" s="66"/>
    </row>
    <row r="406">
      <c r="B406" s="66"/>
      <c r="D406" s="66"/>
    </row>
    <row r="407">
      <c r="B407" s="66"/>
      <c r="D407" s="66"/>
    </row>
    <row r="408">
      <c r="B408" s="66"/>
      <c r="D408" s="66"/>
    </row>
    <row r="409">
      <c r="B409" s="66"/>
      <c r="D409" s="66"/>
    </row>
    <row r="410">
      <c r="B410" s="66"/>
      <c r="D410" s="66"/>
    </row>
    <row r="411">
      <c r="B411" s="66"/>
      <c r="D411" s="66"/>
    </row>
    <row r="412">
      <c r="B412" s="66"/>
      <c r="D412" s="66"/>
    </row>
    <row r="413">
      <c r="B413" s="66"/>
      <c r="D413" s="66"/>
    </row>
    <row r="414">
      <c r="B414" s="66"/>
      <c r="D414" s="66"/>
    </row>
    <row r="415">
      <c r="B415" s="66"/>
      <c r="D415" s="66"/>
    </row>
    <row r="416">
      <c r="B416" s="66"/>
      <c r="D416" s="66"/>
    </row>
    <row r="417">
      <c r="B417" s="66"/>
      <c r="D417" s="66"/>
    </row>
    <row r="418">
      <c r="B418" s="66"/>
      <c r="D418" s="66"/>
    </row>
    <row r="419">
      <c r="B419" s="66"/>
      <c r="D419" s="66"/>
    </row>
    <row r="420">
      <c r="B420" s="66"/>
      <c r="D420" s="66"/>
    </row>
    <row r="421">
      <c r="B421" s="66"/>
      <c r="D421" s="66"/>
    </row>
    <row r="422">
      <c r="B422" s="66"/>
      <c r="D422" s="66"/>
    </row>
    <row r="423">
      <c r="B423" s="66"/>
      <c r="D423" s="66"/>
    </row>
    <row r="424">
      <c r="B424" s="66"/>
      <c r="D424" s="66"/>
    </row>
    <row r="425">
      <c r="B425" s="66"/>
      <c r="D425" s="66"/>
    </row>
    <row r="426">
      <c r="B426" s="66"/>
      <c r="D426" s="66"/>
    </row>
    <row r="427">
      <c r="B427" s="66"/>
      <c r="D427" s="66"/>
    </row>
    <row r="428">
      <c r="B428" s="66"/>
      <c r="D428" s="66"/>
    </row>
    <row r="429">
      <c r="B429" s="66"/>
      <c r="D429" s="66"/>
    </row>
    <row r="430">
      <c r="B430" s="66"/>
      <c r="D430" s="66"/>
    </row>
    <row r="431">
      <c r="B431" s="66"/>
      <c r="D431" s="66"/>
    </row>
    <row r="432">
      <c r="B432" s="66"/>
      <c r="D432" s="66"/>
    </row>
    <row r="433">
      <c r="B433" s="66"/>
      <c r="D433" s="66"/>
    </row>
    <row r="434">
      <c r="B434" s="66"/>
      <c r="D434" s="66"/>
    </row>
    <row r="435">
      <c r="B435" s="66"/>
      <c r="D435" s="66"/>
    </row>
    <row r="436">
      <c r="B436" s="66"/>
      <c r="D436" s="66"/>
    </row>
    <row r="437">
      <c r="B437" s="66"/>
      <c r="D437" s="66"/>
    </row>
    <row r="438">
      <c r="B438" s="66"/>
      <c r="D438" s="66"/>
    </row>
    <row r="439">
      <c r="B439" s="66"/>
      <c r="D439" s="66"/>
    </row>
    <row r="440">
      <c r="B440" s="66"/>
      <c r="D440" s="66"/>
    </row>
    <row r="441">
      <c r="B441" s="66"/>
      <c r="D441" s="66"/>
    </row>
    <row r="442">
      <c r="B442" s="66"/>
      <c r="D442" s="66"/>
    </row>
    <row r="443">
      <c r="B443" s="66"/>
      <c r="D443" s="66"/>
    </row>
    <row r="444">
      <c r="B444" s="66"/>
      <c r="D444" s="66"/>
    </row>
    <row r="445">
      <c r="B445" s="66"/>
      <c r="D445" s="66"/>
    </row>
    <row r="446">
      <c r="B446" s="66"/>
      <c r="D446" s="66"/>
    </row>
    <row r="447">
      <c r="B447" s="66"/>
      <c r="D447" s="66"/>
    </row>
    <row r="448">
      <c r="B448" s="66"/>
      <c r="D448" s="66"/>
    </row>
    <row r="449">
      <c r="B449" s="66"/>
      <c r="D449" s="66"/>
    </row>
    <row r="450">
      <c r="B450" s="66"/>
      <c r="D450" s="66"/>
    </row>
    <row r="451">
      <c r="B451" s="66"/>
      <c r="D451" s="66"/>
    </row>
    <row r="452">
      <c r="B452" s="66"/>
      <c r="D452" s="66"/>
    </row>
    <row r="453">
      <c r="B453" s="66"/>
      <c r="D453" s="66"/>
    </row>
    <row r="454">
      <c r="B454" s="66"/>
      <c r="D454" s="66"/>
    </row>
    <row r="455">
      <c r="B455" s="66"/>
      <c r="D455" s="66"/>
    </row>
    <row r="456">
      <c r="B456" s="66"/>
      <c r="D456" s="66"/>
    </row>
    <row r="457">
      <c r="B457" s="66"/>
      <c r="D457" s="66"/>
    </row>
    <row r="458">
      <c r="B458" s="66"/>
      <c r="D458" s="66"/>
    </row>
    <row r="459">
      <c r="B459" s="66"/>
      <c r="D459" s="66"/>
    </row>
    <row r="460">
      <c r="B460" s="66"/>
      <c r="D460" s="66"/>
    </row>
    <row r="461">
      <c r="B461" s="66"/>
      <c r="D461" s="66"/>
    </row>
    <row r="462">
      <c r="B462" s="66"/>
      <c r="D462" s="66"/>
    </row>
    <row r="463">
      <c r="B463" s="66"/>
      <c r="D463" s="66"/>
    </row>
    <row r="464">
      <c r="B464" s="66"/>
      <c r="D464" s="66"/>
    </row>
    <row r="465">
      <c r="B465" s="66"/>
      <c r="D465" s="66"/>
    </row>
    <row r="466">
      <c r="B466" s="66"/>
      <c r="D466" s="66"/>
    </row>
    <row r="467">
      <c r="B467" s="66"/>
      <c r="D467" s="66"/>
    </row>
    <row r="468">
      <c r="B468" s="66"/>
      <c r="D468" s="66"/>
    </row>
    <row r="469">
      <c r="B469" s="66"/>
      <c r="D469" s="66"/>
    </row>
    <row r="470">
      <c r="B470" s="66"/>
      <c r="D470" s="66"/>
    </row>
    <row r="471">
      <c r="B471" s="66"/>
      <c r="D471" s="66"/>
    </row>
    <row r="472">
      <c r="B472" s="66"/>
      <c r="D472" s="66"/>
    </row>
    <row r="473">
      <c r="B473" s="66"/>
      <c r="D473" s="66"/>
    </row>
    <row r="474">
      <c r="B474" s="66"/>
      <c r="D474" s="66"/>
    </row>
    <row r="475">
      <c r="B475" s="66"/>
      <c r="D475" s="66"/>
    </row>
    <row r="476">
      <c r="B476" s="66"/>
      <c r="D476" s="66"/>
    </row>
    <row r="477">
      <c r="B477" s="66"/>
      <c r="D477" s="66"/>
    </row>
    <row r="478">
      <c r="B478" s="66"/>
      <c r="D478" s="66"/>
    </row>
    <row r="479">
      <c r="B479" s="66"/>
      <c r="D479" s="66"/>
    </row>
    <row r="480">
      <c r="B480" s="66"/>
      <c r="D480" s="66"/>
    </row>
    <row r="481">
      <c r="B481" s="66"/>
      <c r="D481" s="66"/>
    </row>
    <row r="482">
      <c r="B482" s="66"/>
      <c r="D482" s="66"/>
    </row>
    <row r="483">
      <c r="B483" s="66"/>
      <c r="D483" s="66"/>
    </row>
    <row r="484">
      <c r="B484" s="66"/>
      <c r="D484" s="66"/>
    </row>
    <row r="485">
      <c r="B485" s="66"/>
      <c r="D485" s="66"/>
    </row>
    <row r="486">
      <c r="B486" s="66"/>
      <c r="D486" s="66"/>
    </row>
    <row r="487">
      <c r="B487" s="66"/>
      <c r="D487" s="66"/>
    </row>
    <row r="488">
      <c r="B488" s="66"/>
      <c r="D488" s="66"/>
    </row>
    <row r="489">
      <c r="B489" s="66"/>
      <c r="D489" s="66"/>
    </row>
    <row r="490">
      <c r="B490" s="66"/>
      <c r="D490" s="66"/>
    </row>
    <row r="491">
      <c r="B491" s="66"/>
      <c r="D491" s="66"/>
    </row>
    <row r="492">
      <c r="B492" s="66"/>
      <c r="D492" s="66"/>
    </row>
    <row r="493">
      <c r="B493" s="66"/>
      <c r="D493" s="66"/>
    </row>
    <row r="494">
      <c r="B494" s="66"/>
      <c r="D494" s="66"/>
    </row>
    <row r="495">
      <c r="B495" s="66"/>
      <c r="D495" s="66"/>
    </row>
    <row r="496">
      <c r="B496" s="66"/>
      <c r="D496" s="66"/>
    </row>
    <row r="497">
      <c r="B497" s="66"/>
      <c r="D497" s="66"/>
    </row>
    <row r="498">
      <c r="B498" s="66"/>
      <c r="D498" s="66"/>
    </row>
    <row r="499">
      <c r="B499" s="66"/>
      <c r="D499" s="66"/>
    </row>
    <row r="500">
      <c r="B500" s="66"/>
      <c r="D500" s="66"/>
    </row>
    <row r="501">
      <c r="B501" s="66"/>
      <c r="D501" s="66"/>
    </row>
    <row r="502">
      <c r="B502" s="66"/>
      <c r="D502" s="66"/>
    </row>
    <row r="503">
      <c r="B503" s="66"/>
      <c r="D503" s="66"/>
    </row>
    <row r="504">
      <c r="B504" s="66"/>
      <c r="D504" s="66"/>
    </row>
    <row r="505">
      <c r="B505" s="66"/>
      <c r="D505" s="66"/>
    </row>
    <row r="506">
      <c r="B506" s="66"/>
      <c r="D506" s="66"/>
    </row>
    <row r="507">
      <c r="B507" s="66"/>
      <c r="D507" s="66"/>
    </row>
    <row r="508">
      <c r="B508" s="66"/>
      <c r="D508" s="66"/>
    </row>
    <row r="509">
      <c r="B509" s="66"/>
      <c r="D509" s="66"/>
    </row>
    <row r="510">
      <c r="B510" s="66"/>
      <c r="D510" s="66"/>
    </row>
    <row r="511">
      <c r="B511" s="66"/>
      <c r="D511" s="66"/>
    </row>
    <row r="512">
      <c r="B512" s="66"/>
      <c r="D512" s="66"/>
    </row>
    <row r="513">
      <c r="B513" s="66"/>
      <c r="D513" s="66"/>
    </row>
    <row r="514">
      <c r="B514" s="66"/>
      <c r="D514" s="66"/>
    </row>
    <row r="515">
      <c r="B515" s="66"/>
      <c r="D515" s="66"/>
    </row>
    <row r="516">
      <c r="B516" s="66"/>
      <c r="D516" s="66"/>
    </row>
    <row r="517">
      <c r="B517" s="66"/>
      <c r="D517" s="66"/>
    </row>
    <row r="518">
      <c r="B518" s="66"/>
      <c r="D518" s="66"/>
    </row>
    <row r="519">
      <c r="B519" s="66"/>
      <c r="D519" s="66"/>
    </row>
    <row r="520">
      <c r="B520" s="66"/>
      <c r="D520" s="66"/>
    </row>
    <row r="521">
      <c r="B521" s="66"/>
      <c r="D521" s="66"/>
    </row>
    <row r="522">
      <c r="B522" s="66"/>
      <c r="D522" s="66"/>
    </row>
    <row r="523">
      <c r="B523" s="66"/>
      <c r="D523" s="66"/>
    </row>
    <row r="524">
      <c r="B524" s="66"/>
      <c r="D524" s="66"/>
    </row>
    <row r="525">
      <c r="B525" s="66"/>
      <c r="D525" s="66"/>
    </row>
    <row r="526">
      <c r="B526" s="66"/>
      <c r="D526" s="66"/>
    </row>
    <row r="527">
      <c r="B527" s="66"/>
      <c r="D527" s="66"/>
    </row>
    <row r="528">
      <c r="B528" s="66"/>
      <c r="D528" s="66"/>
    </row>
    <row r="529">
      <c r="B529" s="66"/>
      <c r="D529" s="66"/>
    </row>
    <row r="530">
      <c r="B530" s="66"/>
      <c r="D530" s="66"/>
    </row>
    <row r="531">
      <c r="B531" s="66"/>
      <c r="D531" s="66"/>
    </row>
    <row r="532">
      <c r="B532" s="66"/>
      <c r="D532" s="66"/>
    </row>
    <row r="533">
      <c r="B533" s="66"/>
      <c r="D533" s="66"/>
    </row>
    <row r="534">
      <c r="B534" s="66"/>
      <c r="D534" s="66"/>
    </row>
    <row r="535">
      <c r="B535" s="66"/>
      <c r="D535" s="66"/>
    </row>
    <row r="536">
      <c r="B536" s="66"/>
      <c r="D536" s="66"/>
    </row>
    <row r="537">
      <c r="B537" s="66"/>
      <c r="D537" s="66"/>
    </row>
    <row r="538">
      <c r="B538" s="66"/>
      <c r="D538" s="66"/>
    </row>
    <row r="539">
      <c r="B539" s="66"/>
      <c r="D539" s="66"/>
    </row>
    <row r="540">
      <c r="B540" s="66"/>
      <c r="D540" s="66"/>
    </row>
    <row r="541">
      <c r="B541" s="66"/>
      <c r="D541" s="66"/>
    </row>
    <row r="542">
      <c r="B542" s="66"/>
      <c r="D542" s="66"/>
    </row>
    <row r="543">
      <c r="B543" s="66"/>
      <c r="D543" s="66"/>
    </row>
    <row r="544">
      <c r="B544" s="66"/>
      <c r="D544" s="66"/>
    </row>
    <row r="545">
      <c r="B545" s="66"/>
      <c r="D545" s="66"/>
    </row>
    <row r="546">
      <c r="B546" s="66"/>
      <c r="D546" s="66"/>
    </row>
    <row r="547">
      <c r="B547" s="66"/>
      <c r="D547" s="66"/>
    </row>
    <row r="548">
      <c r="B548" s="66"/>
      <c r="D548" s="66"/>
    </row>
    <row r="549">
      <c r="B549" s="66"/>
      <c r="D549" s="66"/>
    </row>
    <row r="550">
      <c r="B550" s="66"/>
      <c r="D550" s="66"/>
    </row>
    <row r="551">
      <c r="B551" s="66"/>
      <c r="D551" s="66"/>
    </row>
    <row r="552">
      <c r="B552" s="66"/>
      <c r="D552" s="66"/>
    </row>
    <row r="553">
      <c r="B553" s="66"/>
      <c r="D553" s="66"/>
    </row>
    <row r="554">
      <c r="B554" s="66"/>
      <c r="D554" s="66"/>
    </row>
    <row r="555">
      <c r="B555" s="66"/>
      <c r="D555" s="66"/>
    </row>
    <row r="556">
      <c r="B556" s="66"/>
      <c r="D556" s="66"/>
    </row>
    <row r="557">
      <c r="B557" s="66"/>
      <c r="D557" s="66"/>
    </row>
    <row r="558">
      <c r="B558" s="66"/>
      <c r="D558" s="66"/>
    </row>
    <row r="559">
      <c r="B559" s="66"/>
      <c r="D559" s="66"/>
    </row>
    <row r="560">
      <c r="B560" s="66"/>
      <c r="D560" s="66"/>
    </row>
    <row r="561">
      <c r="B561" s="66"/>
      <c r="D561" s="66"/>
    </row>
    <row r="562">
      <c r="B562" s="66"/>
      <c r="D562" s="66"/>
    </row>
    <row r="563">
      <c r="B563" s="66"/>
      <c r="D563" s="66"/>
    </row>
    <row r="564">
      <c r="B564" s="66"/>
      <c r="D564" s="66"/>
    </row>
    <row r="565">
      <c r="B565" s="66"/>
      <c r="D565" s="66"/>
    </row>
    <row r="566">
      <c r="B566" s="66"/>
      <c r="D566" s="66"/>
    </row>
    <row r="567">
      <c r="B567" s="66"/>
      <c r="D567" s="66"/>
    </row>
    <row r="568">
      <c r="B568" s="66"/>
      <c r="D568" s="66"/>
    </row>
    <row r="569">
      <c r="B569" s="66"/>
      <c r="D569" s="66"/>
    </row>
    <row r="570">
      <c r="B570" s="66"/>
      <c r="D570" s="66"/>
    </row>
    <row r="571">
      <c r="B571" s="66"/>
      <c r="D571" s="66"/>
    </row>
    <row r="572">
      <c r="B572" s="66"/>
      <c r="D572" s="66"/>
    </row>
    <row r="573">
      <c r="B573" s="66"/>
      <c r="D573" s="66"/>
    </row>
    <row r="574">
      <c r="B574" s="66"/>
      <c r="D574" s="66"/>
    </row>
    <row r="575">
      <c r="B575" s="66"/>
      <c r="D575" s="66"/>
    </row>
    <row r="576">
      <c r="B576" s="66"/>
      <c r="D576" s="66"/>
    </row>
    <row r="577">
      <c r="B577" s="66"/>
      <c r="D577" s="66"/>
    </row>
    <row r="578">
      <c r="B578" s="66"/>
      <c r="D578" s="66"/>
    </row>
    <row r="579">
      <c r="B579" s="66"/>
      <c r="D579" s="66"/>
    </row>
    <row r="580">
      <c r="B580" s="66"/>
      <c r="D580" s="66"/>
    </row>
    <row r="581">
      <c r="B581" s="66"/>
      <c r="D581" s="66"/>
    </row>
    <row r="582">
      <c r="B582" s="66"/>
      <c r="D582" s="66"/>
    </row>
    <row r="583">
      <c r="B583" s="66"/>
      <c r="D583" s="66"/>
    </row>
    <row r="584">
      <c r="B584" s="66"/>
      <c r="D584" s="66"/>
    </row>
    <row r="585">
      <c r="B585" s="66"/>
      <c r="D585" s="66"/>
    </row>
    <row r="586">
      <c r="B586" s="66"/>
      <c r="D586" s="66"/>
    </row>
    <row r="587">
      <c r="B587" s="66"/>
      <c r="D587" s="66"/>
    </row>
    <row r="588">
      <c r="B588" s="66"/>
      <c r="D588" s="66"/>
    </row>
    <row r="589">
      <c r="B589" s="66"/>
      <c r="D589" s="66"/>
    </row>
    <row r="590">
      <c r="B590" s="66"/>
      <c r="D590" s="66"/>
    </row>
    <row r="591">
      <c r="B591" s="66"/>
      <c r="D591" s="66"/>
    </row>
    <row r="592">
      <c r="B592" s="66"/>
      <c r="D592" s="66"/>
    </row>
    <row r="593">
      <c r="B593" s="66"/>
      <c r="D593" s="66"/>
    </row>
    <row r="594">
      <c r="B594" s="66"/>
      <c r="D594" s="66"/>
    </row>
    <row r="595">
      <c r="B595" s="66"/>
      <c r="D595" s="66"/>
    </row>
    <row r="596">
      <c r="B596" s="66"/>
      <c r="D596" s="66"/>
    </row>
    <row r="597">
      <c r="B597" s="66"/>
      <c r="D597" s="66"/>
    </row>
    <row r="598">
      <c r="B598" s="66"/>
      <c r="D598" s="66"/>
    </row>
    <row r="599">
      <c r="B599" s="66"/>
      <c r="D599" s="66"/>
    </row>
    <row r="600">
      <c r="B600" s="66"/>
      <c r="D600" s="66"/>
    </row>
    <row r="601">
      <c r="B601" s="66"/>
      <c r="D601" s="66"/>
    </row>
    <row r="602">
      <c r="B602" s="66"/>
      <c r="D602" s="66"/>
    </row>
    <row r="603">
      <c r="B603" s="66"/>
      <c r="D603" s="66"/>
    </row>
    <row r="604">
      <c r="B604" s="66"/>
      <c r="D604" s="66"/>
    </row>
    <row r="605">
      <c r="B605" s="66"/>
      <c r="D605" s="66"/>
    </row>
    <row r="606">
      <c r="B606" s="66"/>
      <c r="D606" s="66"/>
    </row>
    <row r="607">
      <c r="B607" s="66"/>
      <c r="D607" s="66"/>
    </row>
    <row r="608">
      <c r="B608" s="66"/>
      <c r="D608" s="66"/>
    </row>
    <row r="609">
      <c r="B609" s="66"/>
      <c r="D609" s="66"/>
    </row>
    <row r="610">
      <c r="B610" s="66"/>
      <c r="D610" s="66"/>
    </row>
    <row r="611">
      <c r="B611" s="66"/>
      <c r="D611" s="66"/>
    </row>
    <row r="612">
      <c r="B612" s="66"/>
      <c r="D612" s="66"/>
    </row>
    <row r="613">
      <c r="B613" s="66"/>
      <c r="D613" s="66"/>
    </row>
    <row r="614">
      <c r="B614" s="66"/>
      <c r="D614" s="66"/>
    </row>
    <row r="615">
      <c r="B615" s="66"/>
      <c r="D615" s="66"/>
    </row>
    <row r="616">
      <c r="B616" s="66"/>
      <c r="D616" s="66"/>
    </row>
    <row r="617">
      <c r="B617" s="66"/>
      <c r="D617" s="66"/>
    </row>
    <row r="618">
      <c r="B618" s="66"/>
      <c r="D618" s="66"/>
    </row>
    <row r="619">
      <c r="B619" s="66"/>
      <c r="D619" s="66"/>
    </row>
    <row r="620">
      <c r="B620" s="66"/>
      <c r="D620" s="66"/>
    </row>
    <row r="621">
      <c r="B621" s="66"/>
      <c r="D621" s="66"/>
    </row>
    <row r="622">
      <c r="B622" s="66"/>
      <c r="D622" s="66"/>
    </row>
    <row r="623">
      <c r="B623" s="66"/>
      <c r="D623" s="66"/>
    </row>
    <row r="624">
      <c r="B624" s="66"/>
      <c r="D624" s="66"/>
    </row>
    <row r="625">
      <c r="B625" s="66"/>
      <c r="D625" s="66"/>
    </row>
    <row r="626">
      <c r="B626" s="66"/>
      <c r="D626" s="66"/>
    </row>
    <row r="627">
      <c r="B627" s="66"/>
      <c r="D627" s="66"/>
    </row>
    <row r="628">
      <c r="B628" s="66"/>
      <c r="D628" s="66"/>
    </row>
    <row r="629">
      <c r="B629" s="66"/>
      <c r="D629" s="66"/>
    </row>
    <row r="630">
      <c r="B630" s="66"/>
      <c r="D630" s="66"/>
    </row>
    <row r="631">
      <c r="B631" s="66"/>
      <c r="D631" s="66"/>
    </row>
    <row r="632">
      <c r="B632" s="66"/>
      <c r="D632" s="66"/>
    </row>
    <row r="633">
      <c r="B633" s="66"/>
      <c r="D633" s="66"/>
    </row>
    <row r="634">
      <c r="B634" s="66"/>
      <c r="D634" s="66"/>
    </row>
    <row r="635">
      <c r="B635" s="66"/>
      <c r="D635" s="66"/>
    </row>
    <row r="636">
      <c r="B636" s="66"/>
      <c r="D636" s="66"/>
    </row>
    <row r="637">
      <c r="B637" s="66"/>
      <c r="D637" s="66"/>
    </row>
    <row r="638">
      <c r="B638" s="66"/>
      <c r="D638" s="66"/>
    </row>
    <row r="639">
      <c r="B639" s="66"/>
      <c r="D639" s="66"/>
    </row>
    <row r="640">
      <c r="B640" s="66"/>
      <c r="D640" s="66"/>
    </row>
    <row r="641">
      <c r="B641" s="66"/>
      <c r="D641" s="66"/>
    </row>
    <row r="642">
      <c r="B642" s="66"/>
      <c r="D642" s="66"/>
    </row>
    <row r="643">
      <c r="B643" s="66"/>
      <c r="D643" s="66"/>
    </row>
    <row r="644">
      <c r="B644" s="66"/>
      <c r="D644" s="66"/>
    </row>
    <row r="645">
      <c r="B645" s="66"/>
      <c r="D645" s="66"/>
    </row>
    <row r="646">
      <c r="B646" s="66"/>
      <c r="D646" s="66"/>
    </row>
    <row r="647">
      <c r="B647" s="66"/>
      <c r="D647" s="66"/>
    </row>
    <row r="648">
      <c r="B648" s="66"/>
      <c r="D648" s="66"/>
    </row>
    <row r="649">
      <c r="B649" s="66"/>
      <c r="D649" s="66"/>
    </row>
    <row r="650">
      <c r="B650" s="66"/>
      <c r="D650" s="66"/>
    </row>
    <row r="651">
      <c r="B651" s="66"/>
      <c r="D651" s="66"/>
    </row>
    <row r="652">
      <c r="B652" s="66"/>
      <c r="D652" s="66"/>
    </row>
    <row r="653">
      <c r="B653" s="66"/>
      <c r="D653" s="66"/>
    </row>
    <row r="654">
      <c r="B654" s="66"/>
      <c r="D654" s="66"/>
    </row>
    <row r="655">
      <c r="B655" s="66"/>
      <c r="D655" s="66"/>
    </row>
    <row r="656">
      <c r="B656" s="66"/>
      <c r="D656" s="66"/>
    </row>
    <row r="657">
      <c r="B657" s="66"/>
      <c r="D657" s="66"/>
    </row>
    <row r="658">
      <c r="B658" s="66"/>
      <c r="D658" s="66"/>
    </row>
    <row r="659">
      <c r="B659" s="66"/>
      <c r="D659" s="66"/>
    </row>
    <row r="660">
      <c r="B660" s="66"/>
      <c r="D660" s="66"/>
    </row>
    <row r="661">
      <c r="B661" s="66"/>
      <c r="D661" s="66"/>
    </row>
    <row r="662">
      <c r="B662" s="66"/>
      <c r="D662" s="66"/>
    </row>
    <row r="663">
      <c r="B663" s="66"/>
      <c r="D663" s="66"/>
    </row>
    <row r="664">
      <c r="B664" s="66"/>
      <c r="D664" s="66"/>
    </row>
    <row r="665">
      <c r="B665" s="66"/>
      <c r="D665" s="66"/>
    </row>
    <row r="666">
      <c r="B666" s="66"/>
      <c r="D666" s="66"/>
    </row>
    <row r="667">
      <c r="B667" s="66"/>
      <c r="D667" s="66"/>
    </row>
    <row r="668">
      <c r="B668" s="66"/>
      <c r="D668" s="66"/>
    </row>
    <row r="669">
      <c r="B669" s="66"/>
      <c r="D669" s="66"/>
    </row>
    <row r="670">
      <c r="B670" s="66"/>
      <c r="D670" s="66"/>
    </row>
    <row r="671">
      <c r="B671" s="66"/>
      <c r="D671" s="66"/>
    </row>
    <row r="672">
      <c r="B672" s="66"/>
      <c r="D672" s="66"/>
    </row>
    <row r="673">
      <c r="B673" s="66"/>
      <c r="D673" s="66"/>
    </row>
    <row r="674">
      <c r="B674" s="66"/>
      <c r="D674" s="66"/>
    </row>
    <row r="675">
      <c r="B675" s="66"/>
      <c r="D675" s="66"/>
    </row>
    <row r="676">
      <c r="B676" s="66"/>
      <c r="D676" s="66"/>
    </row>
    <row r="677">
      <c r="B677" s="66"/>
      <c r="D677" s="66"/>
    </row>
    <row r="678">
      <c r="B678" s="66"/>
      <c r="D678" s="66"/>
    </row>
    <row r="679">
      <c r="B679" s="66"/>
      <c r="D679" s="66"/>
    </row>
    <row r="680">
      <c r="B680" s="66"/>
      <c r="D680" s="66"/>
    </row>
    <row r="681">
      <c r="B681" s="66"/>
      <c r="D681" s="66"/>
    </row>
    <row r="682">
      <c r="B682" s="66"/>
      <c r="D682" s="66"/>
    </row>
    <row r="683">
      <c r="B683" s="66"/>
      <c r="D683" s="66"/>
    </row>
    <row r="684">
      <c r="B684" s="66"/>
      <c r="D684" s="66"/>
    </row>
    <row r="685">
      <c r="B685" s="66"/>
      <c r="D685" s="66"/>
    </row>
    <row r="686">
      <c r="B686" s="66"/>
      <c r="D686" s="66"/>
    </row>
    <row r="687">
      <c r="B687" s="66"/>
      <c r="D687" s="66"/>
    </row>
    <row r="688">
      <c r="B688" s="66"/>
      <c r="D688" s="66"/>
    </row>
    <row r="689">
      <c r="B689" s="66"/>
      <c r="D689" s="66"/>
    </row>
    <row r="690">
      <c r="B690" s="66"/>
      <c r="D690" s="66"/>
    </row>
    <row r="691">
      <c r="B691" s="66"/>
      <c r="D691" s="66"/>
    </row>
    <row r="692">
      <c r="B692" s="66"/>
      <c r="D692" s="66"/>
    </row>
    <row r="693">
      <c r="B693" s="66"/>
      <c r="D693" s="66"/>
    </row>
    <row r="694">
      <c r="B694" s="66"/>
      <c r="D694" s="66"/>
    </row>
    <row r="695">
      <c r="B695" s="66"/>
      <c r="D695" s="66"/>
    </row>
    <row r="696">
      <c r="B696" s="66"/>
      <c r="D696" s="66"/>
    </row>
    <row r="697">
      <c r="B697" s="66"/>
      <c r="D697" s="66"/>
    </row>
    <row r="698">
      <c r="B698" s="66"/>
      <c r="D698" s="66"/>
    </row>
    <row r="699">
      <c r="B699" s="66"/>
      <c r="D699" s="66"/>
    </row>
    <row r="700">
      <c r="B700" s="66"/>
      <c r="D700" s="66"/>
    </row>
    <row r="701">
      <c r="B701" s="66"/>
      <c r="D701" s="66"/>
    </row>
    <row r="702">
      <c r="B702" s="66"/>
      <c r="D702" s="66"/>
    </row>
    <row r="703">
      <c r="B703" s="66"/>
      <c r="D703" s="66"/>
    </row>
    <row r="704">
      <c r="B704" s="66"/>
      <c r="D704" s="66"/>
    </row>
    <row r="705">
      <c r="B705" s="66"/>
      <c r="D705" s="66"/>
    </row>
    <row r="706">
      <c r="B706" s="66"/>
      <c r="D706" s="66"/>
    </row>
    <row r="707">
      <c r="B707" s="66"/>
      <c r="D707" s="66"/>
    </row>
    <row r="708">
      <c r="B708" s="66"/>
      <c r="D708" s="66"/>
    </row>
    <row r="709">
      <c r="B709" s="66"/>
      <c r="D709" s="66"/>
    </row>
    <row r="710">
      <c r="B710" s="66"/>
      <c r="D710" s="66"/>
    </row>
    <row r="711">
      <c r="B711" s="66"/>
      <c r="D711" s="66"/>
    </row>
    <row r="712">
      <c r="B712" s="66"/>
      <c r="D712" s="66"/>
    </row>
    <row r="713">
      <c r="B713" s="66"/>
      <c r="D713" s="66"/>
    </row>
    <row r="714">
      <c r="B714" s="66"/>
      <c r="D714" s="66"/>
    </row>
    <row r="715">
      <c r="B715" s="66"/>
      <c r="D715" s="66"/>
    </row>
    <row r="716">
      <c r="B716" s="66"/>
      <c r="D716" s="66"/>
    </row>
    <row r="717">
      <c r="B717" s="66"/>
      <c r="D717" s="66"/>
    </row>
    <row r="718">
      <c r="B718" s="66"/>
      <c r="D718" s="66"/>
    </row>
    <row r="719">
      <c r="B719" s="66"/>
      <c r="D719" s="66"/>
    </row>
    <row r="720">
      <c r="B720" s="66"/>
      <c r="D720" s="66"/>
    </row>
    <row r="721">
      <c r="B721" s="66"/>
      <c r="D721" s="66"/>
    </row>
    <row r="722">
      <c r="B722" s="66"/>
      <c r="D722" s="66"/>
    </row>
    <row r="723">
      <c r="B723" s="66"/>
      <c r="D723" s="66"/>
    </row>
    <row r="724">
      <c r="B724" s="66"/>
      <c r="D724" s="66"/>
    </row>
    <row r="725">
      <c r="B725" s="66"/>
      <c r="D725" s="66"/>
    </row>
    <row r="726">
      <c r="B726" s="66"/>
      <c r="D726" s="66"/>
    </row>
    <row r="727">
      <c r="B727" s="66"/>
      <c r="D727" s="66"/>
    </row>
    <row r="728">
      <c r="B728" s="66"/>
      <c r="D728" s="66"/>
    </row>
    <row r="729">
      <c r="B729" s="66"/>
      <c r="D729" s="66"/>
    </row>
    <row r="730">
      <c r="B730" s="66"/>
      <c r="D730" s="66"/>
    </row>
    <row r="731">
      <c r="B731" s="66"/>
      <c r="D731" s="66"/>
    </row>
    <row r="732">
      <c r="B732" s="66"/>
      <c r="D732" s="66"/>
    </row>
    <row r="733">
      <c r="B733" s="66"/>
      <c r="D733" s="66"/>
    </row>
    <row r="734">
      <c r="B734" s="66"/>
      <c r="D734" s="66"/>
    </row>
    <row r="735">
      <c r="B735" s="66"/>
      <c r="D735" s="66"/>
    </row>
    <row r="736">
      <c r="B736" s="66"/>
      <c r="D736" s="66"/>
    </row>
    <row r="737">
      <c r="B737" s="66"/>
      <c r="D737" s="66"/>
    </row>
    <row r="738">
      <c r="B738" s="66"/>
      <c r="D738" s="66"/>
    </row>
    <row r="739">
      <c r="B739" s="66"/>
      <c r="D739" s="66"/>
    </row>
    <row r="740">
      <c r="B740" s="66"/>
      <c r="D740" s="66"/>
    </row>
    <row r="741">
      <c r="B741" s="66"/>
      <c r="D741" s="66"/>
    </row>
    <row r="742">
      <c r="B742" s="66"/>
      <c r="D742" s="66"/>
    </row>
    <row r="743">
      <c r="B743" s="66"/>
      <c r="D743" s="66"/>
    </row>
    <row r="744">
      <c r="B744" s="66"/>
      <c r="D744" s="66"/>
    </row>
    <row r="745">
      <c r="B745" s="66"/>
      <c r="D745" s="66"/>
    </row>
    <row r="746">
      <c r="B746" s="66"/>
      <c r="D746" s="66"/>
    </row>
    <row r="747">
      <c r="B747" s="66"/>
      <c r="D747" s="66"/>
    </row>
    <row r="748">
      <c r="B748" s="66"/>
      <c r="D748" s="66"/>
    </row>
    <row r="749">
      <c r="B749" s="66"/>
      <c r="D749" s="66"/>
    </row>
    <row r="750">
      <c r="B750" s="66"/>
      <c r="D750" s="66"/>
    </row>
    <row r="751">
      <c r="B751" s="66"/>
      <c r="D751" s="66"/>
    </row>
    <row r="752">
      <c r="B752" s="66"/>
      <c r="D752" s="66"/>
    </row>
    <row r="753">
      <c r="B753" s="66"/>
      <c r="D753" s="66"/>
    </row>
    <row r="754">
      <c r="B754" s="66"/>
      <c r="D754" s="66"/>
    </row>
    <row r="755">
      <c r="B755" s="66"/>
      <c r="D755" s="66"/>
    </row>
    <row r="756">
      <c r="B756" s="66"/>
      <c r="D756" s="66"/>
    </row>
    <row r="757">
      <c r="B757" s="66"/>
      <c r="D757" s="66"/>
    </row>
    <row r="758">
      <c r="B758" s="66"/>
      <c r="D758" s="66"/>
    </row>
    <row r="759">
      <c r="B759" s="66"/>
      <c r="D759" s="66"/>
    </row>
    <row r="760">
      <c r="B760" s="66"/>
      <c r="D760" s="66"/>
    </row>
    <row r="761">
      <c r="B761" s="66"/>
      <c r="D761" s="66"/>
    </row>
    <row r="762">
      <c r="B762" s="66"/>
      <c r="D762" s="66"/>
    </row>
    <row r="763">
      <c r="B763" s="66"/>
      <c r="D763" s="66"/>
    </row>
    <row r="764">
      <c r="B764" s="66"/>
      <c r="D764" s="66"/>
    </row>
    <row r="765">
      <c r="B765" s="66"/>
      <c r="D765" s="66"/>
    </row>
    <row r="766">
      <c r="B766" s="66"/>
      <c r="D766" s="66"/>
    </row>
    <row r="767">
      <c r="B767" s="66"/>
      <c r="D767" s="66"/>
    </row>
    <row r="768">
      <c r="B768" s="66"/>
      <c r="D768" s="66"/>
    </row>
    <row r="769">
      <c r="B769" s="66"/>
      <c r="D769" s="66"/>
    </row>
    <row r="770">
      <c r="B770" s="66"/>
      <c r="D770" s="66"/>
    </row>
    <row r="771">
      <c r="B771" s="66"/>
      <c r="D771" s="66"/>
    </row>
    <row r="772">
      <c r="B772" s="66"/>
      <c r="D772" s="66"/>
    </row>
    <row r="773">
      <c r="B773" s="66"/>
      <c r="D773" s="66"/>
    </row>
    <row r="774">
      <c r="B774" s="66"/>
      <c r="D774" s="66"/>
    </row>
    <row r="775">
      <c r="B775" s="66"/>
      <c r="D775" s="66"/>
    </row>
    <row r="776">
      <c r="B776" s="66"/>
      <c r="D776" s="66"/>
    </row>
    <row r="777">
      <c r="B777" s="66"/>
      <c r="D777" s="66"/>
    </row>
    <row r="778">
      <c r="B778" s="66"/>
      <c r="D778" s="66"/>
    </row>
    <row r="779">
      <c r="B779" s="66"/>
      <c r="D779" s="66"/>
    </row>
    <row r="780">
      <c r="B780" s="66"/>
      <c r="D780" s="66"/>
    </row>
    <row r="781">
      <c r="B781" s="66"/>
      <c r="D781" s="66"/>
    </row>
    <row r="782">
      <c r="B782" s="66"/>
      <c r="D782" s="66"/>
    </row>
    <row r="783">
      <c r="B783" s="66"/>
      <c r="D783" s="66"/>
    </row>
    <row r="784">
      <c r="B784" s="66"/>
      <c r="D784" s="66"/>
    </row>
    <row r="785">
      <c r="B785" s="66"/>
      <c r="D785" s="66"/>
    </row>
    <row r="786">
      <c r="B786" s="66"/>
      <c r="D786" s="66"/>
    </row>
    <row r="787">
      <c r="B787" s="66"/>
      <c r="D787" s="66"/>
    </row>
    <row r="788">
      <c r="B788" s="66"/>
      <c r="D788" s="66"/>
    </row>
    <row r="789">
      <c r="B789" s="66"/>
      <c r="D789" s="66"/>
    </row>
    <row r="790">
      <c r="B790" s="66"/>
      <c r="D790" s="66"/>
    </row>
    <row r="791">
      <c r="B791" s="66"/>
      <c r="D791" s="66"/>
    </row>
    <row r="792">
      <c r="B792" s="66"/>
      <c r="D792" s="66"/>
    </row>
    <row r="793">
      <c r="B793" s="66"/>
      <c r="D793" s="66"/>
    </row>
    <row r="794">
      <c r="B794" s="66"/>
      <c r="D794" s="66"/>
    </row>
    <row r="795">
      <c r="B795" s="66"/>
      <c r="D795" s="66"/>
    </row>
    <row r="796">
      <c r="B796" s="66"/>
      <c r="D796" s="66"/>
    </row>
    <row r="797">
      <c r="B797" s="66"/>
      <c r="D797" s="66"/>
    </row>
    <row r="798">
      <c r="B798" s="66"/>
      <c r="D798" s="66"/>
    </row>
    <row r="799">
      <c r="B799" s="66"/>
      <c r="D799" s="66"/>
    </row>
    <row r="800">
      <c r="B800" s="66"/>
      <c r="D800" s="66"/>
    </row>
    <row r="801">
      <c r="B801" s="66"/>
      <c r="D801" s="66"/>
    </row>
    <row r="802">
      <c r="B802" s="66"/>
      <c r="D802" s="66"/>
    </row>
    <row r="803">
      <c r="B803" s="66"/>
      <c r="D803" s="66"/>
    </row>
    <row r="804">
      <c r="B804" s="66"/>
      <c r="D804" s="66"/>
    </row>
    <row r="805">
      <c r="B805" s="66"/>
      <c r="D805" s="66"/>
    </row>
    <row r="806">
      <c r="B806" s="66"/>
      <c r="D806" s="66"/>
    </row>
    <row r="807">
      <c r="B807" s="66"/>
      <c r="D807" s="66"/>
    </row>
    <row r="808">
      <c r="B808" s="66"/>
      <c r="D808" s="66"/>
    </row>
    <row r="809">
      <c r="B809" s="66"/>
      <c r="D809" s="66"/>
    </row>
    <row r="810">
      <c r="B810" s="66"/>
      <c r="D810" s="66"/>
    </row>
    <row r="811">
      <c r="B811" s="66"/>
      <c r="D811" s="66"/>
    </row>
    <row r="812">
      <c r="B812" s="66"/>
      <c r="D812" s="66"/>
    </row>
    <row r="813">
      <c r="B813" s="66"/>
      <c r="D813" s="66"/>
    </row>
    <row r="814">
      <c r="B814" s="66"/>
      <c r="D814" s="66"/>
    </row>
    <row r="815">
      <c r="B815" s="66"/>
      <c r="D815" s="66"/>
    </row>
    <row r="816">
      <c r="B816" s="66"/>
      <c r="D816" s="66"/>
    </row>
    <row r="817">
      <c r="B817" s="66"/>
      <c r="D817" s="66"/>
    </row>
    <row r="818">
      <c r="B818" s="66"/>
      <c r="D818" s="66"/>
    </row>
    <row r="819">
      <c r="B819" s="66"/>
      <c r="D819" s="66"/>
    </row>
    <row r="820">
      <c r="B820" s="66"/>
      <c r="D820" s="66"/>
    </row>
    <row r="821">
      <c r="B821" s="66"/>
      <c r="D821" s="66"/>
    </row>
    <row r="822">
      <c r="B822" s="66"/>
      <c r="D822" s="66"/>
    </row>
    <row r="823">
      <c r="B823" s="66"/>
      <c r="D823" s="66"/>
    </row>
    <row r="824">
      <c r="B824" s="66"/>
      <c r="D824" s="66"/>
    </row>
    <row r="825">
      <c r="B825" s="66"/>
      <c r="D825" s="66"/>
    </row>
    <row r="826">
      <c r="B826" s="66"/>
      <c r="D826" s="66"/>
    </row>
    <row r="827">
      <c r="B827" s="66"/>
      <c r="D827" s="66"/>
    </row>
    <row r="828">
      <c r="B828" s="66"/>
      <c r="D828" s="66"/>
    </row>
    <row r="829">
      <c r="B829" s="66"/>
      <c r="D829" s="66"/>
    </row>
    <row r="830">
      <c r="B830" s="66"/>
      <c r="D830" s="66"/>
    </row>
    <row r="831">
      <c r="B831" s="66"/>
      <c r="D831" s="66"/>
    </row>
    <row r="832">
      <c r="B832" s="66"/>
      <c r="D832" s="66"/>
    </row>
    <row r="833">
      <c r="B833" s="66"/>
      <c r="D833" s="66"/>
    </row>
    <row r="834">
      <c r="B834" s="66"/>
      <c r="D834" s="66"/>
    </row>
    <row r="835">
      <c r="B835" s="66"/>
      <c r="D835" s="66"/>
    </row>
    <row r="836">
      <c r="B836" s="66"/>
      <c r="D836" s="66"/>
    </row>
    <row r="837">
      <c r="B837" s="66"/>
      <c r="D837" s="66"/>
    </row>
    <row r="838">
      <c r="B838" s="66"/>
      <c r="D838" s="66"/>
    </row>
    <row r="839">
      <c r="B839" s="66"/>
      <c r="D839" s="66"/>
    </row>
    <row r="840">
      <c r="B840" s="66"/>
      <c r="D840" s="66"/>
    </row>
    <row r="841">
      <c r="B841" s="66"/>
      <c r="D841" s="66"/>
    </row>
    <row r="842">
      <c r="B842" s="66"/>
      <c r="D842" s="66"/>
    </row>
    <row r="843">
      <c r="B843" s="66"/>
      <c r="D843" s="66"/>
    </row>
    <row r="844">
      <c r="B844" s="66"/>
      <c r="D844" s="66"/>
    </row>
    <row r="845">
      <c r="B845" s="66"/>
      <c r="D845" s="66"/>
    </row>
    <row r="846">
      <c r="B846" s="66"/>
      <c r="D846" s="66"/>
    </row>
    <row r="847">
      <c r="B847" s="66"/>
      <c r="D847" s="66"/>
    </row>
    <row r="848">
      <c r="B848" s="66"/>
      <c r="D848" s="66"/>
    </row>
    <row r="849">
      <c r="B849" s="66"/>
      <c r="D849" s="66"/>
    </row>
    <row r="850">
      <c r="B850" s="66"/>
      <c r="D850" s="66"/>
    </row>
    <row r="851">
      <c r="B851" s="66"/>
      <c r="D851" s="66"/>
    </row>
    <row r="852">
      <c r="B852" s="66"/>
      <c r="D852" s="66"/>
    </row>
    <row r="853">
      <c r="B853" s="66"/>
      <c r="D853" s="66"/>
    </row>
    <row r="854">
      <c r="B854" s="66"/>
      <c r="D854" s="66"/>
    </row>
    <row r="855">
      <c r="B855" s="66"/>
      <c r="D855" s="66"/>
    </row>
    <row r="856">
      <c r="B856" s="66"/>
      <c r="D856" s="66"/>
    </row>
    <row r="857">
      <c r="B857" s="66"/>
      <c r="D857" s="66"/>
    </row>
    <row r="858">
      <c r="B858" s="66"/>
      <c r="D858" s="66"/>
    </row>
    <row r="859">
      <c r="B859" s="66"/>
      <c r="D859" s="66"/>
    </row>
    <row r="860">
      <c r="B860" s="66"/>
      <c r="D860" s="66"/>
    </row>
    <row r="861">
      <c r="B861" s="66"/>
      <c r="D861" s="66"/>
    </row>
    <row r="862">
      <c r="B862" s="66"/>
      <c r="D862" s="66"/>
    </row>
    <row r="863">
      <c r="B863" s="66"/>
      <c r="D863" s="66"/>
    </row>
    <row r="864">
      <c r="B864" s="66"/>
      <c r="D864" s="66"/>
    </row>
    <row r="865">
      <c r="B865" s="66"/>
      <c r="D865" s="66"/>
    </row>
    <row r="866">
      <c r="B866" s="66"/>
      <c r="D866" s="66"/>
    </row>
    <row r="867">
      <c r="B867" s="66"/>
      <c r="D867" s="66"/>
    </row>
    <row r="868">
      <c r="B868" s="66"/>
      <c r="D868" s="66"/>
    </row>
    <row r="869">
      <c r="B869" s="66"/>
      <c r="D869" s="66"/>
    </row>
    <row r="870">
      <c r="B870" s="66"/>
      <c r="D870" s="66"/>
    </row>
    <row r="871">
      <c r="B871" s="66"/>
      <c r="D871" s="66"/>
    </row>
    <row r="872">
      <c r="B872" s="66"/>
      <c r="D872" s="66"/>
    </row>
    <row r="873">
      <c r="B873" s="66"/>
      <c r="D873" s="66"/>
    </row>
    <row r="874">
      <c r="B874" s="66"/>
      <c r="D874" s="66"/>
    </row>
    <row r="875">
      <c r="B875" s="66"/>
      <c r="D875" s="66"/>
    </row>
    <row r="876">
      <c r="B876" s="66"/>
      <c r="D876" s="66"/>
    </row>
    <row r="877">
      <c r="B877" s="66"/>
      <c r="D877" s="66"/>
    </row>
    <row r="878">
      <c r="B878" s="66"/>
      <c r="D878" s="66"/>
    </row>
    <row r="879">
      <c r="B879" s="66"/>
      <c r="D879" s="66"/>
    </row>
    <row r="880">
      <c r="B880" s="66"/>
      <c r="D880" s="66"/>
    </row>
    <row r="881">
      <c r="B881" s="66"/>
      <c r="D881" s="66"/>
    </row>
    <row r="882">
      <c r="B882" s="66"/>
      <c r="D882" s="66"/>
    </row>
    <row r="883">
      <c r="B883" s="66"/>
      <c r="D883" s="66"/>
    </row>
    <row r="884">
      <c r="B884" s="66"/>
      <c r="D884" s="66"/>
    </row>
    <row r="885">
      <c r="B885" s="66"/>
      <c r="D885" s="66"/>
    </row>
    <row r="886">
      <c r="B886" s="66"/>
      <c r="D886" s="66"/>
    </row>
    <row r="887">
      <c r="B887" s="66"/>
      <c r="D887" s="66"/>
    </row>
    <row r="888">
      <c r="B888" s="66"/>
      <c r="D888" s="66"/>
    </row>
    <row r="889">
      <c r="B889" s="66"/>
      <c r="D889" s="66"/>
    </row>
    <row r="890">
      <c r="B890" s="66"/>
      <c r="D890" s="66"/>
    </row>
    <row r="891">
      <c r="B891" s="66"/>
      <c r="D891" s="66"/>
    </row>
    <row r="892">
      <c r="B892" s="66"/>
      <c r="D892" s="66"/>
    </row>
    <row r="893">
      <c r="B893" s="66"/>
      <c r="D893" s="66"/>
    </row>
    <row r="894">
      <c r="B894" s="66"/>
      <c r="D894" s="66"/>
    </row>
    <row r="895">
      <c r="B895" s="66"/>
      <c r="D895" s="66"/>
    </row>
    <row r="896">
      <c r="B896" s="66"/>
      <c r="D896" s="66"/>
    </row>
    <row r="897">
      <c r="B897" s="66"/>
      <c r="D897" s="66"/>
    </row>
    <row r="898">
      <c r="B898" s="66"/>
      <c r="D898" s="66"/>
    </row>
    <row r="899">
      <c r="B899" s="66"/>
      <c r="D899" s="66"/>
    </row>
    <row r="900">
      <c r="B900" s="66"/>
      <c r="D900" s="66"/>
    </row>
    <row r="901">
      <c r="B901" s="66"/>
      <c r="D901" s="66"/>
    </row>
    <row r="902">
      <c r="B902" s="66"/>
      <c r="D902" s="66"/>
    </row>
    <row r="903">
      <c r="B903" s="66"/>
      <c r="D903" s="66"/>
    </row>
    <row r="904">
      <c r="B904" s="66"/>
      <c r="D904" s="66"/>
    </row>
    <row r="905">
      <c r="B905" s="66"/>
      <c r="D905" s="66"/>
    </row>
    <row r="906">
      <c r="B906" s="66"/>
      <c r="D906" s="66"/>
    </row>
    <row r="907">
      <c r="B907" s="66"/>
      <c r="D907" s="66"/>
    </row>
    <row r="908">
      <c r="B908" s="66"/>
      <c r="D908" s="66"/>
    </row>
    <row r="909">
      <c r="B909" s="66"/>
      <c r="D909" s="66"/>
    </row>
    <row r="910">
      <c r="B910" s="66"/>
      <c r="D910" s="66"/>
    </row>
    <row r="911">
      <c r="B911" s="66"/>
      <c r="D911" s="66"/>
    </row>
    <row r="912">
      <c r="B912" s="66"/>
      <c r="D912" s="66"/>
    </row>
    <row r="913">
      <c r="B913" s="66"/>
      <c r="D913" s="66"/>
    </row>
    <row r="914">
      <c r="B914" s="66"/>
      <c r="D914" s="66"/>
    </row>
    <row r="915">
      <c r="B915" s="66"/>
      <c r="D915" s="66"/>
    </row>
    <row r="916">
      <c r="B916" s="66"/>
      <c r="D916" s="66"/>
    </row>
    <row r="917">
      <c r="B917" s="66"/>
      <c r="D917" s="66"/>
    </row>
    <row r="918">
      <c r="B918" s="66"/>
      <c r="D918" s="66"/>
    </row>
    <row r="919">
      <c r="B919" s="66"/>
      <c r="D919" s="66"/>
    </row>
    <row r="920">
      <c r="B920" s="66"/>
      <c r="D920" s="66"/>
    </row>
    <row r="921">
      <c r="B921" s="66"/>
      <c r="D921" s="66"/>
    </row>
    <row r="922">
      <c r="B922" s="66"/>
      <c r="D922" s="66"/>
    </row>
    <row r="923">
      <c r="B923" s="66"/>
      <c r="D923" s="66"/>
    </row>
    <row r="924">
      <c r="B924" s="66"/>
      <c r="D924" s="66"/>
    </row>
    <row r="925">
      <c r="B925" s="66"/>
      <c r="D925" s="66"/>
    </row>
    <row r="926">
      <c r="B926" s="66"/>
      <c r="D926" s="66"/>
    </row>
    <row r="927">
      <c r="B927" s="66"/>
      <c r="D927" s="66"/>
    </row>
    <row r="928">
      <c r="B928" s="66"/>
      <c r="D928" s="66"/>
    </row>
    <row r="929">
      <c r="B929" s="66"/>
      <c r="D929" s="66"/>
    </row>
    <row r="930">
      <c r="B930" s="66"/>
      <c r="D930" s="66"/>
    </row>
    <row r="931">
      <c r="B931" s="66"/>
      <c r="D931" s="66"/>
    </row>
    <row r="932">
      <c r="B932" s="66"/>
      <c r="D932" s="66"/>
    </row>
    <row r="933">
      <c r="B933" s="66"/>
      <c r="D933" s="66"/>
    </row>
    <row r="934">
      <c r="B934" s="66"/>
      <c r="D934" s="66"/>
    </row>
    <row r="935">
      <c r="B935" s="66"/>
      <c r="D935" s="66"/>
    </row>
    <row r="936">
      <c r="B936" s="66"/>
      <c r="D936" s="66"/>
    </row>
    <row r="937">
      <c r="B937" s="66"/>
      <c r="D937" s="66"/>
    </row>
    <row r="938">
      <c r="B938" s="66"/>
      <c r="D938" s="66"/>
    </row>
    <row r="939">
      <c r="B939" s="66"/>
      <c r="D939" s="66"/>
    </row>
    <row r="940">
      <c r="B940" s="66"/>
      <c r="D940" s="66"/>
    </row>
    <row r="941">
      <c r="B941" s="66"/>
      <c r="D941" s="66"/>
    </row>
    <row r="942">
      <c r="B942" s="66"/>
      <c r="D942" s="66"/>
    </row>
    <row r="943">
      <c r="B943" s="66"/>
      <c r="D943" s="66"/>
    </row>
    <row r="944">
      <c r="B944" s="66"/>
      <c r="D944" s="66"/>
    </row>
    <row r="945">
      <c r="B945" s="66"/>
      <c r="D945" s="66"/>
    </row>
    <row r="946">
      <c r="B946" s="66"/>
      <c r="D946" s="66"/>
    </row>
    <row r="947">
      <c r="B947" s="66"/>
      <c r="D947" s="66"/>
    </row>
    <row r="948">
      <c r="B948" s="66"/>
      <c r="D948" s="66"/>
    </row>
    <row r="949">
      <c r="B949" s="66"/>
      <c r="D949" s="66"/>
    </row>
    <row r="950">
      <c r="B950" s="66"/>
      <c r="D950" s="66"/>
    </row>
    <row r="951">
      <c r="B951" s="66"/>
      <c r="D951" s="66"/>
    </row>
    <row r="952">
      <c r="B952" s="66"/>
      <c r="D952" s="66"/>
    </row>
    <row r="953">
      <c r="B953" s="66"/>
      <c r="D953" s="66"/>
    </row>
    <row r="954">
      <c r="B954" s="66"/>
      <c r="D954" s="66"/>
    </row>
    <row r="955">
      <c r="B955" s="66"/>
      <c r="D955" s="66"/>
    </row>
    <row r="956">
      <c r="B956" s="66"/>
      <c r="D956" s="66"/>
    </row>
    <row r="957">
      <c r="B957" s="66"/>
      <c r="D957" s="66"/>
    </row>
    <row r="958">
      <c r="B958" s="66"/>
      <c r="D958" s="66"/>
    </row>
    <row r="959">
      <c r="B959" s="66"/>
      <c r="D959" s="66"/>
    </row>
    <row r="960">
      <c r="B960" s="66"/>
      <c r="D960" s="66"/>
    </row>
    <row r="961">
      <c r="B961" s="66"/>
      <c r="D961" s="66"/>
    </row>
    <row r="962">
      <c r="B962" s="66"/>
      <c r="D962" s="66"/>
    </row>
    <row r="963">
      <c r="B963" s="66"/>
      <c r="D963" s="66"/>
    </row>
    <row r="964">
      <c r="B964" s="66"/>
      <c r="D964" s="66"/>
    </row>
    <row r="965">
      <c r="B965" s="66"/>
      <c r="D965" s="66"/>
    </row>
    <row r="966">
      <c r="B966" s="66"/>
      <c r="D966" s="66"/>
    </row>
    <row r="967">
      <c r="B967" s="66"/>
      <c r="D967" s="66"/>
    </row>
    <row r="968">
      <c r="B968" s="66"/>
      <c r="D968" s="66"/>
    </row>
    <row r="969">
      <c r="B969" s="66"/>
      <c r="D969" s="66"/>
    </row>
    <row r="970">
      <c r="B970" s="66"/>
      <c r="D970" s="66"/>
    </row>
    <row r="971">
      <c r="B971" s="66"/>
      <c r="D971" s="66"/>
    </row>
    <row r="972">
      <c r="B972" s="66"/>
      <c r="D972" s="66"/>
    </row>
    <row r="973">
      <c r="B973" s="66"/>
      <c r="D973" s="66"/>
    </row>
    <row r="974">
      <c r="B974" s="66"/>
      <c r="D974" s="66"/>
    </row>
    <row r="975">
      <c r="B975" s="66"/>
      <c r="D975" s="66"/>
    </row>
    <row r="976">
      <c r="B976" s="66"/>
      <c r="D976" s="66"/>
    </row>
    <row r="977">
      <c r="B977" s="66"/>
      <c r="D977" s="66"/>
    </row>
    <row r="978">
      <c r="B978" s="66"/>
      <c r="D978" s="66"/>
    </row>
    <row r="979">
      <c r="B979" s="66"/>
      <c r="D979" s="66"/>
    </row>
    <row r="980">
      <c r="B980" s="66"/>
      <c r="D980" s="66"/>
    </row>
    <row r="981">
      <c r="B981" s="66"/>
      <c r="D981" s="66"/>
    </row>
    <row r="982">
      <c r="B982" s="66"/>
      <c r="D982" s="66"/>
    </row>
    <row r="983">
      <c r="B983" s="66"/>
      <c r="D983" s="66"/>
    </row>
    <row r="984">
      <c r="B984" s="66"/>
      <c r="D984" s="66"/>
    </row>
    <row r="985">
      <c r="B985" s="66"/>
      <c r="D985" s="66"/>
    </row>
    <row r="986">
      <c r="B986" s="66"/>
      <c r="D986" s="66"/>
    </row>
    <row r="987">
      <c r="B987" s="66"/>
      <c r="D987" s="66"/>
    </row>
    <row r="988">
      <c r="B988" s="66"/>
      <c r="D988" s="66"/>
    </row>
    <row r="989">
      <c r="B989" s="66"/>
      <c r="D989" s="66"/>
    </row>
    <row r="990">
      <c r="B990" s="66"/>
      <c r="D990" s="66"/>
    </row>
    <row r="991">
      <c r="B991" s="66"/>
      <c r="D991" s="66"/>
    </row>
    <row r="992">
      <c r="B992" s="66"/>
      <c r="D992" s="66"/>
    </row>
    <row r="993">
      <c r="B993" s="66"/>
      <c r="D993" s="66"/>
    </row>
    <row r="994">
      <c r="B994" s="66"/>
      <c r="D994" s="66"/>
    </row>
    <row r="995">
      <c r="B995" s="66"/>
      <c r="D995" s="66"/>
    </row>
    <row r="996">
      <c r="B996" s="66"/>
      <c r="D996" s="66"/>
    </row>
    <row r="997">
      <c r="B997" s="66"/>
      <c r="D997" s="66"/>
    </row>
    <row r="998">
      <c r="B998" s="66"/>
      <c r="D998" s="66"/>
    </row>
    <row r="999">
      <c r="B999" s="66"/>
      <c r="D999" s="66"/>
    </row>
    <row r="1000">
      <c r="B1000" s="66"/>
      <c r="D1000" s="66"/>
    </row>
    <row r="1001">
      <c r="B1001" s="66"/>
      <c r="D1001" s="66"/>
    </row>
    <row r="1002">
      <c r="B1002" s="66"/>
      <c r="D1002" s="66"/>
    </row>
    <row r="1003">
      <c r="B1003" s="66"/>
      <c r="D1003" s="66"/>
    </row>
  </sheetData>
  <mergeCells count="4">
    <mergeCell ref="A1:H1"/>
    <mergeCell ref="A12:G12"/>
    <mergeCell ref="A23:G23"/>
    <mergeCell ref="A34:F3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41.75"/>
    <col customWidth="1" min="3" max="3" width="38.13"/>
    <col customWidth="1" min="4" max="4" width="40.0"/>
  </cols>
  <sheetData>
    <row r="1">
      <c r="A1" s="82"/>
      <c r="B1" s="25"/>
      <c r="C1" s="25"/>
      <c r="D1" s="25"/>
    </row>
    <row r="2">
      <c r="A2" s="47" t="s">
        <v>990</v>
      </c>
    </row>
    <row r="3">
      <c r="A3" s="47" t="s">
        <v>66</v>
      </c>
      <c r="B3" s="47" t="s">
        <v>991</v>
      </c>
      <c r="C3" s="47" t="s">
        <v>992</v>
      </c>
      <c r="D3" s="47" t="s">
        <v>993</v>
      </c>
    </row>
    <row r="4">
      <c r="A4" s="32" t="s">
        <v>75</v>
      </c>
    </row>
    <row r="5">
      <c r="A5" s="83" t="s">
        <v>75</v>
      </c>
      <c r="B5" s="24" t="s">
        <v>994</v>
      </c>
      <c r="C5" s="24" t="s">
        <v>995</v>
      </c>
      <c r="D5" s="24" t="s">
        <v>996</v>
      </c>
    </row>
    <row r="6">
      <c r="A6" s="83" t="s">
        <v>75</v>
      </c>
      <c r="B6" s="24" t="s">
        <v>997</v>
      </c>
      <c r="C6" s="24" t="s">
        <v>998</v>
      </c>
      <c r="D6" s="24" t="s">
        <v>999</v>
      </c>
    </row>
    <row r="7">
      <c r="A7" s="83" t="s">
        <v>75</v>
      </c>
      <c r="B7" s="24" t="s">
        <v>1000</v>
      </c>
      <c r="C7" s="24" t="s">
        <v>1001</v>
      </c>
      <c r="D7" s="24" t="s">
        <v>1002</v>
      </c>
    </row>
    <row r="8">
      <c r="A8" s="83" t="s">
        <v>75</v>
      </c>
      <c r="B8" s="24" t="s">
        <v>1003</v>
      </c>
      <c r="C8" s="24" t="s">
        <v>1004</v>
      </c>
      <c r="D8" s="24" t="s">
        <v>1005</v>
      </c>
    </row>
    <row r="9">
      <c r="A9" s="32" t="s">
        <v>78</v>
      </c>
    </row>
    <row r="10">
      <c r="A10" s="83" t="s">
        <v>78</v>
      </c>
      <c r="B10" s="24" t="s">
        <v>1006</v>
      </c>
      <c r="C10" s="24" t="s">
        <v>1007</v>
      </c>
      <c r="D10" s="24" t="s">
        <v>1008</v>
      </c>
    </row>
    <row r="11">
      <c r="A11" s="83" t="s">
        <v>78</v>
      </c>
      <c r="B11" s="24" t="s">
        <v>1009</v>
      </c>
      <c r="C11" s="24" t="s">
        <v>1010</v>
      </c>
      <c r="D11" s="24" t="s">
        <v>999</v>
      </c>
    </row>
    <row r="12">
      <c r="A12" s="83" t="s">
        <v>78</v>
      </c>
      <c r="B12" s="24" t="s">
        <v>1011</v>
      </c>
      <c r="C12" s="24" t="s">
        <v>1012</v>
      </c>
      <c r="D12" s="24" t="s">
        <v>1013</v>
      </c>
    </row>
    <row r="13">
      <c r="A13" s="83" t="s">
        <v>78</v>
      </c>
      <c r="B13" s="24" t="s">
        <v>1014</v>
      </c>
      <c r="C13" s="24" t="s">
        <v>1015</v>
      </c>
      <c r="D13" s="24" t="s">
        <v>1016</v>
      </c>
    </row>
    <row r="14">
      <c r="A14" s="32" t="s">
        <v>82</v>
      </c>
    </row>
    <row r="15">
      <c r="A15" s="83" t="s">
        <v>82</v>
      </c>
      <c r="B15" s="24" t="s">
        <v>1017</v>
      </c>
      <c r="C15" s="24" t="s">
        <v>1018</v>
      </c>
      <c r="D15" s="24" t="s">
        <v>1019</v>
      </c>
    </row>
    <row r="16">
      <c r="A16" s="83" t="s">
        <v>82</v>
      </c>
      <c r="B16" s="24" t="s">
        <v>1020</v>
      </c>
      <c r="C16" s="24" t="s">
        <v>1021</v>
      </c>
      <c r="D16" s="24" t="s">
        <v>1008</v>
      </c>
    </row>
    <row r="17">
      <c r="A17" s="83" t="s">
        <v>82</v>
      </c>
      <c r="B17" s="24" t="s">
        <v>1022</v>
      </c>
      <c r="C17" s="24" t="s">
        <v>1023</v>
      </c>
      <c r="D17" s="24" t="s">
        <v>1024</v>
      </c>
    </row>
    <row r="18">
      <c r="A18" s="83" t="s">
        <v>82</v>
      </c>
      <c r="B18" s="24" t="s">
        <v>1025</v>
      </c>
      <c r="C18" s="24" t="s">
        <v>1026</v>
      </c>
      <c r="D18" s="24" t="s">
        <v>1027</v>
      </c>
    </row>
    <row r="19">
      <c r="A19" s="32" t="s">
        <v>85</v>
      </c>
    </row>
    <row r="20">
      <c r="A20" s="83" t="s">
        <v>85</v>
      </c>
      <c r="B20" s="24" t="s">
        <v>1028</v>
      </c>
      <c r="C20" s="24" t="s">
        <v>1029</v>
      </c>
      <c r="D20" s="24" t="s">
        <v>1008</v>
      </c>
    </row>
    <row r="21">
      <c r="A21" s="83" t="s">
        <v>85</v>
      </c>
      <c r="B21" s="24" t="s">
        <v>1030</v>
      </c>
      <c r="C21" s="24" t="s">
        <v>1031</v>
      </c>
      <c r="D21" s="24" t="s">
        <v>999</v>
      </c>
    </row>
    <row r="22">
      <c r="A22" s="83" t="s">
        <v>85</v>
      </c>
      <c r="B22" s="24" t="s">
        <v>1032</v>
      </c>
      <c r="C22" s="24" t="s">
        <v>1033</v>
      </c>
      <c r="D22" s="24" t="s">
        <v>1034</v>
      </c>
    </row>
    <row r="23">
      <c r="A23" s="83" t="s">
        <v>85</v>
      </c>
      <c r="B23" s="24" t="s">
        <v>1035</v>
      </c>
      <c r="C23" s="24" t="s">
        <v>1036</v>
      </c>
      <c r="D23" s="24" t="s">
        <v>1037</v>
      </c>
    </row>
    <row r="24">
      <c r="A24" s="82"/>
      <c r="B24" s="25"/>
      <c r="C24" s="25"/>
      <c r="D24" s="25"/>
    </row>
    <row r="25">
      <c r="A25" s="82"/>
      <c r="B25" s="25"/>
      <c r="C25" s="25"/>
      <c r="D25" s="25"/>
    </row>
    <row r="26">
      <c r="A26" s="47" t="s">
        <v>1038</v>
      </c>
    </row>
    <row r="27">
      <c r="A27" s="47" t="s">
        <v>1039</v>
      </c>
      <c r="B27" s="47" t="s">
        <v>1040</v>
      </c>
      <c r="C27" s="47" t="s">
        <v>1041</v>
      </c>
      <c r="D27" s="47" t="s">
        <v>1042</v>
      </c>
    </row>
    <row r="28">
      <c r="A28" s="32" t="s">
        <v>112</v>
      </c>
    </row>
    <row r="29">
      <c r="A29" s="83" t="s">
        <v>1043</v>
      </c>
      <c r="B29" s="24" t="s">
        <v>1044</v>
      </c>
      <c r="C29" s="24" t="s">
        <v>1045</v>
      </c>
      <c r="D29" s="24" t="s">
        <v>1046</v>
      </c>
    </row>
    <row r="30">
      <c r="A30" s="83" t="s">
        <v>1043</v>
      </c>
      <c r="B30" s="24" t="s">
        <v>1047</v>
      </c>
      <c r="C30" s="24" t="s">
        <v>1048</v>
      </c>
      <c r="D30" s="24" t="s">
        <v>1049</v>
      </c>
    </row>
    <row r="31">
      <c r="A31" s="83" t="s">
        <v>1043</v>
      </c>
      <c r="B31" s="24" t="s">
        <v>1050</v>
      </c>
      <c r="C31" s="24" t="s">
        <v>1051</v>
      </c>
      <c r="D31" s="24" t="s">
        <v>1052</v>
      </c>
    </row>
    <row r="32">
      <c r="A32" s="83" t="s">
        <v>1043</v>
      </c>
      <c r="B32" s="24" t="s">
        <v>1053</v>
      </c>
      <c r="C32" s="24" t="s">
        <v>1054</v>
      </c>
      <c r="D32" s="24" t="s">
        <v>1055</v>
      </c>
    </row>
    <row r="33">
      <c r="A33" s="83" t="s">
        <v>1043</v>
      </c>
      <c r="B33" s="24" t="s">
        <v>1056</v>
      </c>
      <c r="C33" s="24" t="s">
        <v>1057</v>
      </c>
      <c r="D33" s="24" t="s">
        <v>1058</v>
      </c>
    </row>
    <row r="34">
      <c r="A34" s="83" t="s">
        <v>1043</v>
      </c>
      <c r="B34" s="24" t="s">
        <v>1059</v>
      </c>
      <c r="C34" s="24" t="s">
        <v>1060</v>
      </c>
      <c r="D34" s="24" t="s">
        <v>1061</v>
      </c>
    </row>
    <row r="35">
      <c r="A35" s="32" t="s">
        <v>1062</v>
      </c>
    </row>
    <row r="36">
      <c r="A36" s="83" t="s">
        <v>1063</v>
      </c>
      <c r="B36" s="24" t="s">
        <v>1064</v>
      </c>
      <c r="C36" s="24" t="s">
        <v>1065</v>
      </c>
      <c r="D36" s="24" t="s">
        <v>1066</v>
      </c>
    </row>
    <row r="37">
      <c r="A37" s="83" t="s">
        <v>1067</v>
      </c>
      <c r="B37" s="24" t="s">
        <v>1068</v>
      </c>
      <c r="C37" s="24" t="s">
        <v>1069</v>
      </c>
      <c r="D37" s="24" t="s">
        <v>1070</v>
      </c>
    </row>
    <row r="38">
      <c r="A38" s="83" t="s">
        <v>1071</v>
      </c>
      <c r="B38" s="24" t="s">
        <v>1072</v>
      </c>
      <c r="C38" s="24" t="s">
        <v>1073</v>
      </c>
      <c r="D38" s="24" t="s">
        <v>1074</v>
      </c>
    </row>
    <row r="39">
      <c r="C39" s="24" t="s">
        <v>1075</v>
      </c>
      <c r="D39" s="24" t="s">
        <v>1076</v>
      </c>
    </row>
    <row r="40">
      <c r="C40" s="24" t="s">
        <v>1077</v>
      </c>
      <c r="D40" s="24" t="s">
        <v>1078</v>
      </c>
    </row>
    <row r="41">
      <c r="A41" s="83" t="s">
        <v>1079</v>
      </c>
      <c r="B41" s="24" t="s">
        <v>1080</v>
      </c>
      <c r="C41" s="24" t="s">
        <v>1081</v>
      </c>
      <c r="D41" s="24" t="s">
        <v>1082</v>
      </c>
    </row>
    <row r="42">
      <c r="A42" s="82"/>
      <c r="B42" s="25"/>
      <c r="C42" s="25"/>
      <c r="D42" s="25"/>
    </row>
    <row r="43">
      <c r="A43" s="82"/>
      <c r="B43" s="25"/>
      <c r="C43" s="25"/>
      <c r="D43" s="25"/>
    </row>
    <row r="44">
      <c r="A44" s="82"/>
      <c r="B44" s="25"/>
      <c r="C44" s="25"/>
      <c r="D44" s="25"/>
    </row>
    <row r="45">
      <c r="A45" s="82"/>
      <c r="B45" s="25"/>
      <c r="C45" s="25"/>
      <c r="D45" s="25"/>
    </row>
    <row r="46">
      <c r="A46" s="82"/>
      <c r="B46" s="25"/>
      <c r="C46" s="25"/>
      <c r="D46" s="25"/>
    </row>
    <row r="47">
      <c r="A47" s="82"/>
      <c r="B47" s="25"/>
      <c r="C47" s="25"/>
      <c r="D47" s="25"/>
    </row>
    <row r="48">
      <c r="A48" s="82"/>
      <c r="B48" s="25"/>
      <c r="C48" s="25"/>
      <c r="D48" s="25"/>
    </row>
    <row r="49">
      <c r="A49" s="82"/>
      <c r="B49" s="25"/>
      <c r="C49" s="25"/>
      <c r="D49" s="25"/>
    </row>
    <row r="50">
      <c r="A50" s="82"/>
      <c r="B50" s="25"/>
      <c r="C50" s="25"/>
      <c r="D50" s="25"/>
    </row>
    <row r="51">
      <c r="A51" s="82"/>
      <c r="B51" s="25"/>
      <c r="C51" s="25"/>
      <c r="D51" s="25"/>
    </row>
    <row r="52">
      <c r="A52" s="82"/>
      <c r="B52" s="25"/>
      <c r="C52" s="25"/>
      <c r="D52" s="25"/>
    </row>
    <row r="53">
      <c r="A53" s="82"/>
      <c r="B53" s="25"/>
      <c r="C53" s="25"/>
      <c r="D53" s="25"/>
    </row>
    <row r="54">
      <c r="A54" s="82"/>
      <c r="B54" s="25"/>
      <c r="C54" s="25"/>
      <c r="D54" s="25"/>
    </row>
    <row r="55">
      <c r="A55" s="82"/>
      <c r="B55" s="25"/>
      <c r="C55" s="25"/>
      <c r="D55" s="25"/>
    </row>
    <row r="56">
      <c r="A56" s="82"/>
      <c r="B56" s="25"/>
      <c r="C56" s="25"/>
      <c r="D56" s="25"/>
    </row>
    <row r="57">
      <c r="A57" s="82"/>
      <c r="B57" s="25"/>
      <c r="C57" s="25"/>
      <c r="D57" s="25"/>
    </row>
    <row r="58">
      <c r="A58" s="82"/>
      <c r="B58" s="25"/>
      <c r="C58" s="25"/>
      <c r="D58" s="25"/>
    </row>
    <row r="59">
      <c r="A59" s="82"/>
      <c r="B59" s="25"/>
      <c r="C59" s="25"/>
      <c r="D59" s="25"/>
    </row>
    <row r="60">
      <c r="A60" s="82"/>
      <c r="B60" s="25"/>
      <c r="C60" s="25"/>
      <c r="D60" s="25"/>
    </row>
    <row r="61">
      <c r="A61" s="82"/>
      <c r="B61" s="25"/>
      <c r="C61" s="25"/>
      <c r="D61" s="25"/>
    </row>
    <row r="62">
      <c r="A62" s="82"/>
      <c r="B62" s="25"/>
      <c r="C62" s="25"/>
      <c r="D62" s="25"/>
    </row>
    <row r="63">
      <c r="A63" s="82"/>
      <c r="B63" s="25"/>
      <c r="C63" s="25"/>
      <c r="D63" s="25"/>
    </row>
    <row r="64">
      <c r="A64" s="82"/>
      <c r="B64" s="25"/>
      <c r="C64" s="25"/>
      <c r="D64" s="25"/>
    </row>
    <row r="65">
      <c r="A65" s="82"/>
      <c r="B65" s="25"/>
      <c r="C65" s="25"/>
      <c r="D65" s="25"/>
    </row>
    <row r="66">
      <c r="A66" s="82"/>
      <c r="B66" s="25"/>
      <c r="C66" s="25"/>
      <c r="D66" s="25"/>
    </row>
    <row r="67">
      <c r="A67" s="82"/>
      <c r="B67" s="25"/>
      <c r="C67" s="25"/>
      <c r="D67" s="25"/>
    </row>
    <row r="68">
      <c r="A68" s="82"/>
      <c r="B68" s="25"/>
      <c r="C68" s="25"/>
      <c r="D68" s="25"/>
    </row>
    <row r="69">
      <c r="A69" s="82"/>
      <c r="B69" s="25"/>
      <c r="C69" s="25"/>
      <c r="D69" s="25"/>
    </row>
    <row r="70">
      <c r="A70" s="82"/>
      <c r="B70" s="25"/>
      <c r="C70" s="25"/>
      <c r="D70" s="25"/>
    </row>
    <row r="71">
      <c r="A71" s="82"/>
      <c r="B71" s="25"/>
      <c r="C71" s="25"/>
      <c r="D71" s="25"/>
    </row>
    <row r="72">
      <c r="A72" s="82"/>
      <c r="B72" s="25"/>
      <c r="C72" s="25"/>
      <c r="D72" s="25"/>
    </row>
    <row r="73">
      <c r="A73" s="82"/>
      <c r="B73" s="25"/>
      <c r="C73" s="25"/>
      <c r="D73" s="25"/>
    </row>
    <row r="74">
      <c r="A74" s="82"/>
      <c r="B74" s="25"/>
      <c r="C74" s="25"/>
      <c r="D74" s="25"/>
    </row>
    <row r="75">
      <c r="A75" s="82"/>
      <c r="B75" s="25"/>
      <c r="C75" s="25"/>
      <c r="D75" s="25"/>
    </row>
    <row r="76">
      <c r="A76" s="82"/>
      <c r="B76" s="25"/>
      <c r="C76" s="25"/>
      <c r="D76" s="25"/>
    </row>
    <row r="77">
      <c r="A77" s="82"/>
      <c r="B77" s="25"/>
      <c r="C77" s="25"/>
      <c r="D77" s="25"/>
    </row>
    <row r="78">
      <c r="A78" s="82"/>
      <c r="B78" s="25"/>
      <c r="C78" s="25"/>
      <c r="D78" s="25"/>
    </row>
    <row r="79">
      <c r="A79" s="82"/>
      <c r="B79" s="25"/>
      <c r="C79" s="25"/>
      <c r="D79" s="25"/>
    </row>
    <row r="80">
      <c r="A80" s="82"/>
      <c r="B80" s="25"/>
      <c r="C80" s="25"/>
      <c r="D80" s="25"/>
    </row>
    <row r="81">
      <c r="A81" s="82"/>
      <c r="B81" s="25"/>
      <c r="C81" s="25"/>
      <c r="D81" s="25"/>
    </row>
    <row r="82">
      <c r="A82" s="82"/>
      <c r="B82" s="25"/>
      <c r="C82" s="25"/>
      <c r="D82" s="25"/>
    </row>
    <row r="83">
      <c r="A83" s="82"/>
      <c r="B83" s="25"/>
      <c r="C83" s="25"/>
      <c r="D83" s="25"/>
    </row>
    <row r="84">
      <c r="A84" s="82"/>
      <c r="B84" s="25"/>
      <c r="C84" s="25"/>
      <c r="D84" s="25"/>
    </row>
    <row r="85">
      <c r="A85" s="82"/>
      <c r="B85" s="25"/>
      <c r="C85" s="25"/>
      <c r="D85" s="25"/>
    </row>
    <row r="86">
      <c r="A86" s="82"/>
      <c r="B86" s="25"/>
      <c r="C86" s="25"/>
      <c r="D86" s="25"/>
    </row>
    <row r="87">
      <c r="A87" s="82"/>
      <c r="B87" s="25"/>
      <c r="C87" s="25"/>
      <c r="D87" s="25"/>
    </row>
    <row r="88">
      <c r="A88" s="82"/>
      <c r="B88" s="25"/>
      <c r="C88" s="25"/>
      <c r="D88" s="25"/>
    </row>
    <row r="89">
      <c r="A89" s="82"/>
      <c r="B89" s="25"/>
      <c r="C89" s="25"/>
      <c r="D89" s="25"/>
    </row>
    <row r="90">
      <c r="A90" s="82"/>
      <c r="B90" s="25"/>
      <c r="C90" s="25"/>
      <c r="D90" s="25"/>
    </row>
    <row r="91">
      <c r="A91" s="82"/>
      <c r="B91" s="25"/>
      <c r="C91" s="25"/>
      <c r="D91" s="25"/>
    </row>
    <row r="92">
      <c r="A92" s="82"/>
      <c r="B92" s="25"/>
      <c r="C92" s="25"/>
      <c r="D92" s="25"/>
    </row>
    <row r="93">
      <c r="A93" s="82"/>
      <c r="B93" s="25"/>
      <c r="C93" s="25"/>
      <c r="D93" s="25"/>
    </row>
    <row r="94">
      <c r="A94" s="82"/>
      <c r="B94" s="25"/>
      <c r="C94" s="25"/>
      <c r="D94" s="25"/>
    </row>
    <row r="95">
      <c r="A95" s="82"/>
      <c r="B95" s="25"/>
      <c r="C95" s="25"/>
      <c r="D95" s="25"/>
    </row>
    <row r="96">
      <c r="A96" s="82"/>
      <c r="B96" s="25"/>
      <c r="C96" s="25"/>
      <c r="D96" s="25"/>
    </row>
    <row r="97">
      <c r="A97" s="82"/>
      <c r="B97" s="25"/>
      <c r="C97" s="25"/>
      <c r="D97" s="25"/>
    </row>
    <row r="98">
      <c r="A98" s="82"/>
      <c r="B98" s="25"/>
      <c r="C98" s="25"/>
      <c r="D98" s="25"/>
    </row>
    <row r="99">
      <c r="A99" s="82"/>
      <c r="B99" s="25"/>
      <c r="C99" s="25"/>
      <c r="D99" s="25"/>
    </row>
    <row r="100">
      <c r="A100" s="82"/>
      <c r="B100" s="25"/>
      <c r="C100" s="25"/>
      <c r="D100" s="25"/>
    </row>
    <row r="101">
      <c r="A101" s="82"/>
      <c r="B101" s="25"/>
      <c r="C101" s="25"/>
      <c r="D101" s="25"/>
    </row>
    <row r="102">
      <c r="A102" s="82"/>
      <c r="B102" s="25"/>
      <c r="C102" s="25"/>
      <c r="D102" s="25"/>
    </row>
    <row r="103">
      <c r="A103" s="82"/>
      <c r="B103" s="25"/>
      <c r="C103" s="25"/>
      <c r="D103" s="25"/>
    </row>
    <row r="104">
      <c r="A104" s="82"/>
      <c r="B104" s="25"/>
      <c r="C104" s="25"/>
      <c r="D104" s="25"/>
    </row>
    <row r="105">
      <c r="A105" s="82"/>
      <c r="B105" s="25"/>
      <c r="C105" s="25"/>
      <c r="D105" s="25"/>
    </row>
    <row r="106">
      <c r="A106" s="82"/>
      <c r="B106" s="25"/>
      <c r="C106" s="25"/>
      <c r="D106" s="25"/>
    </row>
    <row r="107">
      <c r="A107" s="82"/>
      <c r="B107" s="25"/>
      <c r="C107" s="25"/>
      <c r="D107" s="25"/>
    </row>
    <row r="108">
      <c r="A108" s="82"/>
      <c r="B108" s="25"/>
      <c r="C108" s="25"/>
      <c r="D108" s="25"/>
    </row>
    <row r="109">
      <c r="A109" s="82"/>
      <c r="B109" s="25"/>
      <c r="C109" s="25"/>
      <c r="D109" s="25"/>
    </row>
    <row r="110">
      <c r="A110" s="82"/>
      <c r="B110" s="25"/>
      <c r="C110" s="25"/>
      <c r="D110" s="25"/>
    </row>
    <row r="111">
      <c r="A111" s="82"/>
      <c r="B111" s="25"/>
      <c r="C111" s="25"/>
      <c r="D111" s="25"/>
    </row>
    <row r="112">
      <c r="A112" s="82"/>
      <c r="B112" s="25"/>
      <c r="C112" s="25"/>
      <c r="D112" s="25"/>
    </row>
    <row r="113">
      <c r="A113" s="82"/>
      <c r="B113" s="25"/>
      <c r="C113" s="25"/>
      <c r="D113" s="25"/>
    </row>
    <row r="114">
      <c r="A114" s="82"/>
      <c r="B114" s="25"/>
      <c r="C114" s="25"/>
      <c r="D114" s="25"/>
    </row>
    <row r="115">
      <c r="A115" s="82"/>
      <c r="B115" s="25"/>
      <c r="C115" s="25"/>
      <c r="D115" s="25"/>
    </row>
    <row r="116">
      <c r="A116" s="82"/>
      <c r="B116" s="25"/>
      <c r="C116" s="25"/>
      <c r="D116" s="25"/>
    </row>
    <row r="117">
      <c r="A117" s="82"/>
      <c r="B117" s="25"/>
      <c r="C117" s="25"/>
      <c r="D117" s="25"/>
    </row>
    <row r="118">
      <c r="A118" s="82"/>
      <c r="B118" s="25"/>
      <c r="C118" s="25"/>
      <c r="D118" s="25"/>
    </row>
    <row r="119">
      <c r="A119" s="82"/>
      <c r="B119" s="25"/>
      <c r="C119" s="25"/>
      <c r="D119" s="25"/>
    </row>
    <row r="120">
      <c r="A120" s="82"/>
      <c r="B120" s="25"/>
      <c r="C120" s="25"/>
      <c r="D120" s="25"/>
    </row>
    <row r="121">
      <c r="A121" s="82"/>
      <c r="B121" s="25"/>
      <c r="C121" s="25"/>
      <c r="D121" s="25"/>
    </row>
    <row r="122">
      <c r="A122" s="82"/>
      <c r="B122" s="25"/>
      <c r="C122" s="25"/>
      <c r="D122" s="25"/>
    </row>
    <row r="123">
      <c r="A123" s="82"/>
      <c r="B123" s="25"/>
      <c r="C123" s="25"/>
      <c r="D123" s="25"/>
    </row>
    <row r="124">
      <c r="A124" s="82"/>
      <c r="B124" s="25"/>
      <c r="C124" s="25"/>
      <c r="D124" s="25"/>
    </row>
    <row r="125">
      <c r="A125" s="82"/>
      <c r="B125" s="25"/>
      <c r="C125" s="25"/>
      <c r="D125" s="25"/>
    </row>
    <row r="126">
      <c r="A126" s="82"/>
      <c r="B126" s="25"/>
      <c r="C126" s="25"/>
      <c r="D126" s="25"/>
    </row>
    <row r="127">
      <c r="A127" s="82"/>
      <c r="B127" s="25"/>
      <c r="C127" s="25"/>
      <c r="D127" s="25"/>
    </row>
    <row r="128">
      <c r="A128" s="82"/>
      <c r="B128" s="25"/>
      <c r="C128" s="25"/>
      <c r="D128" s="25"/>
    </row>
    <row r="129">
      <c r="A129" s="82"/>
      <c r="B129" s="25"/>
      <c r="C129" s="25"/>
      <c r="D129" s="25"/>
    </row>
    <row r="130">
      <c r="A130" s="82"/>
      <c r="B130" s="25"/>
      <c r="C130" s="25"/>
      <c r="D130" s="25"/>
    </row>
    <row r="131">
      <c r="A131" s="82"/>
      <c r="B131" s="25"/>
      <c r="C131" s="25"/>
      <c r="D131" s="25"/>
    </row>
    <row r="132">
      <c r="A132" s="82"/>
      <c r="B132" s="25"/>
      <c r="C132" s="25"/>
      <c r="D132" s="25"/>
    </row>
    <row r="133">
      <c r="A133" s="82"/>
      <c r="B133" s="25"/>
      <c r="C133" s="25"/>
      <c r="D133" s="25"/>
    </row>
    <row r="134">
      <c r="A134" s="82"/>
      <c r="B134" s="25"/>
      <c r="C134" s="25"/>
      <c r="D134" s="25"/>
    </row>
    <row r="135">
      <c r="A135" s="82"/>
      <c r="B135" s="25"/>
      <c r="C135" s="25"/>
      <c r="D135" s="25"/>
    </row>
    <row r="136">
      <c r="A136" s="82"/>
      <c r="B136" s="25"/>
      <c r="C136" s="25"/>
      <c r="D136" s="25"/>
    </row>
    <row r="137">
      <c r="A137" s="82"/>
      <c r="B137" s="25"/>
      <c r="C137" s="25"/>
      <c r="D137" s="25"/>
    </row>
    <row r="138">
      <c r="A138" s="82"/>
      <c r="B138" s="25"/>
      <c r="C138" s="25"/>
      <c r="D138" s="25"/>
    </row>
    <row r="139">
      <c r="A139" s="82"/>
      <c r="B139" s="25"/>
      <c r="C139" s="25"/>
      <c r="D139" s="25"/>
    </row>
    <row r="140">
      <c r="A140" s="82"/>
      <c r="B140" s="25"/>
      <c r="C140" s="25"/>
      <c r="D140" s="25"/>
    </row>
    <row r="141">
      <c r="A141" s="82"/>
      <c r="B141" s="25"/>
      <c r="C141" s="25"/>
      <c r="D141" s="25"/>
    </row>
    <row r="142">
      <c r="A142" s="82"/>
      <c r="B142" s="25"/>
      <c r="C142" s="25"/>
      <c r="D142" s="25"/>
    </row>
    <row r="143">
      <c r="A143" s="82"/>
      <c r="B143" s="25"/>
      <c r="C143" s="25"/>
      <c r="D143" s="25"/>
    </row>
    <row r="144">
      <c r="A144" s="82"/>
      <c r="B144" s="25"/>
      <c r="C144" s="25"/>
      <c r="D144" s="25"/>
    </row>
    <row r="145">
      <c r="A145" s="82"/>
      <c r="B145" s="25"/>
      <c r="C145" s="25"/>
      <c r="D145" s="25"/>
    </row>
    <row r="146">
      <c r="A146" s="82"/>
      <c r="B146" s="25"/>
      <c r="C146" s="25"/>
      <c r="D146" s="25"/>
    </row>
    <row r="147">
      <c r="A147" s="82"/>
      <c r="B147" s="25"/>
      <c r="C147" s="25"/>
      <c r="D147" s="25"/>
    </row>
    <row r="148">
      <c r="A148" s="82"/>
      <c r="B148" s="25"/>
      <c r="C148" s="25"/>
      <c r="D148" s="25"/>
    </row>
    <row r="149">
      <c r="A149" s="82"/>
      <c r="B149" s="25"/>
      <c r="C149" s="25"/>
      <c r="D149" s="25"/>
    </row>
    <row r="150">
      <c r="A150" s="82"/>
      <c r="B150" s="25"/>
      <c r="C150" s="25"/>
      <c r="D150" s="25"/>
    </row>
    <row r="151">
      <c r="A151" s="82"/>
      <c r="B151" s="25"/>
      <c r="C151" s="25"/>
      <c r="D151" s="25"/>
    </row>
    <row r="152">
      <c r="A152" s="82"/>
      <c r="B152" s="25"/>
      <c r="C152" s="25"/>
      <c r="D152" s="25"/>
    </row>
    <row r="153">
      <c r="A153" s="82"/>
      <c r="B153" s="25"/>
      <c r="C153" s="25"/>
      <c r="D153" s="25"/>
    </row>
    <row r="154">
      <c r="A154" s="82"/>
      <c r="B154" s="25"/>
      <c r="C154" s="25"/>
      <c r="D154" s="25"/>
    </row>
    <row r="155">
      <c r="A155" s="82"/>
      <c r="B155" s="25"/>
      <c r="C155" s="25"/>
      <c r="D155" s="25"/>
    </row>
    <row r="156">
      <c r="A156" s="82"/>
      <c r="B156" s="25"/>
      <c r="C156" s="25"/>
      <c r="D156" s="25"/>
    </row>
    <row r="157">
      <c r="A157" s="82"/>
      <c r="B157" s="25"/>
      <c r="C157" s="25"/>
      <c r="D157" s="25"/>
    </row>
    <row r="158">
      <c r="A158" s="82"/>
      <c r="B158" s="25"/>
      <c r="C158" s="25"/>
      <c r="D158" s="25"/>
    </row>
    <row r="159">
      <c r="A159" s="82"/>
      <c r="B159" s="25"/>
      <c r="C159" s="25"/>
      <c r="D159" s="25"/>
    </row>
    <row r="160">
      <c r="A160" s="82"/>
      <c r="B160" s="25"/>
      <c r="C160" s="25"/>
      <c r="D160" s="25"/>
    </row>
    <row r="161">
      <c r="A161" s="82"/>
      <c r="B161" s="25"/>
      <c r="C161" s="25"/>
      <c r="D161" s="25"/>
    </row>
    <row r="162">
      <c r="A162" s="82"/>
      <c r="B162" s="25"/>
      <c r="C162" s="25"/>
      <c r="D162" s="25"/>
    </row>
    <row r="163">
      <c r="A163" s="82"/>
      <c r="B163" s="25"/>
      <c r="C163" s="25"/>
      <c r="D163" s="25"/>
    </row>
    <row r="164">
      <c r="A164" s="82"/>
      <c r="B164" s="25"/>
      <c r="C164" s="25"/>
      <c r="D164" s="25"/>
    </row>
    <row r="165">
      <c r="A165" s="82"/>
      <c r="B165" s="25"/>
      <c r="C165" s="25"/>
      <c r="D165" s="25"/>
    </row>
    <row r="166">
      <c r="A166" s="82"/>
      <c r="B166" s="25"/>
      <c r="C166" s="25"/>
      <c r="D166" s="25"/>
    </row>
    <row r="167">
      <c r="A167" s="82"/>
      <c r="B167" s="25"/>
      <c r="C167" s="25"/>
      <c r="D167" s="25"/>
    </row>
    <row r="168">
      <c r="A168" s="82"/>
      <c r="B168" s="25"/>
      <c r="C168" s="25"/>
      <c r="D168" s="25"/>
    </row>
    <row r="169">
      <c r="A169" s="82"/>
      <c r="B169" s="25"/>
      <c r="C169" s="25"/>
      <c r="D169" s="25"/>
    </row>
    <row r="170">
      <c r="A170" s="82"/>
      <c r="B170" s="25"/>
      <c r="C170" s="25"/>
      <c r="D170" s="25"/>
    </row>
    <row r="171">
      <c r="A171" s="82"/>
      <c r="B171" s="25"/>
      <c r="C171" s="25"/>
      <c r="D171" s="25"/>
    </row>
    <row r="172">
      <c r="A172" s="82"/>
      <c r="B172" s="25"/>
      <c r="C172" s="25"/>
      <c r="D172" s="25"/>
    </row>
    <row r="173">
      <c r="A173" s="82"/>
      <c r="B173" s="25"/>
      <c r="C173" s="25"/>
      <c r="D173" s="25"/>
    </row>
    <row r="174">
      <c r="A174" s="82"/>
      <c r="B174" s="25"/>
      <c r="C174" s="25"/>
      <c r="D174" s="25"/>
    </row>
    <row r="175">
      <c r="A175" s="82"/>
      <c r="B175" s="25"/>
      <c r="C175" s="25"/>
      <c r="D175" s="25"/>
    </row>
    <row r="176">
      <c r="A176" s="82"/>
      <c r="B176" s="25"/>
      <c r="C176" s="25"/>
      <c r="D176" s="25"/>
    </row>
    <row r="177">
      <c r="A177" s="82"/>
      <c r="B177" s="25"/>
      <c r="C177" s="25"/>
      <c r="D177" s="25"/>
    </row>
    <row r="178">
      <c r="A178" s="82"/>
      <c r="B178" s="25"/>
      <c r="C178" s="25"/>
      <c r="D178" s="25"/>
    </row>
    <row r="179">
      <c r="A179" s="82"/>
      <c r="B179" s="25"/>
      <c r="C179" s="25"/>
      <c r="D179" s="25"/>
    </row>
    <row r="180">
      <c r="A180" s="82"/>
      <c r="B180" s="25"/>
      <c r="C180" s="25"/>
      <c r="D180" s="25"/>
    </row>
    <row r="181">
      <c r="A181" s="82"/>
      <c r="B181" s="25"/>
      <c r="C181" s="25"/>
      <c r="D181" s="25"/>
    </row>
    <row r="182">
      <c r="A182" s="82"/>
      <c r="B182" s="25"/>
      <c r="C182" s="25"/>
      <c r="D182" s="25"/>
    </row>
    <row r="183">
      <c r="A183" s="82"/>
      <c r="B183" s="25"/>
      <c r="C183" s="25"/>
      <c r="D183" s="25"/>
    </row>
    <row r="184">
      <c r="A184" s="82"/>
      <c r="B184" s="25"/>
      <c r="C184" s="25"/>
      <c r="D184" s="25"/>
    </row>
    <row r="185">
      <c r="A185" s="82"/>
      <c r="B185" s="25"/>
      <c r="C185" s="25"/>
      <c r="D185" s="25"/>
    </row>
    <row r="186">
      <c r="A186" s="82"/>
      <c r="B186" s="25"/>
      <c r="C186" s="25"/>
      <c r="D186" s="25"/>
    </row>
    <row r="187">
      <c r="A187" s="82"/>
      <c r="B187" s="25"/>
      <c r="C187" s="25"/>
      <c r="D187" s="25"/>
    </row>
    <row r="188">
      <c r="A188" s="82"/>
      <c r="B188" s="25"/>
      <c r="C188" s="25"/>
      <c r="D188" s="25"/>
    </row>
    <row r="189">
      <c r="A189" s="82"/>
      <c r="B189" s="25"/>
      <c r="C189" s="25"/>
      <c r="D189" s="25"/>
    </row>
    <row r="190">
      <c r="A190" s="82"/>
      <c r="B190" s="25"/>
      <c r="C190" s="25"/>
      <c r="D190" s="25"/>
    </row>
    <row r="191">
      <c r="A191" s="82"/>
      <c r="B191" s="25"/>
      <c r="C191" s="25"/>
      <c r="D191" s="25"/>
    </row>
    <row r="192">
      <c r="A192" s="82"/>
      <c r="B192" s="25"/>
      <c r="C192" s="25"/>
      <c r="D192" s="25"/>
    </row>
    <row r="193">
      <c r="A193" s="82"/>
      <c r="B193" s="25"/>
      <c r="C193" s="25"/>
      <c r="D193" s="25"/>
    </row>
    <row r="194">
      <c r="A194" s="82"/>
      <c r="B194" s="25"/>
      <c r="C194" s="25"/>
      <c r="D194" s="25"/>
    </row>
    <row r="195">
      <c r="A195" s="82"/>
      <c r="B195" s="25"/>
      <c r="C195" s="25"/>
      <c r="D195" s="25"/>
    </row>
    <row r="196">
      <c r="A196" s="82"/>
      <c r="B196" s="25"/>
      <c r="C196" s="25"/>
      <c r="D196" s="25"/>
    </row>
    <row r="197">
      <c r="A197" s="82"/>
      <c r="B197" s="25"/>
      <c r="C197" s="25"/>
      <c r="D197" s="25"/>
    </row>
    <row r="198">
      <c r="A198" s="82"/>
      <c r="B198" s="25"/>
      <c r="C198" s="25"/>
      <c r="D198" s="25"/>
    </row>
    <row r="199">
      <c r="A199" s="82"/>
      <c r="B199" s="25"/>
      <c r="C199" s="25"/>
      <c r="D199" s="25"/>
    </row>
    <row r="200">
      <c r="A200" s="82"/>
      <c r="B200" s="25"/>
      <c r="C200" s="25"/>
      <c r="D200" s="25"/>
    </row>
    <row r="201">
      <c r="A201" s="82"/>
      <c r="B201" s="25"/>
      <c r="C201" s="25"/>
      <c r="D201" s="25"/>
    </row>
    <row r="202">
      <c r="A202" s="82"/>
      <c r="B202" s="25"/>
      <c r="C202" s="25"/>
      <c r="D202" s="25"/>
    </row>
    <row r="203">
      <c r="A203" s="82"/>
      <c r="B203" s="25"/>
      <c r="C203" s="25"/>
      <c r="D203" s="25"/>
    </row>
    <row r="204">
      <c r="A204" s="82"/>
      <c r="B204" s="25"/>
      <c r="C204" s="25"/>
      <c r="D204" s="25"/>
    </row>
    <row r="205">
      <c r="A205" s="82"/>
      <c r="B205" s="25"/>
      <c r="C205" s="25"/>
      <c r="D205" s="25"/>
    </row>
    <row r="206">
      <c r="A206" s="82"/>
      <c r="B206" s="25"/>
      <c r="C206" s="25"/>
      <c r="D206" s="25"/>
    </row>
    <row r="207">
      <c r="A207" s="82"/>
      <c r="B207" s="25"/>
      <c r="C207" s="25"/>
      <c r="D207" s="25"/>
    </row>
    <row r="208">
      <c r="A208" s="82"/>
      <c r="B208" s="25"/>
      <c r="C208" s="25"/>
      <c r="D208" s="25"/>
    </row>
    <row r="209">
      <c r="A209" s="82"/>
      <c r="B209" s="25"/>
      <c r="C209" s="25"/>
      <c r="D209" s="25"/>
    </row>
    <row r="210">
      <c r="A210" s="82"/>
      <c r="B210" s="25"/>
      <c r="C210" s="25"/>
      <c r="D210" s="25"/>
    </row>
    <row r="211">
      <c r="A211" s="82"/>
      <c r="B211" s="25"/>
      <c r="C211" s="25"/>
      <c r="D211" s="25"/>
    </row>
    <row r="212">
      <c r="A212" s="82"/>
      <c r="B212" s="25"/>
      <c r="C212" s="25"/>
      <c r="D212" s="25"/>
    </row>
    <row r="213">
      <c r="A213" s="82"/>
      <c r="B213" s="25"/>
      <c r="C213" s="25"/>
      <c r="D213" s="25"/>
    </row>
    <row r="214">
      <c r="A214" s="82"/>
      <c r="B214" s="25"/>
      <c r="C214" s="25"/>
      <c r="D214" s="25"/>
    </row>
    <row r="215">
      <c r="A215" s="82"/>
      <c r="B215" s="25"/>
      <c r="C215" s="25"/>
      <c r="D215" s="25"/>
    </row>
    <row r="216">
      <c r="A216" s="82"/>
      <c r="B216" s="25"/>
      <c r="C216" s="25"/>
      <c r="D216" s="25"/>
    </row>
    <row r="217">
      <c r="A217" s="82"/>
      <c r="B217" s="25"/>
      <c r="C217" s="25"/>
      <c r="D217" s="25"/>
    </row>
    <row r="218">
      <c r="A218" s="82"/>
      <c r="B218" s="25"/>
      <c r="C218" s="25"/>
      <c r="D218" s="25"/>
    </row>
    <row r="219">
      <c r="A219" s="82"/>
      <c r="B219" s="25"/>
      <c r="C219" s="25"/>
      <c r="D219" s="25"/>
    </row>
    <row r="220">
      <c r="A220" s="82"/>
      <c r="B220" s="25"/>
      <c r="C220" s="25"/>
      <c r="D220" s="25"/>
    </row>
    <row r="221">
      <c r="A221" s="82"/>
      <c r="B221" s="25"/>
      <c r="C221" s="25"/>
      <c r="D221" s="25"/>
    </row>
    <row r="222">
      <c r="A222" s="82"/>
      <c r="B222" s="25"/>
      <c r="C222" s="25"/>
      <c r="D222" s="25"/>
    </row>
    <row r="223">
      <c r="A223" s="82"/>
      <c r="B223" s="25"/>
      <c r="C223" s="25"/>
      <c r="D223" s="25"/>
    </row>
    <row r="224">
      <c r="A224" s="82"/>
      <c r="B224" s="25"/>
      <c r="C224" s="25"/>
      <c r="D224" s="25"/>
    </row>
    <row r="225">
      <c r="A225" s="82"/>
      <c r="B225" s="25"/>
      <c r="C225" s="25"/>
      <c r="D225" s="25"/>
    </row>
    <row r="226">
      <c r="A226" s="82"/>
      <c r="B226" s="25"/>
      <c r="C226" s="25"/>
      <c r="D226" s="25"/>
    </row>
    <row r="227">
      <c r="A227" s="82"/>
      <c r="B227" s="25"/>
      <c r="C227" s="25"/>
      <c r="D227" s="25"/>
    </row>
    <row r="228">
      <c r="A228" s="82"/>
      <c r="B228" s="25"/>
      <c r="C228" s="25"/>
      <c r="D228" s="25"/>
    </row>
    <row r="229">
      <c r="A229" s="82"/>
      <c r="B229" s="25"/>
      <c r="C229" s="25"/>
      <c r="D229" s="25"/>
    </row>
    <row r="230">
      <c r="A230" s="82"/>
      <c r="B230" s="25"/>
      <c r="C230" s="25"/>
      <c r="D230" s="25"/>
    </row>
    <row r="231">
      <c r="A231" s="82"/>
      <c r="B231" s="25"/>
      <c r="C231" s="25"/>
      <c r="D231" s="25"/>
    </row>
    <row r="232">
      <c r="A232" s="82"/>
      <c r="B232" s="25"/>
      <c r="C232" s="25"/>
      <c r="D232" s="25"/>
    </row>
    <row r="233">
      <c r="A233" s="82"/>
      <c r="B233" s="25"/>
      <c r="C233" s="25"/>
      <c r="D233" s="25"/>
    </row>
    <row r="234">
      <c r="A234" s="82"/>
      <c r="B234" s="25"/>
      <c r="C234" s="25"/>
      <c r="D234" s="25"/>
    </row>
    <row r="235">
      <c r="A235" s="82"/>
      <c r="B235" s="25"/>
      <c r="C235" s="25"/>
      <c r="D235" s="25"/>
    </row>
    <row r="236">
      <c r="A236" s="82"/>
      <c r="B236" s="25"/>
      <c r="C236" s="25"/>
      <c r="D236" s="25"/>
    </row>
    <row r="237">
      <c r="A237" s="82"/>
      <c r="B237" s="25"/>
      <c r="C237" s="25"/>
      <c r="D237" s="25"/>
    </row>
    <row r="238">
      <c r="A238" s="82"/>
      <c r="B238" s="25"/>
      <c r="C238" s="25"/>
      <c r="D238" s="25"/>
    </row>
    <row r="239">
      <c r="A239" s="82"/>
      <c r="B239" s="25"/>
      <c r="C239" s="25"/>
      <c r="D239" s="25"/>
    </row>
    <row r="240">
      <c r="A240" s="82"/>
      <c r="B240" s="25"/>
      <c r="C240" s="25"/>
      <c r="D240" s="25"/>
    </row>
    <row r="241">
      <c r="A241" s="82"/>
      <c r="B241" s="25"/>
      <c r="C241" s="25"/>
      <c r="D241" s="25"/>
    </row>
    <row r="242">
      <c r="A242" s="82"/>
      <c r="B242" s="25"/>
      <c r="C242" s="25"/>
      <c r="D242" s="25"/>
    </row>
    <row r="243">
      <c r="A243" s="82"/>
      <c r="B243" s="25"/>
      <c r="C243" s="25"/>
      <c r="D243" s="25"/>
    </row>
    <row r="244">
      <c r="A244" s="82"/>
      <c r="B244" s="25"/>
      <c r="C244" s="25"/>
      <c r="D244" s="25"/>
    </row>
    <row r="245">
      <c r="A245" s="82"/>
      <c r="B245" s="25"/>
      <c r="C245" s="25"/>
      <c r="D245" s="25"/>
    </row>
    <row r="246">
      <c r="A246" s="82"/>
      <c r="B246" s="25"/>
      <c r="C246" s="25"/>
      <c r="D246" s="25"/>
    </row>
    <row r="247">
      <c r="A247" s="82"/>
      <c r="B247" s="25"/>
      <c r="C247" s="25"/>
      <c r="D247" s="25"/>
    </row>
    <row r="248">
      <c r="A248" s="82"/>
      <c r="B248" s="25"/>
      <c r="C248" s="25"/>
      <c r="D248" s="25"/>
    </row>
    <row r="249">
      <c r="A249" s="82"/>
      <c r="B249" s="25"/>
      <c r="C249" s="25"/>
      <c r="D249" s="25"/>
    </row>
    <row r="250">
      <c r="A250" s="82"/>
      <c r="B250" s="25"/>
      <c r="C250" s="25"/>
      <c r="D250" s="25"/>
    </row>
    <row r="251">
      <c r="A251" s="82"/>
      <c r="B251" s="25"/>
      <c r="C251" s="25"/>
      <c r="D251" s="25"/>
    </row>
    <row r="252">
      <c r="A252" s="82"/>
      <c r="B252" s="25"/>
      <c r="C252" s="25"/>
      <c r="D252" s="25"/>
    </row>
    <row r="253">
      <c r="A253" s="82"/>
      <c r="B253" s="25"/>
      <c r="C253" s="25"/>
      <c r="D253" s="25"/>
    </row>
    <row r="254">
      <c r="A254" s="82"/>
      <c r="B254" s="25"/>
      <c r="C254" s="25"/>
      <c r="D254" s="25"/>
    </row>
    <row r="255">
      <c r="A255" s="82"/>
      <c r="B255" s="25"/>
      <c r="C255" s="25"/>
      <c r="D255" s="25"/>
    </row>
    <row r="256">
      <c r="A256" s="82"/>
      <c r="B256" s="25"/>
      <c r="C256" s="25"/>
      <c r="D256" s="25"/>
    </row>
    <row r="257">
      <c r="A257" s="82"/>
      <c r="B257" s="25"/>
      <c r="C257" s="25"/>
      <c r="D257" s="25"/>
    </row>
    <row r="258">
      <c r="A258" s="82"/>
      <c r="B258" s="25"/>
      <c r="C258" s="25"/>
      <c r="D258" s="25"/>
    </row>
    <row r="259">
      <c r="A259" s="82"/>
      <c r="B259" s="25"/>
      <c r="C259" s="25"/>
      <c r="D259" s="25"/>
    </row>
    <row r="260">
      <c r="A260" s="82"/>
      <c r="B260" s="25"/>
      <c r="C260" s="25"/>
      <c r="D260" s="25"/>
    </row>
    <row r="261">
      <c r="A261" s="82"/>
      <c r="B261" s="25"/>
      <c r="C261" s="25"/>
      <c r="D261" s="25"/>
    </row>
    <row r="262">
      <c r="A262" s="82"/>
      <c r="B262" s="25"/>
      <c r="C262" s="25"/>
      <c r="D262" s="25"/>
    </row>
    <row r="263">
      <c r="A263" s="82"/>
      <c r="B263" s="25"/>
      <c r="C263" s="25"/>
      <c r="D263" s="25"/>
    </row>
    <row r="264">
      <c r="A264" s="82"/>
      <c r="B264" s="25"/>
      <c r="C264" s="25"/>
      <c r="D264" s="25"/>
    </row>
    <row r="265">
      <c r="A265" s="82"/>
      <c r="B265" s="25"/>
      <c r="C265" s="25"/>
      <c r="D265" s="25"/>
    </row>
    <row r="266">
      <c r="A266" s="82"/>
      <c r="B266" s="25"/>
      <c r="C266" s="25"/>
      <c r="D266" s="25"/>
    </row>
    <row r="267">
      <c r="A267" s="82"/>
      <c r="B267" s="25"/>
      <c r="C267" s="25"/>
      <c r="D267" s="25"/>
    </row>
    <row r="268">
      <c r="A268" s="82"/>
      <c r="B268" s="25"/>
      <c r="C268" s="25"/>
      <c r="D268" s="25"/>
    </row>
    <row r="269">
      <c r="A269" s="82"/>
      <c r="B269" s="25"/>
      <c r="C269" s="25"/>
      <c r="D269" s="25"/>
    </row>
    <row r="270">
      <c r="A270" s="82"/>
      <c r="B270" s="25"/>
      <c r="C270" s="25"/>
      <c r="D270" s="25"/>
    </row>
    <row r="271">
      <c r="A271" s="82"/>
      <c r="B271" s="25"/>
      <c r="C271" s="25"/>
      <c r="D271" s="25"/>
    </row>
    <row r="272">
      <c r="A272" s="82"/>
      <c r="B272" s="25"/>
      <c r="C272" s="25"/>
      <c r="D272" s="25"/>
    </row>
    <row r="273">
      <c r="A273" s="82"/>
      <c r="B273" s="25"/>
      <c r="C273" s="25"/>
      <c r="D273" s="25"/>
    </row>
    <row r="274">
      <c r="A274" s="82"/>
      <c r="B274" s="25"/>
      <c r="C274" s="25"/>
      <c r="D274" s="25"/>
    </row>
    <row r="275">
      <c r="A275" s="82"/>
      <c r="B275" s="25"/>
      <c r="C275" s="25"/>
      <c r="D275" s="25"/>
    </row>
    <row r="276">
      <c r="A276" s="82"/>
      <c r="B276" s="25"/>
      <c r="C276" s="25"/>
      <c r="D276" s="25"/>
    </row>
    <row r="277">
      <c r="A277" s="82"/>
      <c r="B277" s="25"/>
      <c r="C277" s="25"/>
      <c r="D277" s="25"/>
    </row>
    <row r="278">
      <c r="A278" s="82"/>
      <c r="B278" s="25"/>
      <c r="C278" s="25"/>
      <c r="D278" s="25"/>
    </row>
    <row r="279">
      <c r="A279" s="82"/>
      <c r="B279" s="25"/>
      <c r="C279" s="25"/>
      <c r="D279" s="25"/>
    </row>
    <row r="280">
      <c r="A280" s="82"/>
      <c r="B280" s="25"/>
      <c r="C280" s="25"/>
      <c r="D280" s="25"/>
    </row>
    <row r="281">
      <c r="A281" s="82"/>
      <c r="B281" s="25"/>
      <c r="C281" s="25"/>
      <c r="D281" s="25"/>
    </row>
    <row r="282">
      <c r="A282" s="82"/>
      <c r="B282" s="25"/>
      <c r="C282" s="25"/>
      <c r="D282" s="25"/>
    </row>
    <row r="283">
      <c r="A283" s="82"/>
      <c r="B283" s="25"/>
      <c r="C283" s="25"/>
      <c r="D283" s="25"/>
    </row>
    <row r="284">
      <c r="A284" s="82"/>
      <c r="B284" s="25"/>
      <c r="C284" s="25"/>
      <c r="D284" s="25"/>
    </row>
    <row r="285">
      <c r="A285" s="82"/>
      <c r="B285" s="25"/>
      <c r="C285" s="25"/>
      <c r="D285" s="25"/>
    </row>
    <row r="286">
      <c r="A286" s="82"/>
      <c r="B286" s="25"/>
      <c r="C286" s="25"/>
      <c r="D286" s="25"/>
    </row>
    <row r="287">
      <c r="A287" s="82"/>
      <c r="B287" s="25"/>
      <c r="C287" s="25"/>
      <c r="D287" s="25"/>
    </row>
    <row r="288">
      <c r="A288" s="82"/>
      <c r="B288" s="25"/>
      <c r="C288" s="25"/>
      <c r="D288" s="25"/>
    </row>
    <row r="289">
      <c r="A289" s="82"/>
      <c r="B289" s="25"/>
      <c r="C289" s="25"/>
      <c r="D289" s="25"/>
    </row>
    <row r="290">
      <c r="A290" s="82"/>
      <c r="B290" s="25"/>
      <c r="C290" s="25"/>
      <c r="D290" s="25"/>
    </row>
    <row r="291">
      <c r="A291" s="82"/>
      <c r="B291" s="25"/>
      <c r="C291" s="25"/>
      <c r="D291" s="25"/>
    </row>
    <row r="292">
      <c r="A292" s="82"/>
      <c r="B292" s="25"/>
      <c r="C292" s="25"/>
      <c r="D292" s="25"/>
    </row>
    <row r="293">
      <c r="A293" s="82"/>
      <c r="B293" s="25"/>
      <c r="C293" s="25"/>
      <c r="D293" s="25"/>
    </row>
    <row r="294">
      <c r="A294" s="82"/>
      <c r="B294" s="25"/>
      <c r="C294" s="25"/>
      <c r="D294" s="25"/>
    </row>
    <row r="295">
      <c r="A295" s="82"/>
      <c r="B295" s="25"/>
      <c r="C295" s="25"/>
      <c r="D295" s="25"/>
    </row>
    <row r="296">
      <c r="A296" s="82"/>
      <c r="B296" s="25"/>
      <c r="C296" s="25"/>
      <c r="D296" s="25"/>
    </row>
    <row r="297">
      <c r="A297" s="82"/>
      <c r="B297" s="25"/>
      <c r="C297" s="25"/>
      <c r="D297" s="25"/>
    </row>
    <row r="298">
      <c r="A298" s="82"/>
      <c r="B298" s="25"/>
      <c r="C298" s="25"/>
      <c r="D298" s="25"/>
    </row>
    <row r="299">
      <c r="A299" s="82"/>
      <c r="B299" s="25"/>
      <c r="C299" s="25"/>
      <c r="D299" s="25"/>
    </row>
    <row r="300">
      <c r="A300" s="82"/>
      <c r="B300" s="25"/>
      <c r="C300" s="25"/>
      <c r="D300" s="25"/>
    </row>
    <row r="301">
      <c r="A301" s="82"/>
      <c r="B301" s="25"/>
      <c r="C301" s="25"/>
      <c r="D301" s="25"/>
    </row>
    <row r="302">
      <c r="A302" s="82"/>
      <c r="B302" s="25"/>
      <c r="C302" s="25"/>
      <c r="D302" s="25"/>
    </row>
    <row r="303">
      <c r="A303" s="82"/>
      <c r="B303" s="25"/>
      <c r="C303" s="25"/>
      <c r="D303" s="25"/>
    </row>
    <row r="304">
      <c r="A304" s="82"/>
      <c r="B304" s="25"/>
      <c r="C304" s="25"/>
      <c r="D304" s="25"/>
    </row>
    <row r="305">
      <c r="A305" s="82"/>
      <c r="B305" s="25"/>
      <c r="C305" s="25"/>
      <c r="D305" s="25"/>
    </row>
    <row r="306">
      <c r="A306" s="82"/>
      <c r="B306" s="25"/>
      <c r="C306" s="25"/>
      <c r="D306" s="25"/>
    </row>
    <row r="307">
      <c r="A307" s="82"/>
      <c r="B307" s="25"/>
      <c r="C307" s="25"/>
      <c r="D307" s="25"/>
    </row>
    <row r="308">
      <c r="A308" s="82"/>
      <c r="B308" s="25"/>
      <c r="C308" s="25"/>
      <c r="D308" s="25"/>
    </row>
    <row r="309">
      <c r="A309" s="82"/>
      <c r="B309" s="25"/>
      <c r="C309" s="25"/>
      <c r="D309" s="25"/>
    </row>
    <row r="310">
      <c r="A310" s="82"/>
      <c r="B310" s="25"/>
      <c r="C310" s="25"/>
      <c r="D310" s="25"/>
    </row>
    <row r="311">
      <c r="A311" s="82"/>
      <c r="B311" s="25"/>
      <c r="C311" s="25"/>
      <c r="D311" s="25"/>
    </row>
    <row r="312">
      <c r="A312" s="82"/>
      <c r="B312" s="25"/>
      <c r="C312" s="25"/>
      <c r="D312" s="25"/>
    </row>
    <row r="313">
      <c r="A313" s="82"/>
      <c r="B313" s="25"/>
      <c r="C313" s="25"/>
      <c r="D313" s="25"/>
    </row>
    <row r="314">
      <c r="A314" s="82"/>
      <c r="B314" s="25"/>
      <c r="C314" s="25"/>
      <c r="D314" s="25"/>
    </row>
    <row r="315">
      <c r="A315" s="82"/>
      <c r="B315" s="25"/>
      <c r="C315" s="25"/>
      <c r="D315" s="25"/>
    </row>
    <row r="316">
      <c r="A316" s="82"/>
      <c r="B316" s="25"/>
      <c r="C316" s="25"/>
      <c r="D316" s="25"/>
    </row>
    <row r="317">
      <c r="A317" s="82"/>
      <c r="B317" s="25"/>
      <c r="C317" s="25"/>
      <c r="D317" s="25"/>
    </row>
    <row r="318">
      <c r="A318" s="82"/>
      <c r="B318" s="25"/>
      <c r="C318" s="25"/>
      <c r="D318" s="25"/>
    </row>
    <row r="319">
      <c r="A319" s="82"/>
      <c r="B319" s="25"/>
      <c r="C319" s="25"/>
      <c r="D319" s="25"/>
    </row>
    <row r="320">
      <c r="A320" s="82"/>
      <c r="B320" s="25"/>
      <c r="C320" s="25"/>
      <c r="D320" s="25"/>
    </row>
    <row r="321">
      <c r="A321" s="82"/>
      <c r="B321" s="25"/>
      <c r="C321" s="25"/>
      <c r="D321" s="25"/>
    </row>
    <row r="322">
      <c r="A322" s="82"/>
      <c r="B322" s="25"/>
      <c r="C322" s="25"/>
      <c r="D322" s="25"/>
    </row>
    <row r="323">
      <c r="A323" s="82"/>
      <c r="B323" s="25"/>
      <c r="C323" s="25"/>
      <c r="D323" s="25"/>
    </row>
    <row r="324">
      <c r="A324" s="82"/>
      <c r="B324" s="25"/>
      <c r="C324" s="25"/>
      <c r="D324" s="25"/>
    </row>
    <row r="325">
      <c r="A325" s="82"/>
      <c r="B325" s="25"/>
      <c r="C325" s="25"/>
      <c r="D325" s="25"/>
    </row>
    <row r="326">
      <c r="A326" s="82"/>
      <c r="B326" s="25"/>
      <c r="C326" s="25"/>
      <c r="D326" s="25"/>
    </row>
    <row r="327">
      <c r="A327" s="82"/>
      <c r="B327" s="25"/>
      <c r="C327" s="25"/>
      <c r="D327" s="25"/>
    </row>
    <row r="328">
      <c r="A328" s="82"/>
      <c r="B328" s="25"/>
      <c r="C328" s="25"/>
      <c r="D328" s="25"/>
    </row>
    <row r="329">
      <c r="A329" s="82"/>
      <c r="B329" s="25"/>
      <c r="C329" s="25"/>
      <c r="D329" s="25"/>
    </row>
    <row r="330">
      <c r="A330" s="82"/>
      <c r="B330" s="25"/>
      <c r="C330" s="25"/>
      <c r="D330" s="25"/>
    </row>
    <row r="331">
      <c r="A331" s="82"/>
      <c r="B331" s="25"/>
      <c r="C331" s="25"/>
      <c r="D331" s="25"/>
    </row>
    <row r="332">
      <c r="A332" s="82"/>
      <c r="B332" s="25"/>
      <c r="C332" s="25"/>
      <c r="D332" s="25"/>
    </row>
    <row r="333">
      <c r="A333" s="82"/>
      <c r="B333" s="25"/>
      <c r="C333" s="25"/>
      <c r="D333" s="25"/>
    </row>
    <row r="334">
      <c r="A334" s="82"/>
      <c r="B334" s="25"/>
      <c r="C334" s="25"/>
      <c r="D334" s="25"/>
    </row>
    <row r="335">
      <c r="A335" s="82"/>
      <c r="B335" s="25"/>
      <c r="C335" s="25"/>
      <c r="D335" s="25"/>
    </row>
    <row r="336">
      <c r="A336" s="82"/>
      <c r="B336" s="25"/>
      <c r="C336" s="25"/>
      <c r="D336" s="25"/>
    </row>
    <row r="337">
      <c r="A337" s="82"/>
      <c r="B337" s="25"/>
      <c r="C337" s="25"/>
      <c r="D337" s="25"/>
    </row>
    <row r="338">
      <c r="A338" s="82"/>
      <c r="B338" s="25"/>
      <c r="C338" s="25"/>
      <c r="D338" s="25"/>
    </row>
    <row r="339">
      <c r="A339" s="82"/>
      <c r="B339" s="25"/>
      <c r="C339" s="25"/>
      <c r="D339" s="25"/>
    </row>
    <row r="340">
      <c r="A340" s="82"/>
      <c r="B340" s="25"/>
      <c r="C340" s="25"/>
      <c r="D340" s="25"/>
    </row>
    <row r="341">
      <c r="A341" s="82"/>
      <c r="B341" s="25"/>
      <c r="C341" s="25"/>
      <c r="D341" s="25"/>
    </row>
    <row r="342">
      <c r="A342" s="82"/>
      <c r="B342" s="25"/>
      <c r="C342" s="25"/>
      <c r="D342" s="25"/>
    </row>
    <row r="343">
      <c r="A343" s="82"/>
      <c r="B343" s="25"/>
      <c r="C343" s="25"/>
      <c r="D343" s="25"/>
    </row>
    <row r="344">
      <c r="A344" s="82"/>
      <c r="B344" s="25"/>
      <c r="C344" s="25"/>
      <c r="D344" s="25"/>
    </row>
    <row r="345">
      <c r="A345" s="82"/>
      <c r="B345" s="25"/>
      <c r="C345" s="25"/>
      <c r="D345" s="25"/>
    </row>
    <row r="346">
      <c r="A346" s="82"/>
      <c r="B346" s="25"/>
      <c r="C346" s="25"/>
      <c r="D346" s="25"/>
    </row>
    <row r="347">
      <c r="A347" s="82"/>
      <c r="B347" s="25"/>
      <c r="C347" s="25"/>
      <c r="D347" s="25"/>
    </row>
    <row r="348">
      <c r="A348" s="82"/>
      <c r="B348" s="25"/>
      <c r="C348" s="25"/>
      <c r="D348" s="25"/>
    </row>
    <row r="349">
      <c r="A349" s="82"/>
      <c r="B349" s="25"/>
      <c r="C349" s="25"/>
      <c r="D349" s="25"/>
    </row>
    <row r="350">
      <c r="A350" s="82"/>
      <c r="B350" s="25"/>
      <c r="C350" s="25"/>
      <c r="D350" s="25"/>
    </row>
    <row r="351">
      <c r="A351" s="82"/>
      <c r="B351" s="25"/>
      <c r="C351" s="25"/>
      <c r="D351" s="25"/>
    </row>
    <row r="352">
      <c r="A352" s="82"/>
      <c r="B352" s="25"/>
      <c r="C352" s="25"/>
      <c r="D352" s="25"/>
    </row>
    <row r="353">
      <c r="A353" s="82"/>
      <c r="B353" s="25"/>
      <c r="C353" s="25"/>
      <c r="D353" s="25"/>
    </row>
    <row r="354">
      <c r="A354" s="82"/>
      <c r="B354" s="25"/>
      <c r="C354" s="25"/>
      <c r="D354" s="25"/>
    </row>
    <row r="355">
      <c r="A355" s="82"/>
      <c r="B355" s="25"/>
      <c r="C355" s="25"/>
      <c r="D355" s="25"/>
    </row>
    <row r="356">
      <c r="A356" s="82"/>
      <c r="B356" s="25"/>
      <c r="C356" s="25"/>
      <c r="D356" s="25"/>
    </row>
    <row r="357">
      <c r="A357" s="82"/>
      <c r="B357" s="25"/>
      <c r="C357" s="25"/>
      <c r="D357" s="25"/>
    </row>
    <row r="358">
      <c r="A358" s="82"/>
      <c r="B358" s="25"/>
      <c r="C358" s="25"/>
      <c r="D358" s="25"/>
    </row>
    <row r="359">
      <c r="A359" s="82"/>
      <c r="B359" s="25"/>
      <c r="C359" s="25"/>
      <c r="D359" s="25"/>
    </row>
    <row r="360">
      <c r="A360" s="82"/>
      <c r="B360" s="25"/>
      <c r="C360" s="25"/>
      <c r="D360" s="25"/>
    </row>
    <row r="361">
      <c r="A361" s="82"/>
      <c r="B361" s="25"/>
      <c r="C361" s="25"/>
      <c r="D361" s="25"/>
    </row>
    <row r="362">
      <c r="A362" s="82"/>
      <c r="B362" s="25"/>
      <c r="C362" s="25"/>
      <c r="D362" s="25"/>
    </row>
    <row r="363">
      <c r="A363" s="82"/>
      <c r="B363" s="25"/>
      <c r="C363" s="25"/>
      <c r="D363" s="25"/>
    </row>
    <row r="364">
      <c r="A364" s="82"/>
      <c r="B364" s="25"/>
      <c r="C364" s="25"/>
      <c r="D364" s="25"/>
    </row>
    <row r="365">
      <c r="A365" s="82"/>
      <c r="B365" s="25"/>
      <c r="C365" s="25"/>
      <c r="D365" s="25"/>
    </row>
    <row r="366">
      <c r="A366" s="82"/>
      <c r="B366" s="25"/>
      <c r="C366" s="25"/>
      <c r="D366" s="25"/>
    </row>
    <row r="367">
      <c r="A367" s="82"/>
      <c r="B367" s="25"/>
      <c r="C367" s="25"/>
      <c r="D367" s="25"/>
    </row>
    <row r="368">
      <c r="A368" s="82"/>
      <c r="B368" s="25"/>
      <c r="C368" s="25"/>
      <c r="D368" s="25"/>
    </row>
    <row r="369">
      <c r="A369" s="82"/>
      <c r="B369" s="25"/>
      <c r="C369" s="25"/>
      <c r="D369" s="25"/>
    </row>
    <row r="370">
      <c r="A370" s="82"/>
      <c r="B370" s="25"/>
      <c r="C370" s="25"/>
      <c r="D370" s="25"/>
    </row>
    <row r="371">
      <c r="A371" s="82"/>
      <c r="B371" s="25"/>
      <c r="C371" s="25"/>
      <c r="D371" s="25"/>
    </row>
    <row r="372">
      <c r="A372" s="82"/>
      <c r="B372" s="25"/>
      <c r="C372" s="25"/>
      <c r="D372" s="25"/>
    </row>
    <row r="373">
      <c r="A373" s="82"/>
      <c r="B373" s="25"/>
      <c r="C373" s="25"/>
      <c r="D373" s="25"/>
    </row>
    <row r="374">
      <c r="A374" s="82"/>
      <c r="B374" s="25"/>
      <c r="C374" s="25"/>
      <c r="D374" s="25"/>
    </row>
    <row r="375">
      <c r="A375" s="82"/>
      <c r="B375" s="25"/>
      <c r="C375" s="25"/>
      <c r="D375" s="25"/>
    </row>
    <row r="376">
      <c r="A376" s="82"/>
      <c r="B376" s="25"/>
      <c r="C376" s="25"/>
      <c r="D376" s="25"/>
    </row>
    <row r="377">
      <c r="A377" s="82"/>
      <c r="B377" s="25"/>
      <c r="C377" s="25"/>
      <c r="D377" s="25"/>
    </row>
    <row r="378">
      <c r="A378" s="82"/>
      <c r="B378" s="25"/>
      <c r="C378" s="25"/>
      <c r="D378" s="25"/>
    </row>
    <row r="379">
      <c r="A379" s="82"/>
      <c r="B379" s="25"/>
      <c r="C379" s="25"/>
      <c r="D379" s="25"/>
    </row>
    <row r="380">
      <c r="A380" s="82"/>
      <c r="B380" s="25"/>
      <c r="C380" s="25"/>
      <c r="D380" s="25"/>
    </row>
    <row r="381">
      <c r="A381" s="82"/>
      <c r="B381" s="25"/>
      <c r="C381" s="25"/>
      <c r="D381" s="25"/>
    </row>
    <row r="382">
      <c r="A382" s="82"/>
      <c r="B382" s="25"/>
      <c r="C382" s="25"/>
      <c r="D382" s="25"/>
    </row>
    <row r="383">
      <c r="A383" s="82"/>
      <c r="B383" s="25"/>
      <c r="C383" s="25"/>
      <c r="D383" s="25"/>
    </row>
    <row r="384">
      <c r="A384" s="82"/>
      <c r="B384" s="25"/>
      <c r="C384" s="25"/>
      <c r="D384" s="25"/>
    </row>
    <row r="385">
      <c r="A385" s="82"/>
      <c r="B385" s="25"/>
      <c r="C385" s="25"/>
      <c r="D385" s="25"/>
    </row>
    <row r="386">
      <c r="A386" s="82"/>
      <c r="B386" s="25"/>
      <c r="C386" s="25"/>
      <c r="D386" s="25"/>
    </row>
    <row r="387">
      <c r="A387" s="82"/>
      <c r="B387" s="25"/>
      <c r="C387" s="25"/>
      <c r="D387" s="25"/>
    </row>
    <row r="388">
      <c r="A388" s="82"/>
      <c r="B388" s="25"/>
      <c r="C388" s="25"/>
      <c r="D388" s="25"/>
    </row>
    <row r="389">
      <c r="A389" s="82"/>
      <c r="B389" s="25"/>
      <c r="C389" s="25"/>
      <c r="D389" s="25"/>
    </row>
    <row r="390">
      <c r="A390" s="82"/>
      <c r="B390" s="25"/>
      <c r="C390" s="25"/>
      <c r="D390" s="25"/>
    </row>
    <row r="391">
      <c r="A391" s="82"/>
      <c r="B391" s="25"/>
      <c r="C391" s="25"/>
      <c r="D391" s="25"/>
    </row>
    <row r="392">
      <c r="A392" s="82"/>
      <c r="B392" s="25"/>
      <c r="C392" s="25"/>
      <c r="D392" s="25"/>
    </row>
    <row r="393">
      <c r="A393" s="82"/>
      <c r="B393" s="25"/>
      <c r="C393" s="25"/>
      <c r="D393" s="25"/>
    </row>
    <row r="394">
      <c r="A394" s="82"/>
      <c r="B394" s="25"/>
      <c r="C394" s="25"/>
      <c r="D394" s="25"/>
    </row>
    <row r="395">
      <c r="A395" s="82"/>
      <c r="B395" s="25"/>
      <c r="C395" s="25"/>
      <c r="D395" s="25"/>
    </row>
    <row r="396">
      <c r="A396" s="82"/>
      <c r="B396" s="25"/>
      <c r="C396" s="25"/>
      <c r="D396" s="25"/>
    </row>
    <row r="397">
      <c r="A397" s="82"/>
      <c r="B397" s="25"/>
      <c r="C397" s="25"/>
      <c r="D397" s="25"/>
    </row>
    <row r="398">
      <c r="A398" s="82"/>
      <c r="B398" s="25"/>
      <c r="C398" s="25"/>
      <c r="D398" s="25"/>
    </row>
    <row r="399">
      <c r="A399" s="82"/>
      <c r="B399" s="25"/>
      <c r="C399" s="25"/>
      <c r="D399" s="25"/>
    </row>
    <row r="400">
      <c r="A400" s="82"/>
      <c r="B400" s="25"/>
      <c r="C400" s="25"/>
      <c r="D400" s="25"/>
    </row>
    <row r="401">
      <c r="A401" s="82"/>
      <c r="B401" s="25"/>
      <c r="C401" s="25"/>
      <c r="D401" s="25"/>
    </row>
    <row r="402">
      <c r="A402" s="82"/>
      <c r="B402" s="25"/>
      <c r="C402" s="25"/>
      <c r="D402" s="25"/>
    </row>
    <row r="403">
      <c r="A403" s="82"/>
      <c r="B403" s="25"/>
      <c r="C403" s="25"/>
      <c r="D403" s="25"/>
    </row>
    <row r="404">
      <c r="A404" s="82"/>
      <c r="B404" s="25"/>
      <c r="C404" s="25"/>
      <c r="D404" s="25"/>
    </row>
    <row r="405">
      <c r="A405" s="82"/>
      <c r="B405" s="25"/>
      <c r="C405" s="25"/>
      <c r="D405" s="25"/>
    </row>
    <row r="406">
      <c r="A406" s="82"/>
      <c r="B406" s="25"/>
      <c r="C406" s="25"/>
      <c r="D406" s="25"/>
    </row>
    <row r="407">
      <c r="A407" s="82"/>
      <c r="B407" s="25"/>
      <c r="C407" s="25"/>
      <c r="D407" s="25"/>
    </row>
    <row r="408">
      <c r="A408" s="82"/>
      <c r="B408" s="25"/>
      <c r="C408" s="25"/>
      <c r="D408" s="25"/>
    </row>
    <row r="409">
      <c r="A409" s="82"/>
      <c r="B409" s="25"/>
      <c r="C409" s="25"/>
      <c r="D409" s="25"/>
    </row>
    <row r="410">
      <c r="A410" s="82"/>
      <c r="B410" s="25"/>
      <c r="C410" s="25"/>
      <c r="D410" s="25"/>
    </row>
    <row r="411">
      <c r="A411" s="82"/>
      <c r="B411" s="25"/>
      <c r="C411" s="25"/>
      <c r="D411" s="25"/>
    </row>
    <row r="412">
      <c r="A412" s="82"/>
      <c r="B412" s="25"/>
      <c r="C412" s="25"/>
      <c r="D412" s="25"/>
    </row>
    <row r="413">
      <c r="A413" s="82"/>
      <c r="B413" s="25"/>
      <c r="C413" s="25"/>
      <c r="D413" s="25"/>
    </row>
    <row r="414">
      <c r="A414" s="82"/>
      <c r="B414" s="25"/>
      <c r="C414" s="25"/>
      <c r="D414" s="25"/>
    </row>
    <row r="415">
      <c r="A415" s="82"/>
      <c r="B415" s="25"/>
      <c r="C415" s="25"/>
      <c r="D415" s="25"/>
    </row>
    <row r="416">
      <c r="A416" s="82"/>
      <c r="B416" s="25"/>
      <c r="C416" s="25"/>
      <c r="D416" s="25"/>
    </row>
    <row r="417">
      <c r="A417" s="82"/>
      <c r="B417" s="25"/>
      <c r="C417" s="25"/>
      <c r="D417" s="25"/>
    </row>
    <row r="418">
      <c r="A418" s="82"/>
      <c r="B418" s="25"/>
      <c r="C418" s="25"/>
      <c r="D418" s="25"/>
    </row>
    <row r="419">
      <c r="A419" s="82"/>
      <c r="B419" s="25"/>
      <c r="C419" s="25"/>
      <c r="D419" s="25"/>
    </row>
    <row r="420">
      <c r="A420" s="82"/>
      <c r="B420" s="25"/>
      <c r="C420" s="25"/>
      <c r="D420" s="25"/>
    </row>
    <row r="421">
      <c r="A421" s="82"/>
      <c r="B421" s="25"/>
      <c r="C421" s="25"/>
      <c r="D421" s="25"/>
    </row>
    <row r="422">
      <c r="A422" s="82"/>
      <c r="B422" s="25"/>
      <c r="C422" s="25"/>
      <c r="D422" s="25"/>
    </row>
    <row r="423">
      <c r="A423" s="82"/>
      <c r="B423" s="25"/>
      <c r="C423" s="25"/>
      <c r="D423" s="25"/>
    </row>
    <row r="424">
      <c r="A424" s="82"/>
      <c r="B424" s="25"/>
      <c r="C424" s="25"/>
      <c r="D424" s="25"/>
    </row>
    <row r="425">
      <c r="A425" s="82"/>
      <c r="B425" s="25"/>
      <c r="C425" s="25"/>
      <c r="D425" s="25"/>
    </row>
    <row r="426">
      <c r="A426" s="82"/>
      <c r="B426" s="25"/>
      <c r="C426" s="25"/>
      <c r="D426" s="25"/>
    </row>
    <row r="427">
      <c r="A427" s="82"/>
      <c r="B427" s="25"/>
      <c r="C427" s="25"/>
      <c r="D427" s="25"/>
    </row>
    <row r="428">
      <c r="A428" s="82"/>
      <c r="B428" s="25"/>
      <c r="C428" s="25"/>
      <c r="D428" s="25"/>
    </row>
    <row r="429">
      <c r="A429" s="82"/>
      <c r="B429" s="25"/>
      <c r="C429" s="25"/>
      <c r="D429" s="25"/>
    </row>
    <row r="430">
      <c r="A430" s="82"/>
      <c r="B430" s="25"/>
      <c r="C430" s="25"/>
      <c r="D430" s="25"/>
    </row>
    <row r="431">
      <c r="A431" s="82"/>
      <c r="B431" s="25"/>
      <c r="C431" s="25"/>
      <c r="D431" s="25"/>
    </row>
    <row r="432">
      <c r="A432" s="82"/>
      <c r="B432" s="25"/>
      <c r="C432" s="25"/>
      <c r="D432" s="25"/>
    </row>
    <row r="433">
      <c r="A433" s="82"/>
      <c r="B433" s="25"/>
      <c r="C433" s="25"/>
      <c r="D433" s="25"/>
    </row>
    <row r="434">
      <c r="A434" s="82"/>
      <c r="B434" s="25"/>
      <c r="C434" s="25"/>
      <c r="D434" s="25"/>
    </row>
    <row r="435">
      <c r="A435" s="82"/>
      <c r="B435" s="25"/>
      <c r="C435" s="25"/>
      <c r="D435" s="25"/>
    </row>
    <row r="436">
      <c r="A436" s="82"/>
      <c r="B436" s="25"/>
      <c r="C436" s="25"/>
      <c r="D436" s="25"/>
    </row>
    <row r="437">
      <c r="A437" s="82"/>
      <c r="B437" s="25"/>
      <c r="C437" s="25"/>
      <c r="D437" s="25"/>
    </row>
    <row r="438">
      <c r="A438" s="82"/>
      <c r="B438" s="25"/>
      <c r="C438" s="25"/>
      <c r="D438" s="25"/>
    </row>
    <row r="439">
      <c r="A439" s="82"/>
      <c r="B439" s="25"/>
      <c r="C439" s="25"/>
      <c r="D439" s="25"/>
    </row>
    <row r="440">
      <c r="A440" s="82"/>
      <c r="B440" s="25"/>
      <c r="C440" s="25"/>
      <c r="D440" s="25"/>
    </row>
    <row r="441">
      <c r="A441" s="82"/>
      <c r="B441" s="25"/>
      <c r="C441" s="25"/>
      <c r="D441" s="25"/>
    </row>
    <row r="442">
      <c r="A442" s="82"/>
      <c r="B442" s="25"/>
      <c r="C442" s="25"/>
      <c r="D442" s="25"/>
    </row>
    <row r="443">
      <c r="A443" s="82"/>
      <c r="B443" s="25"/>
      <c r="C443" s="25"/>
      <c r="D443" s="25"/>
    </row>
    <row r="444">
      <c r="A444" s="82"/>
      <c r="B444" s="25"/>
      <c r="C444" s="25"/>
      <c r="D444" s="25"/>
    </row>
    <row r="445">
      <c r="A445" s="82"/>
      <c r="B445" s="25"/>
      <c r="C445" s="25"/>
      <c r="D445" s="25"/>
    </row>
    <row r="446">
      <c r="A446" s="82"/>
      <c r="B446" s="25"/>
      <c r="C446" s="25"/>
      <c r="D446" s="25"/>
    </row>
    <row r="447">
      <c r="A447" s="82"/>
      <c r="B447" s="25"/>
      <c r="C447" s="25"/>
      <c r="D447" s="25"/>
    </row>
    <row r="448">
      <c r="A448" s="82"/>
      <c r="B448" s="25"/>
      <c r="C448" s="25"/>
      <c r="D448" s="25"/>
    </row>
    <row r="449">
      <c r="A449" s="82"/>
      <c r="B449" s="25"/>
      <c r="C449" s="25"/>
      <c r="D449" s="25"/>
    </row>
    <row r="450">
      <c r="A450" s="82"/>
      <c r="B450" s="25"/>
      <c r="C450" s="25"/>
      <c r="D450" s="25"/>
    </row>
    <row r="451">
      <c r="A451" s="82"/>
      <c r="B451" s="25"/>
      <c r="C451" s="25"/>
      <c r="D451" s="25"/>
    </row>
    <row r="452">
      <c r="A452" s="82"/>
      <c r="B452" s="25"/>
      <c r="C452" s="25"/>
      <c r="D452" s="25"/>
    </row>
    <row r="453">
      <c r="A453" s="82"/>
      <c r="B453" s="25"/>
      <c r="C453" s="25"/>
      <c r="D453" s="25"/>
    </row>
    <row r="454">
      <c r="A454" s="82"/>
      <c r="B454" s="25"/>
      <c r="C454" s="25"/>
      <c r="D454" s="25"/>
    </row>
    <row r="455">
      <c r="A455" s="82"/>
      <c r="B455" s="25"/>
      <c r="C455" s="25"/>
      <c r="D455" s="25"/>
    </row>
    <row r="456">
      <c r="A456" s="82"/>
      <c r="B456" s="25"/>
      <c r="C456" s="25"/>
      <c r="D456" s="25"/>
    </row>
    <row r="457">
      <c r="A457" s="82"/>
      <c r="B457" s="25"/>
      <c r="C457" s="25"/>
      <c r="D457" s="25"/>
    </row>
    <row r="458">
      <c r="A458" s="82"/>
      <c r="B458" s="25"/>
      <c r="C458" s="25"/>
      <c r="D458" s="25"/>
    </row>
    <row r="459">
      <c r="A459" s="82"/>
      <c r="B459" s="25"/>
      <c r="C459" s="25"/>
      <c r="D459" s="25"/>
    </row>
    <row r="460">
      <c r="A460" s="82"/>
      <c r="B460" s="25"/>
      <c r="C460" s="25"/>
      <c r="D460" s="25"/>
    </row>
    <row r="461">
      <c r="A461" s="82"/>
      <c r="B461" s="25"/>
      <c r="C461" s="25"/>
      <c r="D461" s="25"/>
    </row>
    <row r="462">
      <c r="A462" s="82"/>
      <c r="B462" s="25"/>
      <c r="C462" s="25"/>
      <c r="D462" s="25"/>
    </row>
    <row r="463">
      <c r="A463" s="82"/>
      <c r="B463" s="25"/>
      <c r="C463" s="25"/>
      <c r="D463" s="25"/>
    </row>
    <row r="464">
      <c r="A464" s="82"/>
      <c r="B464" s="25"/>
      <c r="C464" s="25"/>
      <c r="D464" s="25"/>
    </row>
    <row r="465">
      <c r="A465" s="82"/>
      <c r="B465" s="25"/>
      <c r="C465" s="25"/>
      <c r="D465" s="25"/>
    </row>
    <row r="466">
      <c r="A466" s="82"/>
      <c r="B466" s="25"/>
      <c r="C466" s="25"/>
      <c r="D466" s="25"/>
    </row>
    <row r="467">
      <c r="A467" s="82"/>
      <c r="B467" s="25"/>
      <c r="C467" s="25"/>
      <c r="D467" s="25"/>
    </row>
    <row r="468">
      <c r="A468" s="82"/>
      <c r="B468" s="25"/>
      <c r="C468" s="25"/>
      <c r="D468" s="25"/>
    </row>
    <row r="469">
      <c r="A469" s="82"/>
      <c r="B469" s="25"/>
      <c r="C469" s="25"/>
      <c r="D469" s="25"/>
    </row>
    <row r="470">
      <c r="A470" s="82"/>
      <c r="B470" s="25"/>
      <c r="C470" s="25"/>
      <c r="D470" s="25"/>
    </row>
    <row r="471">
      <c r="A471" s="82"/>
      <c r="B471" s="25"/>
      <c r="C471" s="25"/>
      <c r="D471" s="25"/>
    </row>
    <row r="472">
      <c r="A472" s="82"/>
      <c r="B472" s="25"/>
      <c r="C472" s="25"/>
      <c r="D472" s="25"/>
    </row>
    <row r="473">
      <c r="A473" s="82"/>
      <c r="B473" s="25"/>
      <c r="C473" s="25"/>
      <c r="D473" s="25"/>
    </row>
    <row r="474">
      <c r="A474" s="82"/>
      <c r="B474" s="25"/>
      <c r="C474" s="25"/>
      <c r="D474" s="25"/>
    </row>
    <row r="475">
      <c r="A475" s="82"/>
      <c r="B475" s="25"/>
      <c r="C475" s="25"/>
      <c r="D475" s="25"/>
    </row>
    <row r="476">
      <c r="A476" s="82"/>
      <c r="B476" s="25"/>
      <c r="C476" s="25"/>
      <c r="D476" s="25"/>
    </row>
    <row r="477">
      <c r="A477" s="82"/>
      <c r="B477" s="25"/>
      <c r="C477" s="25"/>
      <c r="D477" s="25"/>
    </row>
    <row r="478">
      <c r="A478" s="82"/>
      <c r="B478" s="25"/>
      <c r="C478" s="25"/>
      <c r="D478" s="25"/>
    </row>
    <row r="479">
      <c r="A479" s="82"/>
      <c r="B479" s="25"/>
      <c r="C479" s="25"/>
      <c r="D479" s="25"/>
    </row>
    <row r="480">
      <c r="A480" s="82"/>
      <c r="B480" s="25"/>
      <c r="C480" s="25"/>
      <c r="D480" s="25"/>
    </row>
    <row r="481">
      <c r="A481" s="82"/>
      <c r="B481" s="25"/>
      <c r="C481" s="25"/>
      <c r="D481" s="25"/>
    </row>
    <row r="482">
      <c r="A482" s="82"/>
      <c r="B482" s="25"/>
      <c r="C482" s="25"/>
      <c r="D482" s="25"/>
    </row>
    <row r="483">
      <c r="A483" s="82"/>
      <c r="B483" s="25"/>
      <c r="C483" s="25"/>
      <c r="D483" s="25"/>
    </row>
    <row r="484">
      <c r="A484" s="82"/>
      <c r="B484" s="25"/>
      <c r="C484" s="25"/>
      <c r="D484" s="25"/>
    </row>
    <row r="485">
      <c r="A485" s="82"/>
      <c r="B485" s="25"/>
      <c r="C485" s="25"/>
      <c r="D485" s="25"/>
    </row>
    <row r="486">
      <c r="A486" s="82"/>
      <c r="B486" s="25"/>
      <c r="C486" s="25"/>
      <c r="D486" s="25"/>
    </row>
    <row r="487">
      <c r="A487" s="82"/>
      <c r="B487" s="25"/>
      <c r="C487" s="25"/>
      <c r="D487" s="25"/>
    </row>
    <row r="488">
      <c r="A488" s="82"/>
      <c r="B488" s="25"/>
      <c r="C488" s="25"/>
      <c r="D488" s="25"/>
    </row>
    <row r="489">
      <c r="A489" s="82"/>
      <c r="B489" s="25"/>
      <c r="C489" s="25"/>
      <c r="D489" s="25"/>
    </row>
    <row r="490">
      <c r="A490" s="82"/>
      <c r="B490" s="25"/>
      <c r="C490" s="25"/>
      <c r="D490" s="25"/>
    </row>
    <row r="491">
      <c r="A491" s="82"/>
      <c r="B491" s="25"/>
      <c r="C491" s="25"/>
      <c r="D491" s="25"/>
    </row>
    <row r="492">
      <c r="A492" s="82"/>
      <c r="B492" s="25"/>
      <c r="C492" s="25"/>
      <c r="D492" s="25"/>
    </row>
    <row r="493">
      <c r="A493" s="82"/>
      <c r="B493" s="25"/>
      <c r="C493" s="25"/>
      <c r="D493" s="25"/>
    </row>
    <row r="494">
      <c r="A494" s="82"/>
      <c r="B494" s="25"/>
      <c r="C494" s="25"/>
      <c r="D494" s="25"/>
    </row>
    <row r="495">
      <c r="A495" s="82"/>
      <c r="B495" s="25"/>
      <c r="C495" s="25"/>
      <c r="D495" s="25"/>
    </row>
    <row r="496">
      <c r="A496" s="82"/>
      <c r="B496" s="25"/>
      <c r="C496" s="25"/>
      <c r="D496" s="25"/>
    </row>
    <row r="497">
      <c r="A497" s="82"/>
      <c r="B497" s="25"/>
      <c r="C497" s="25"/>
      <c r="D497" s="25"/>
    </row>
    <row r="498">
      <c r="A498" s="82"/>
      <c r="B498" s="25"/>
      <c r="C498" s="25"/>
      <c r="D498" s="25"/>
    </row>
    <row r="499">
      <c r="A499" s="82"/>
      <c r="B499" s="25"/>
      <c r="C499" s="25"/>
      <c r="D499" s="25"/>
    </row>
    <row r="500">
      <c r="A500" s="82"/>
      <c r="B500" s="25"/>
      <c r="C500" s="25"/>
      <c r="D500" s="25"/>
    </row>
    <row r="501">
      <c r="A501" s="82"/>
      <c r="B501" s="25"/>
      <c r="C501" s="25"/>
      <c r="D501" s="25"/>
    </row>
    <row r="502">
      <c r="A502" s="82"/>
      <c r="B502" s="25"/>
      <c r="C502" s="25"/>
      <c r="D502" s="25"/>
    </row>
    <row r="503">
      <c r="A503" s="82"/>
      <c r="B503" s="25"/>
      <c r="C503" s="25"/>
      <c r="D503" s="25"/>
    </row>
    <row r="504">
      <c r="A504" s="82"/>
      <c r="B504" s="25"/>
      <c r="C504" s="25"/>
      <c r="D504" s="25"/>
    </row>
    <row r="505">
      <c r="A505" s="82"/>
      <c r="B505" s="25"/>
      <c r="C505" s="25"/>
      <c r="D505" s="25"/>
    </row>
    <row r="506">
      <c r="A506" s="82"/>
      <c r="B506" s="25"/>
      <c r="C506" s="25"/>
      <c r="D506" s="25"/>
    </row>
    <row r="507">
      <c r="A507" s="82"/>
      <c r="B507" s="25"/>
      <c r="C507" s="25"/>
      <c r="D507" s="25"/>
    </row>
    <row r="508">
      <c r="A508" s="82"/>
      <c r="B508" s="25"/>
      <c r="C508" s="25"/>
      <c r="D508" s="25"/>
    </row>
    <row r="509">
      <c r="A509" s="82"/>
      <c r="B509" s="25"/>
      <c r="C509" s="25"/>
      <c r="D509" s="25"/>
    </row>
    <row r="510">
      <c r="A510" s="82"/>
      <c r="B510" s="25"/>
      <c r="C510" s="25"/>
      <c r="D510" s="25"/>
    </row>
    <row r="511">
      <c r="A511" s="82"/>
      <c r="B511" s="25"/>
      <c r="C511" s="25"/>
      <c r="D511" s="25"/>
    </row>
    <row r="512">
      <c r="A512" s="82"/>
      <c r="B512" s="25"/>
      <c r="C512" s="25"/>
      <c r="D512" s="25"/>
    </row>
    <row r="513">
      <c r="A513" s="82"/>
      <c r="B513" s="25"/>
      <c r="C513" s="25"/>
      <c r="D513" s="25"/>
    </row>
    <row r="514">
      <c r="A514" s="82"/>
      <c r="B514" s="25"/>
      <c r="C514" s="25"/>
      <c r="D514" s="25"/>
    </row>
    <row r="515">
      <c r="A515" s="82"/>
      <c r="B515" s="25"/>
      <c r="C515" s="25"/>
      <c r="D515" s="25"/>
    </row>
    <row r="516">
      <c r="A516" s="82"/>
      <c r="B516" s="25"/>
      <c r="C516" s="25"/>
      <c r="D516" s="25"/>
    </row>
    <row r="517">
      <c r="A517" s="82"/>
      <c r="B517" s="25"/>
      <c r="C517" s="25"/>
      <c r="D517" s="25"/>
    </row>
    <row r="518">
      <c r="A518" s="82"/>
      <c r="B518" s="25"/>
      <c r="C518" s="25"/>
      <c r="D518" s="25"/>
    </row>
    <row r="519">
      <c r="A519" s="82"/>
      <c r="B519" s="25"/>
      <c r="C519" s="25"/>
      <c r="D519" s="25"/>
    </row>
    <row r="520">
      <c r="A520" s="82"/>
      <c r="B520" s="25"/>
      <c r="C520" s="25"/>
      <c r="D520" s="25"/>
    </row>
    <row r="521">
      <c r="A521" s="82"/>
      <c r="B521" s="25"/>
      <c r="C521" s="25"/>
      <c r="D521" s="25"/>
    </row>
    <row r="522">
      <c r="A522" s="82"/>
      <c r="B522" s="25"/>
      <c r="C522" s="25"/>
      <c r="D522" s="25"/>
    </row>
    <row r="523">
      <c r="A523" s="82"/>
      <c r="B523" s="25"/>
      <c r="C523" s="25"/>
      <c r="D523" s="25"/>
    </row>
    <row r="524">
      <c r="A524" s="82"/>
      <c r="B524" s="25"/>
      <c r="C524" s="25"/>
      <c r="D524" s="25"/>
    </row>
    <row r="525">
      <c r="A525" s="82"/>
      <c r="B525" s="25"/>
      <c r="C525" s="25"/>
      <c r="D525" s="25"/>
    </row>
    <row r="526">
      <c r="A526" s="82"/>
      <c r="B526" s="25"/>
      <c r="C526" s="25"/>
      <c r="D526" s="25"/>
    </row>
    <row r="527">
      <c r="A527" s="82"/>
      <c r="B527" s="25"/>
      <c r="C527" s="25"/>
      <c r="D527" s="25"/>
    </row>
    <row r="528">
      <c r="A528" s="82"/>
      <c r="B528" s="25"/>
      <c r="C528" s="25"/>
      <c r="D528" s="25"/>
    </row>
    <row r="529">
      <c r="A529" s="82"/>
      <c r="B529" s="25"/>
      <c r="C529" s="25"/>
      <c r="D529" s="25"/>
    </row>
    <row r="530">
      <c r="A530" s="82"/>
      <c r="B530" s="25"/>
      <c r="C530" s="25"/>
      <c r="D530" s="25"/>
    </row>
    <row r="531">
      <c r="A531" s="82"/>
      <c r="B531" s="25"/>
      <c r="C531" s="25"/>
      <c r="D531" s="25"/>
    </row>
    <row r="532">
      <c r="A532" s="82"/>
      <c r="B532" s="25"/>
      <c r="C532" s="25"/>
      <c r="D532" s="25"/>
    </row>
    <row r="533">
      <c r="A533" s="82"/>
      <c r="B533" s="25"/>
      <c r="C533" s="25"/>
      <c r="D533" s="25"/>
    </row>
    <row r="534">
      <c r="A534" s="82"/>
      <c r="B534" s="25"/>
      <c r="C534" s="25"/>
      <c r="D534" s="25"/>
    </row>
    <row r="535">
      <c r="A535" s="82"/>
      <c r="B535" s="25"/>
      <c r="C535" s="25"/>
      <c r="D535" s="25"/>
    </row>
    <row r="536">
      <c r="A536" s="82"/>
      <c r="B536" s="25"/>
      <c r="C536" s="25"/>
      <c r="D536" s="25"/>
    </row>
    <row r="537">
      <c r="A537" s="82"/>
      <c r="B537" s="25"/>
      <c r="C537" s="25"/>
      <c r="D537" s="25"/>
    </row>
    <row r="538">
      <c r="A538" s="82"/>
      <c r="B538" s="25"/>
      <c r="C538" s="25"/>
      <c r="D538" s="25"/>
    </row>
    <row r="539">
      <c r="A539" s="82"/>
      <c r="B539" s="25"/>
      <c r="C539" s="25"/>
      <c r="D539" s="25"/>
    </row>
    <row r="540">
      <c r="A540" s="82"/>
      <c r="B540" s="25"/>
      <c r="C540" s="25"/>
      <c r="D540" s="25"/>
    </row>
    <row r="541">
      <c r="A541" s="82"/>
      <c r="B541" s="25"/>
      <c r="C541" s="25"/>
      <c r="D541" s="25"/>
    </row>
    <row r="542">
      <c r="A542" s="82"/>
      <c r="B542" s="25"/>
      <c r="C542" s="25"/>
      <c r="D542" s="25"/>
    </row>
    <row r="543">
      <c r="A543" s="82"/>
      <c r="B543" s="25"/>
      <c r="C543" s="25"/>
      <c r="D543" s="25"/>
    </row>
    <row r="544">
      <c r="A544" s="82"/>
      <c r="B544" s="25"/>
      <c r="C544" s="25"/>
      <c r="D544" s="25"/>
    </row>
    <row r="545">
      <c r="A545" s="82"/>
      <c r="B545" s="25"/>
      <c r="C545" s="25"/>
      <c r="D545" s="25"/>
    </row>
    <row r="546">
      <c r="A546" s="82"/>
      <c r="B546" s="25"/>
      <c r="C546" s="25"/>
      <c r="D546" s="25"/>
    </row>
    <row r="547">
      <c r="A547" s="82"/>
      <c r="B547" s="25"/>
      <c r="C547" s="25"/>
      <c r="D547" s="25"/>
    </row>
    <row r="548">
      <c r="A548" s="82"/>
      <c r="B548" s="25"/>
      <c r="C548" s="25"/>
      <c r="D548" s="25"/>
    </row>
    <row r="549">
      <c r="A549" s="82"/>
      <c r="B549" s="25"/>
      <c r="C549" s="25"/>
      <c r="D549" s="25"/>
    </row>
    <row r="550">
      <c r="A550" s="82"/>
      <c r="B550" s="25"/>
      <c r="C550" s="25"/>
      <c r="D550" s="25"/>
    </row>
    <row r="551">
      <c r="A551" s="82"/>
      <c r="B551" s="25"/>
      <c r="C551" s="25"/>
      <c r="D551" s="25"/>
    </row>
    <row r="552">
      <c r="A552" s="82"/>
      <c r="B552" s="25"/>
      <c r="C552" s="25"/>
      <c r="D552" s="25"/>
    </row>
    <row r="553">
      <c r="A553" s="82"/>
      <c r="B553" s="25"/>
      <c r="C553" s="25"/>
      <c r="D553" s="25"/>
    </row>
    <row r="554">
      <c r="A554" s="82"/>
      <c r="B554" s="25"/>
      <c r="C554" s="25"/>
      <c r="D554" s="25"/>
    </row>
    <row r="555">
      <c r="A555" s="82"/>
      <c r="B555" s="25"/>
      <c r="C555" s="25"/>
      <c r="D555" s="25"/>
    </row>
    <row r="556">
      <c r="A556" s="82"/>
      <c r="B556" s="25"/>
      <c r="C556" s="25"/>
      <c r="D556" s="25"/>
    </row>
    <row r="557">
      <c r="A557" s="82"/>
      <c r="B557" s="25"/>
      <c r="C557" s="25"/>
      <c r="D557" s="25"/>
    </row>
    <row r="558">
      <c r="A558" s="82"/>
      <c r="B558" s="25"/>
      <c r="C558" s="25"/>
      <c r="D558" s="25"/>
    </row>
    <row r="559">
      <c r="A559" s="82"/>
      <c r="B559" s="25"/>
      <c r="C559" s="25"/>
      <c r="D559" s="25"/>
    </row>
    <row r="560">
      <c r="A560" s="82"/>
      <c r="B560" s="25"/>
      <c r="C560" s="25"/>
      <c r="D560" s="25"/>
    </row>
    <row r="561">
      <c r="A561" s="82"/>
      <c r="B561" s="25"/>
      <c r="C561" s="25"/>
      <c r="D561" s="25"/>
    </row>
    <row r="562">
      <c r="A562" s="82"/>
      <c r="B562" s="25"/>
      <c r="C562" s="25"/>
      <c r="D562" s="25"/>
    </row>
    <row r="563">
      <c r="A563" s="82"/>
      <c r="B563" s="25"/>
      <c r="C563" s="25"/>
      <c r="D563" s="25"/>
    </row>
    <row r="564">
      <c r="A564" s="82"/>
      <c r="B564" s="25"/>
      <c r="C564" s="25"/>
      <c r="D564" s="25"/>
    </row>
    <row r="565">
      <c r="A565" s="82"/>
      <c r="B565" s="25"/>
      <c r="C565" s="25"/>
      <c r="D565" s="25"/>
    </row>
    <row r="566">
      <c r="A566" s="82"/>
      <c r="B566" s="25"/>
      <c r="C566" s="25"/>
      <c r="D566" s="25"/>
    </row>
    <row r="567">
      <c r="A567" s="82"/>
      <c r="B567" s="25"/>
      <c r="C567" s="25"/>
      <c r="D567" s="25"/>
    </row>
    <row r="568">
      <c r="A568" s="82"/>
      <c r="B568" s="25"/>
      <c r="C568" s="25"/>
      <c r="D568" s="25"/>
    </row>
    <row r="569">
      <c r="A569" s="82"/>
      <c r="B569" s="25"/>
      <c r="C569" s="25"/>
      <c r="D569" s="25"/>
    </row>
    <row r="570">
      <c r="A570" s="82"/>
      <c r="B570" s="25"/>
      <c r="C570" s="25"/>
      <c r="D570" s="25"/>
    </row>
    <row r="571">
      <c r="A571" s="82"/>
      <c r="B571" s="25"/>
      <c r="C571" s="25"/>
      <c r="D571" s="25"/>
    </row>
    <row r="572">
      <c r="A572" s="82"/>
      <c r="B572" s="25"/>
      <c r="C572" s="25"/>
      <c r="D572" s="25"/>
    </row>
    <row r="573">
      <c r="A573" s="82"/>
      <c r="B573" s="25"/>
      <c r="C573" s="25"/>
      <c r="D573" s="25"/>
    </row>
    <row r="574">
      <c r="A574" s="82"/>
      <c r="B574" s="25"/>
      <c r="C574" s="25"/>
      <c r="D574" s="25"/>
    </row>
    <row r="575">
      <c r="A575" s="82"/>
      <c r="B575" s="25"/>
      <c r="C575" s="25"/>
      <c r="D575" s="25"/>
    </row>
    <row r="576">
      <c r="A576" s="82"/>
      <c r="B576" s="25"/>
      <c r="C576" s="25"/>
      <c r="D576" s="25"/>
    </row>
    <row r="577">
      <c r="A577" s="82"/>
      <c r="B577" s="25"/>
      <c r="C577" s="25"/>
      <c r="D577" s="25"/>
    </row>
    <row r="578">
      <c r="A578" s="82"/>
      <c r="B578" s="25"/>
      <c r="C578" s="25"/>
      <c r="D578" s="25"/>
    </row>
    <row r="579">
      <c r="A579" s="82"/>
      <c r="B579" s="25"/>
      <c r="C579" s="25"/>
      <c r="D579" s="25"/>
    </row>
    <row r="580">
      <c r="A580" s="82"/>
      <c r="B580" s="25"/>
      <c r="C580" s="25"/>
      <c r="D580" s="25"/>
    </row>
    <row r="581">
      <c r="A581" s="82"/>
      <c r="B581" s="25"/>
      <c r="C581" s="25"/>
      <c r="D581" s="25"/>
    </row>
    <row r="582">
      <c r="A582" s="82"/>
      <c r="B582" s="25"/>
      <c r="C582" s="25"/>
      <c r="D582" s="25"/>
    </row>
    <row r="583">
      <c r="A583" s="82"/>
      <c r="B583" s="25"/>
      <c r="C583" s="25"/>
      <c r="D583" s="25"/>
    </row>
    <row r="584">
      <c r="A584" s="82"/>
      <c r="B584" s="25"/>
      <c r="C584" s="25"/>
      <c r="D584" s="25"/>
    </row>
    <row r="585">
      <c r="A585" s="82"/>
      <c r="B585" s="25"/>
      <c r="C585" s="25"/>
      <c r="D585" s="25"/>
    </row>
    <row r="586">
      <c r="A586" s="82"/>
      <c r="B586" s="25"/>
      <c r="C586" s="25"/>
      <c r="D586" s="25"/>
    </row>
    <row r="587">
      <c r="A587" s="82"/>
      <c r="B587" s="25"/>
      <c r="C587" s="25"/>
      <c r="D587" s="25"/>
    </row>
    <row r="588">
      <c r="A588" s="82"/>
      <c r="B588" s="25"/>
      <c r="C588" s="25"/>
      <c r="D588" s="25"/>
    </row>
    <row r="589">
      <c r="A589" s="82"/>
      <c r="B589" s="25"/>
      <c r="C589" s="25"/>
      <c r="D589" s="25"/>
    </row>
    <row r="590">
      <c r="A590" s="82"/>
      <c r="B590" s="25"/>
      <c r="C590" s="25"/>
      <c r="D590" s="25"/>
    </row>
    <row r="591">
      <c r="A591" s="82"/>
      <c r="B591" s="25"/>
      <c r="C591" s="25"/>
      <c r="D591" s="25"/>
    </row>
    <row r="592">
      <c r="A592" s="82"/>
      <c r="B592" s="25"/>
      <c r="C592" s="25"/>
      <c r="D592" s="25"/>
    </row>
    <row r="593">
      <c r="A593" s="82"/>
      <c r="B593" s="25"/>
      <c r="C593" s="25"/>
      <c r="D593" s="25"/>
    </row>
    <row r="594">
      <c r="A594" s="82"/>
      <c r="B594" s="25"/>
      <c r="C594" s="25"/>
      <c r="D594" s="25"/>
    </row>
    <row r="595">
      <c r="A595" s="82"/>
      <c r="B595" s="25"/>
      <c r="C595" s="25"/>
      <c r="D595" s="25"/>
    </row>
    <row r="596">
      <c r="A596" s="82"/>
      <c r="B596" s="25"/>
      <c r="C596" s="25"/>
      <c r="D596" s="25"/>
    </row>
    <row r="597">
      <c r="A597" s="82"/>
      <c r="B597" s="25"/>
      <c r="C597" s="25"/>
      <c r="D597" s="25"/>
    </row>
    <row r="598">
      <c r="A598" s="82"/>
      <c r="B598" s="25"/>
      <c r="C598" s="25"/>
      <c r="D598" s="25"/>
    </row>
    <row r="599">
      <c r="A599" s="82"/>
      <c r="B599" s="25"/>
      <c r="C599" s="25"/>
      <c r="D599" s="25"/>
    </row>
    <row r="600">
      <c r="A600" s="82"/>
      <c r="B600" s="25"/>
      <c r="C600" s="25"/>
      <c r="D600" s="25"/>
    </row>
    <row r="601">
      <c r="A601" s="82"/>
      <c r="B601" s="25"/>
      <c r="C601" s="25"/>
      <c r="D601" s="25"/>
    </row>
    <row r="602">
      <c r="A602" s="82"/>
      <c r="B602" s="25"/>
      <c r="C602" s="25"/>
      <c r="D602" s="25"/>
    </row>
    <row r="603">
      <c r="A603" s="82"/>
      <c r="B603" s="25"/>
      <c r="C603" s="25"/>
      <c r="D603" s="25"/>
    </row>
    <row r="604">
      <c r="A604" s="82"/>
      <c r="B604" s="25"/>
      <c r="C604" s="25"/>
      <c r="D604" s="25"/>
    </row>
    <row r="605">
      <c r="A605" s="82"/>
      <c r="B605" s="25"/>
      <c r="C605" s="25"/>
      <c r="D605" s="25"/>
    </row>
    <row r="606">
      <c r="A606" s="82"/>
      <c r="B606" s="25"/>
      <c r="C606" s="25"/>
      <c r="D606" s="25"/>
    </row>
    <row r="607">
      <c r="A607" s="82"/>
      <c r="B607" s="25"/>
      <c r="C607" s="25"/>
      <c r="D607" s="25"/>
    </row>
    <row r="608">
      <c r="A608" s="82"/>
      <c r="B608" s="25"/>
      <c r="C608" s="25"/>
      <c r="D608" s="25"/>
    </row>
    <row r="609">
      <c r="A609" s="82"/>
      <c r="B609" s="25"/>
      <c r="C609" s="25"/>
      <c r="D609" s="25"/>
    </row>
    <row r="610">
      <c r="A610" s="82"/>
      <c r="B610" s="25"/>
      <c r="C610" s="25"/>
      <c r="D610" s="25"/>
    </row>
    <row r="611">
      <c r="A611" s="82"/>
      <c r="B611" s="25"/>
      <c r="C611" s="25"/>
      <c r="D611" s="25"/>
    </row>
    <row r="612">
      <c r="A612" s="82"/>
      <c r="B612" s="25"/>
      <c r="C612" s="25"/>
      <c r="D612" s="25"/>
    </row>
    <row r="613">
      <c r="A613" s="82"/>
      <c r="B613" s="25"/>
      <c r="C613" s="25"/>
      <c r="D613" s="25"/>
    </row>
    <row r="614">
      <c r="A614" s="82"/>
      <c r="B614" s="25"/>
      <c r="C614" s="25"/>
      <c r="D614" s="25"/>
    </row>
    <row r="615">
      <c r="A615" s="82"/>
      <c r="B615" s="25"/>
      <c r="C615" s="25"/>
      <c r="D615" s="25"/>
    </row>
    <row r="616">
      <c r="A616" s="82"/>
      <c r="B616" s="25"/>
      <c r="C616" s="25"/>
      <c r="D616" s="25"/>
    </row>
    <row r="617">
      <c r="A617" s="82"/>
      <c r="B617" s="25"/>
      <c r="C617" s="25"/>
      <c r="D617" s="25"/>
    </row>
    <row r="618">
      <c r="A618" s="82"/>
      <c r="B618" s="25"/>
      <c r="C618" s="25"/>
      <c r="D618" s="25"/>
    </row>
    <row r="619">
      <c r="A619" s="82"/>
      <c r="B619" s="25"/>
      <c r="C619" s="25"/>
      <c r="D619" s="25"/>
    </row>
    <row r="620">
      <c r="A620" s="82"/>
      <c r="B620" s="25"/>
      <c r="C620" s="25"/>
      <c r="D620" s="25"/>
    </row>
    <row r="621">
      <c r="A621" s="82"/>
      <c r="B621" s="25"/>
      <c r="C621" s="25"/>
      <c r="D621" s="25"/>
    </row>
    <row r="622">
      <c r="A622" s="82"/>
      <c r="B622" s="25"/>
      <c r="C622" s="25"/>
      <c r="D622" s="25"/>
    </row>
    <row r="623">
      <c r="A623" s="82"/>
      <c r="B623" s="25"/>
      <c r="C623" s="25"/>
      <c r="D623" s="25"/>
    </row>
    <row r="624">
      <c r="A624" s="82"/>
      <c r="B624" s="25"/>
      <c r="C624" s="25"/>
      <c r="D624" s="25"/>
    </row>
    <row r="625">
      <c r="A625" s="82"/>
      <c r="B625" s="25"/>
      <c r="C625" s="25"/>
      <c r="D625" s="25"/>
    </row>
    <row r="626">
      <c r="A626" s="82"/>
      <c r="B626" s="25"/>
      <c r="C626" s="25"/>
      <c r="D626" s="25"/>
    </row>
    <row r="627">
      <c r="A627" s="82"/>
      <c r="B627" s="25"/>
      <c r="C627" s="25"/>
      <c r="D627" s="25"/>
    </row>
    <row r="628">
      <c r="A628" s="82"/>
      <c r="B628" s="25"/>
      <c r="C628" s="25"/>
      <c r="D628" s="25"/>
    </row>
    <row r="629">
      <c r="A629" s="82"/>
      <c r="B629" s="25"/>
      <c r="C629" s="25"/>
      <c r="D629" s="25"/>
    </row>
    <row r="630">
      <c r="A630" s="82"/>
      <c r="B630" s="25"/>
      <c r="C630" s="25"/>
      <c r="D630" s="25"/>
    </row>
    <row r="631">
      <c r="A631" s="82"/>
      <c r="B631" s="25"/>
      <c r="C631" s="25"/>
      <c r="D631" s="25"/>
    </row>
    <row r="632">
      <c r="A632" s="82"/>
      <c r="B632" s="25"/>
      <c r="C632" s="25"/>
      <c r="D632" s="25"/>
    </row>
    <row r="633">
      <c r="A633" s="82"/>
      <c r="B633" s="25"/>
      <c r="C633" s="25"/>
      <c r="D633" s="25"/>
    </row>
    <row r="634">
      <c r="A634" s="82"/>
      <c r="B634" s="25"/>
      <c r="C634" s="25"/>
      <c r="D634" s="25"/>
    </row>
    <row r="635">
      <c r="A635" s="82"/>
      <c r="B635" s="25"/>
      <c r="C635" s="25"/>
      <c r="D635" s="25"/>
    </row>
    <row r="636">
      <c r="A636" s="82"/>
      <c r="B636" s="25"/>
      <c r="C636" s="25"/>
      <c r="D636" s="25"/>
    </row>
    <row r="637">
      <c r="A637" s="82"/>
      <c r="B637" s="25"/>
      <c r="C637" s="25"/>
      <c r="D637" s="25"/>
    </row>
    <row r="638">
      <c r="A638" s="82"/>
      <c r="B638" s="25"/>
      <c r="C638" s="25"/>
      <c r="D638" s="25"/>
    </row>
    <row r="639">
      <c r="A639" s="82"/>
      <c r="B639" s="25"/>
      <c r="C639" s="25"/>
      <c r="D639" s="25"/>
    </row>
    <row r="640">
      <c r="A640" s="82"/>
      <c r="B640" s="25"/>
      <c r="C640" s="25"/>
      <c r="D640" s="25"/>
    </row>
    <row r="641">
      <c r="A641" s="82"/>
      <c r="B641" s="25"/>
      <c r="C641" s="25"/>
      <c r="D641" s="25"/>
    </row>
    <row r="642">
      <c r="A642" s="82"/>
      <c r="B642" s="25"/>
      <c r="C642" s="25"/>
      <c r="D642" s="25"/>
    </row>
    <row r="643">
      <c r="A643" s="82"/>
      <c r="B643" s="25"/>
      <c r="C643" s="25"/>
      <c r="D643" s="25"/>
    </row>
    <row r="644">
      <c r="A644" s="82"/>
      <c r="B644" s="25"/>
      <c r="C644" s="25"/>
      <c r="D644" s="25"/>
    </row>
    <row r="645">
      <c r="A645" s="82"/>
      <c r="B645" s="25"/>
      <c r="C645" s="25"/>
      <c r="D645" s="25"/>
    </row>
    <row r="646">
      <c r="A646" s="82"/>
      <c r="B646" s="25"/>
      <c r="C646" s="25"/>
      <c r="D646" s="25"/>
    </row>
    <row r="647">
      <c r="A647" s="82"/>
      <c r="B647" s="25"/>
      <c r="C647" s="25"/>
      <c r="D647" s="25"/>
    </row>
    <row r="648">
      <c r="A648" s="82"/>
      <c r="B648" s="25"/>
      <c r="C648" s="25"/>
      <c r="D648" s="25"/>
    </row>
    <row r="649">
      <c r="A649" s="82"/>
      <c r="B649" s="25"/>
      <c r="C649" s="25"/>
      <c r="D649" s="25"/>
    </row>
    <row r="650">
      <c r="A650" s="82"/>
      <c r="B650" s="25"/>
      <c r="C650" s="25"/>
      <c r="D650" s="25"/>
    </row>
    <row r="651">
      <c r="A651" s="82"/>
      <c r="B651" s="25"/>
      <c r="C651" s="25"/>
      <c r="D651" s="25"/>
    </row>
    <row r="652">
      <c r="A652" s="82"/>
      <c r="B652" s="25"/>
      <c r="C652" s="25"/>
      <c r="D652" s="25"/>
    </row>
    <row r="653">
      <c r="A653" s="82"/>
      <c r="B653" s="25"/>
      <c r="C653" s="25"/>
      <c r="D653" s="25"/>
    </row>
    <row r="654">
      <c r="A654" s="82"/>
      <c r="B654" s="25"/>
      <c r="C654" s="25"/>
      <c r="D654" s="25"/>
    </row>
    <row r="655">
      <c r="A655" s="82"/>
      <c r="B655" s="25"/>
      <c r="C655" s="25"/>
      <c r="D655" s="25"/>
    </row>
    <row r="656">
      <c r="A656" s="82"/>
      <c r="B656" s="25"/>
      <c r="C656" s="25"/>
      <c r="D656" s="25"/>
    </row>
    <row r="657">
      <c r="A657" s="82"/>
      <c r="B657" s="25"/>
      <c r="C657" s="25"/>
      <c r="D657" s="25"/>
    </row>
    <row r="658">
      <c r="A658" s="82"/>
      <c r="B658" s="25"/>
      <c r="C658" s="25"/>
      <c r="D658" s="25"/>
    </row>
    <row r="659">
      <c r="A659" s="82"/>
      <c r="B659" s="25"/>
      <c r="C659" s="25"/>
      <c r="D659" s="25"/>
    </row>
    <row r="660">
      <c r="A660" s="82"/>
      <c r="B660" s="25"/>
      <c r="C660" s="25"/>
      <c r="D660" s="25"/>
    </row>
    <row r="661">
      <c r="A661" s="82"/>
      <c r="B661" s="25"/>
      <c r="C661" s="25"/>
      <c r="D661" s="25"/>
    </row>
    <row r="662">
      <c r="A662" s="82"/>
      <c r="B662" s="25"/>
      <c r="C662" s="25"/>
      <c r="D662" s="25"/>
    </row>
    <row r="663">
      <c r="A663" s="82"/>
      <c r="B663" s="25"/>
      <c r="C663" s="25"/>
      <c r="D663" s="25"/>
    </row>
    <row r="664">
      <c r="A664" s="82"/>
      <c r="B664" s="25"/>
      <c r="C664" s="25"/>
      <c r="D664" s="25"/>
    </row>
    <row r="665">
      <c r="A665" s="82"/>
      <c r="B665" s="25"/>
      <c r="C665" s="25"/>
      <c r="D665" s="25"/>
    </row>
    <row r="666">
      <c r="A666" s="82"/>
      <c r="B666" s="25"/>
      <c r="C666" s="25"/>
      <c r="D666" s="25"/>
    </row>
    <row r="667">
      <c r="A667" s="82"/>
      <c r="B667" s="25"/>
      <c r="C667" s="25"/>
      <c r="D667" s="25"/>
    </row>
    <row r="668">
      <c r="A668" s="82"/>
      <c r="B668" s="25"/>
      <c r="C668" s="25"/>
      <c r="D668" s="25"/>
    </row>
    <row r="669">
      <c r="A669" s="82"/>
      <c r="B669" s="25"/>
      <c r="C669" s="25"/>
      <c r="D669" s="25"/>
    </row>
    <row r="670">
      <c r="A670" s="82"/>
      <c r="B670" s="25"/>
      <c r="C670" s="25"/>
      <c r="D670" s="25"/>
    </row>
    <row r="671">
      <c r="A671" s="82"/>
      <c r="B671" s="25"/>
      <c r="C671" s="25"/>
      <c r="D671" s="25"/>
    </row>
    <row r="672">
      <c r="A672" s="82"/>
      <c r="B672" s="25"/>
      <c r="C672" s="25"/>
      <c r="D672" s="25"/>
    </row>
    <row r="673">
      <c r="A673" s="82"/>
      <c r="B673" s="25"/>
      <c r="C673" s="25"/>
      <c r="D673" s="25"/>
    </row>
    <row r="674">
      <c r="A674" s="82"/>
      <c r="B674" s="25"/>
      <c r="C674" s="25"/>
      <c r="D674" s="25"/>
    </row>
    <row r="675">
      <c r="A675" s="82"/>
      <c r="B675" s="25"/>
      <c r="C675" s="25"/>
      <c r="D675" s="25"/>
    </row>
    <row r="676">
      <c r="A676" s="82"/>
      <c r="B676" s="25"/>
      <c r="C676" s="25"/>
      <c r="D676" s="25"/>
    </row>
    <row r="677">
      <c r="A677" s="82"/>
      <c r="B677" s="25"/>
      <c r="C677" s="25"/>
      <c r="D677" s="25"/>
    </row>
    <row r="678">
      <c r="A678" s="82"/>
      <c r="B678" s="25"/>
      <c r="C678" s="25"/>
      <c r="D678" s="25"/>
    </row>
    <row r="679">
      <c r="A679" s="82"/>
      <c r="B679" s="25"/>
      <c r="C679" s="25"/>
      <c r="D679" s="25"/>
    </row>
    <row r="680">
      <c r="A680" s="82"/>
      <c r="B680" s="25"/>
      <c r="C680" s="25"/>
      <c r="D680" s="25"/>
    </row>
    <row r="681">
      <c r="A681" s="82"/>
      <c r="B681" s="25"/>
      <c r="C681" s="25"/>
      <c r="D681" s="25"/>
    </row>
    <row r="682">
      <c r="A682" s="82"/>
      <c r="B682" s="25"/>
      <c r="C682" s="25"/>
      <c r="D682" s="25"/>
    </row>
    <row r="683">
      <c r="A683" s="82"/>
      <c r="B683" s="25"/>
      <c r="C683" s="25"/>
      <c r="D683" s="25"/>
    </row>
    <row r="684">
      <c r="A684" s="82"/>
      <c r="B684" s="25"/>
      <c r="C684" s="25"/>
      <c r="D684" s="25"/>
    </row>
    <row r="685">
      <c r="A685" s="82"/>
      <c r="B685" s="25"/>
      <c r="C685" s="25"/>
      <c r="D685" s="25"/>
    </row>
    <row r="686">
      <c r="A686" s="82"/>
      <c r="B686" s="25"/>
      <c r="C686" s="25"/>
      <c r="D686" s="25"/>
    </row>
    <row r="687">
      <c r="A687" s="82"/>
      <c r="B687" s="25"/>
      <c r="C687" s="25"/>
      <c r="D687" s="25"/>
    </row>
    <row r="688">
      <c r="A688" s="82"/>
      <c r="B688" s="25"/>
      <c r="C688" s="25"/>
      <c r="D688" s="25"/>
    </row>
    <row r="689">
      <c r="A689" s="82"/>
      <c r="B689" s="25"/>
      <c r="C689" s="25"/>
      <c r="D689" s="25"/>
    </row>
    <row r="690">
      <c r="A690" s="82"/>
      <c r="B690" s="25"/>
      <c r="C690" s="25"/>
      <c r="D690" s="25"/>
    </row>
    <row r="691">
      <c r="A691" s="82"/>
      <c r="B691" s="25"/>
      <c r="C691" s="25"/>
      <c r="D691" s="25"/>
    </row>
    <row r="692">
      <c r="A692" s="82"/>
      <c r="B692" s="25"/>
      <c r="C692" s="25"/>
      <c r="D692" s="25"/>
    </row>
    <row r="693">
      <c r="A693" s="82"/>
      <c r="B693" s="25"/>
      <c r="C693" s="25"/>
      <c r="D693" s="25"/>
    </row>
    <row r="694">
      <c r="A694" s="82"/>
      <c r="B694" s="25"/>
      <c r="C694" s="25"/>
      <c r="D694" s="25"/>
    </row>
    <row r="695">
      <c r="A695" s="82"/>
      <c r="B695" s="25"/>
      <c r="C695" s="25"/>
      <c r="D695" s="25"/>
    </row>
    <row r="696">
      <c r="A696" s="82"/>
      <c r="B696" s="25"/>
      <c r="C696" s="25"/>
      <c r="D696" s="25"/>
    </row>
    <row r="697">
      <c r="A697" s="82"/>
      <c r="B697" s="25"/>
      <c r="C697" s="25"/>
      <c r="D697" s="25"/>
    </row>
    <row r="698">
      <c r="A698" s="82"/>
      <c r="B698" s="25"/>
      <c r="C698" s="25"/>
      <c r="D698" s="25"/>
    </row>
    <row r="699">
      <c r="A699" s="82"/>
      <c r="B699" s="25"/>
      <c r="C699" s="25"/>
      <c r="D699" s="25"/>
    </row>
    <row r="700">
      <c r="A700" s="82"/>
      <c r="B700" s="25"/>
      <c r="C700" s="25"/>
      <c r="D700" s="25"/>
    </row>
    <row r="701">
      <c r="A701" s="82"/>
      <c r="B701" s="25"/>
      <c r="C701" s="25"/>
      <c r="D701" s="25"/>
    </row>
    <row r="702">
      <c r="A702" s="82"/>
      <c r="B702" s="25"/>
      <c r="C702" s="25"/>
      <c r="D702" s="25"/>
    </row>
    <row r="703">
      <c r="A703" s="82"/>
      <c r="B703" s="25"/>
      <c r="C703" s="25"/>
      <c r="D703" s="25"/>
    </row>
    <row r="704">
      <c r="A704" s="82"/>
      <c r="B704" s="25"/>
      <c r="C704" s="25"/>
      <c r="D704" s="25"/>
    </row>
    <row r="705">
      <c r="A705" s="82"/>
      <c r="B705" s="25"/>
      <c r="C705" s="25"/>
      <c r="D705" s="25"/>
    </row>
    <row r="706">
      <c r="A706" s="82"/>
      <c r="B706" s="25"/>
      <c r="C706" s="25"/>
      <c r="D706" s="25"/>
    </row>
    <row r="707">
      <c r="A707" s="82"/>
      <c r="B707" s="25"/>
      <c r="C707" s="25"/>
      <c r="D707" s="25"/>
    </row>
    <row r="708">
      <c r="A708" s="82"/>
      <c r="B708" s="25"/>
      <c r="C708" s="25"/>
      <c r="D708" s="25"/>
    </row>
    <row r="709">
      <c r="A709" s="82"/>
      <c r="B709" s="25"/>
      <c r="C709" s="25"/>
      <c r="D709" s="25"/>
    </row>
    <row r="710">
      <c r="A710" s="82"/>
      <c r="B710" s="25"/>
      <c r="C710" s="25"/>
      <c r="D710" s="25"/>
    </row>
    <row r="711">
      <c r="A711" s="82"/>
      <c r="B711" s="25"/>
      <c r="C711" s="25"/>
      <c r="D711" s="25"/>
    </row>
    <row r="712">
      <c r="A712" s="82"/>
      <c r="B712" s="25"/>
      <c r="C712" s="25"/>
      <c r="D712" s="25"/>
    </row>
    <row r="713">
      <c r="A713" s="82"/>
      <c r="B713" s="25"/>
      <c r="C713" s="25"/>
      <c r="D713" s="25"/>
    </row>
    <row r="714">
      <c r="A714" s="82"/>
      <c r="B714" s="25"/>
      <c r="C714" s="25"/>
      <c r="D714" s="25"/>
    </row>
    <row r="715">
      <c r="A715" s="82"/>
      <c r="B715" s="25"/>
      <c r="C715" s="25"/>
      <c r="D715" s="25"/>
    </row>
    <row r="716">
      <c r="A716" s="82"/>
      <c r="B716" s="25"/>
      <c r="C716" s="25"/>
      <c r="D716" s="25"/>
    </row>
    <row r="717">
      <c r="A717" s="82"/>
      <c r="B717" s="25"/>
      <c r="C717" s="25"/>
      <c r="D717" s="25"/>
    </row>
    <row r="718">
      <c r="A718" s="82"/>
      <c r="B718" s="25"/>
      <c r="C718" s="25"/>
      <c r="D718" s="25"/>
    </row>
    <row r="719">
      <c r="A719" s="82"/>
      <c r="B719" s="25"/>
      <c r="C719" s="25"/>
      <c r="D719" s="25"/>
    </row>
    <row r="720">
      <c r="A720" s="82"/>
      <c r="B720" s="25"/>
      <c r="C720" s="25"/>
      <c r="D720" s="25"/>
    </row>
    <row r="721">
      <c r="A721" s="82"/>
      <c r="B721" s="25"/>
      <c r="C721" s="25"/>
      <c r="D721" s="25"/>
    </row>
    <row r="722">
      <c r="A722" s="82"/>
      <c r="B722" s="25"/>
      <c r="C722" s="25"/>
      <c r="D722" s="25"/>
    </row>
    <row r="723">
      <c r="A723" s="82"/>
      <c r="B723" s="25"/>
      <c r="C723" s="25"/>
      <c r="D723" s="25"/>
    </row>
    <row r="724">
      <c r="A724" s="82"/>
      <c r="B724" s="25"/>
      <c r="C724" s="25"/>
      <c r="D724" s="25"/>
    </row>
    <row r="725">
      <c r="A725" s="82"/>
      <c r="B725" s="25"/>
      <c r="C725" s="25"/>
      <c r="D725" s="25"/>
    </row>
    <row r="726">
      <c r="A726" s="82"/>
      <c r="B726" s="25"/>
      <c r="C726" s="25"/>
      <c r="D726" s="25"/>
    </row>
    <row r="727">
      <c r="A727" s="82"/>
      <c r="B727" s="25"/>
      <c r="C727" s="25"/>
      <c r="D727" s="25"/>
    </row>
    <row r="728">
      <c r="A728" s="82"/>
      <c r="B728" s="25"/>
      <c r="C728" s="25"/>
      <c r="D728" s="25"/>
    </row>
    <row r="729">
      <c r="A729" s="82"/>
      <c r="B729" s="25"/>
      <c r="C729" s="25"/>
      <c r="D729" s="25"/>
    </row>
    <row r="730">
      <c r="A730" s="82"/>
      <c r="B730" s="25"/>
      <c r="C730" s="25"/>
      <c r="D730" s="25"/>
    </row>
    <row r="731">
      <c r="A731" s="82"/>
      <c r="B731" s="25"/>
      <c r="C731" s="25"/>
      <c r="D731" s="25"/>
    </row>
    <row r="732">
      <c r="A732" s="82"/>
      <c r="B732" s="25"/>
      <c r="C732" s="25"/>
      <c r="D732" s="25"/>
    </row>
    <row r="733">
      <c r="A733" s="82"/>
      <c r="B733" s="25"/>
      <c r="C733" s="25"/>
      <c r="D733" s="25"/>
    </row>
    <row r="734">
      <c r="A734" s="82"/>
      <c r="B734" s="25"/>
      <c r="C734" s="25"/>
      <c r="D734" s="25"/>
    </row>
    <row r="735">
      <c r="A735" s="82"/>
      <c r="B735" s="25"/>
      <c r="C735" s="25"/>
      <c r="D735" s="25"/>
    </row>
    <row r="736">
      <c r="A736" s="82"/>
      <c r="B736" s="25"/>
      <c r="C736" s="25"/>
      <c r="D736" s="25"/>
    </row>
    <row r="737">
      <c r="A737" s="82"/>
      <c r="B737" s="25"/>
      <c r="C737" s="25"/>
      <c r="D737" s="25"/>
    </row>
    <row r="738">
      <c r="A738" s="82"/>
      <c r="B738" s="25"/>
      <c r="C738" s="25"/>
      <c r="D738" s="25"/>
    </row>
    <row r="739">
      <c r="A739" s="82"/>
      <c r="B739" s="25"/>
      <c r="C739" s="25"/>
      <c r="D739" s="25"/>
    </row>
    <row r="740">
      <c r="A740" s="82"/>
      <c r="B740" s="25"/>
      <c r="C740" s="25"/>
      <c r="D740" s="25"/>
    </row>
    <row r="741">
      <c r="A741" s="82"/>
      <c r="B741" s="25"/>
      <c r="C741" s="25"/>
      <c r="D741" s="25"/>
    </row>
    <row r="742">
      <c r="A742" s="82"/>
      <c r="B742" s="25"/>
      <c r="C742" s="25"/>
      <c r="D742" s="25"/>
    </row>
    <row r="743">
      <c r="A743" s="82"/>
      <c r="B743" s="25"/>
      <c r="C743" s="25"/>
      <c r="D743" s="25"/>
    </row>
    <row r="744">
      <c r="A744" s="82"/>
      <c r="B744" s="25"/>
      <c r="C744" s="25"/>
      <c r="D744" s="25"/>
    </row>
    <row r="745">
      <c r="A745" s="82"/>
      <c r="B745" s="25"/>
      <c r="C745" s="25"/>
      <c r="D745" s="25"/>
    </row>
    <row r="746">
      <c r="A746" s="82"/>
      <c r="B746" s="25"/>
      <c r="C746" s="25"/>
      <c r="D746" s="25"/>
    </row>
    <row r="747">
      <c r="A747" s="82"/>
      <c r="B747" s="25"/>
      <c r="C747" s="25"/>
      <c r="D747" s="25"/>
    </row>
    <row r="748">
      <c r="A748" s="82"/>
      <c r="B748" s="25"/>
      <c r="C748" s="25"/>
      <c r="D748" s="25"/>
    </row>
    <row r="749">
      <c r="A749" s="82"/>
      <c r="B749" s="25"/>
      <c r="C749" s="25"/>
      <c r="D749" s="25"/>
    </row>
    <row r="750">
      <c r="A750" s="82"/>
      <c r="B750" s="25"/>
      <c r="C750" s="25"/>
      <c r="D750" s="25"/>
    </row>
    <row r="751">
      <c r="A751" s="82"/>
      <c r="B751" s="25"/>
      <c r="C751" s="25"/>
      <c r="D751" s="25"/>
    </row>
    <row r="752">
      <c r="A752" s="82"/>
      <c r="B752" s="25"/>
      <c r="C752" s="25"/>
      <c r="D752" s="25"/>
    </row>
    <row r="753">
      <c r="A753" s="82"/>
      <c r="B753" s="25"/>
      <c r="C753" s="25"/>
      <c r="D753" s="25"/>
    </row>
    <row r="754">
      <c r="A754" s="82"/>
      <c r="B754" s="25"/>
      <c r="C754" s="25"/>
      <c r="D754" s="25"/>
    </row>
    <row r="755">
      <c r="A755" s="82"/>
      <c r="B755" s="25"/>
      <c r="C755" s="25"/>
      <c r="D755" s="25"/>
    </row>
    <row r="756">
      <c r="A756" s="82"/>
      <c r="B756" s="25"/>
      <c r="C756" s="25"/>
      <c r="D756" s="25"/>
    </row>
    <row r="757">
      <c r="A757" s="82"/>
      <c r="B757" s="25"/>
      <c r="C757" s="25"/>
      <c r="D757" s="25"/>
    </row>
    <row r="758">
      <c r="A758" s="82"/>
      <c r="B758" s="25"/>
      <c r="C758" s="25"/>
      <c r="D758" s="25"/>
    </row>
    <row r="759">
      <c r="A759" s="82"/>
      <c r="B759" s="25"/>
      <c r="C759" s="25"/>
      <c r="D759" s="25"/>
    </row>
    <row r="760">
      <c r="A760" s="82"/>
      <c r="B760" s="25"/>
      <c r="C760" s="25"/>
      <c r="D760" s="25"/>
    </row>
    <row r="761">
      <c r="A761" s="82"/>
      <c r="B761" s="25"/>
      <c r="C761" s="25"/>
      <c r="D761" s="25"/>
    </row>
    <row r="762">
      <c r="A762" s="82"/>
      <c r="B762" s="25"/>
      <c r="C762" s="25"/>
      <c r="D762" s="25"/>
    </row>
    <row r="763">
      <c r="A763" s="82"/>
      <c r="B763" s="25"/>
      <c r="C763" s="25"/>
      <c r="D763" s="25"/>
    </row>
    <row r="764">
      <c r="A764" s="82"/>
      <c r="B764" s="25"/>
      <c r="C764" s="25"/>
      <c r="D764" s="25"/>
    </row>
    <row r="765">
      <c r="A765" s="82"/>
      <c r="B765" s="25"/>
      <c r="C765" s="25"/>
      <c r="D765" s="25"/>
    </row>
    <row r="766">
      <c r="A766" s="82"/>
      <c r="B766" s="25"/>
      <c r="C766" s="25"/>
      <c r="D766" s="25"/>
    </row>
    <row r="767">
      <c r="A767" s="82"/>
      <c r="B767" s="25"/>
      <c r="C767" s="25"/>
      <c r="D767" s="25"/>
    </row>
    <row r="768">
      <c r="A768" s="82"/>
      <c r="B768" s="25"/>
      <c r="C768" s="25"/>
      <c r="D768" s="25"/>
    </row>
    <row r="769">
      <c r="A769" s="82"/>
      <c r="B769" s="25"/>
      <c r="C769" s="25"/>
      <c r="D769" s="25"/>
    </row>
    <row r="770">
      <c r="A770" s="82"/>
      <c r="B770" s="25"/>
      <c r="C770" s="25"/>
      <c r="D770" s="25"/>
    </row>
    <row r="771">
      <c r="A771" s="82"/>
      <c r="B771" s="25"/>
      <c r="C771" s="25"/>
      <c r="D771" s="25"/>
    </row>
    <row r="772">
      <c r="A772" s="82"/>
      <c r="B772" s="25"/>
      <c r="C772" s="25"/>
      <c r="D772" s="25"/>
    </row>
    <row r="773">
      <c r="A773" s="82"/>
      <c r="B773" s="25"/>
      <c r="C773" s="25"/>
      <c r="D773" s="25"/>
    </row>
    <row r="774">
      <c r="A774" s="82"/>
      <c r="B774" s="25"/>
      <c r="C774" s="25"/>
      <c r="D774" s="25"/>
    </row>
    <row r="775">
      <c r="A775" s="82"/>
      <c r="B775" s="25"/>
      <c r="C775" s="25"/>
      <c r="D775" s="25"/>
    </row>
    <row r="776">
      <c r="A776" s="82"/>
      <c r="B776" s="25"/>
      <c r="C776" s="25"/>
      <c r="D776" s="25"/>
    </row>
    <row r="777">
      <c r="A777" s="82"/>
      <c r="B777" s="25"/>
      <c r="C777" s="25"/>
      <c r="D777" s="25"/>
    </row>
    <row r="778">
      <c r="A778" s="82"/>
      <c r="B778" s="25"/>
      <c r="C778" s="25"/>
      <c r="D778" s="25"/>
    </row>
    <row r="779">
      <c r="A779" s="82"/>
      <c r="B779" s="25"/>
      <c r="C779" s="25"/>
      <c r="D779" s="25"/>
    </row>
    <row r="780">
      <c r="A780" s="82"/>
      <c r="B780" s="25"/>
      <c r="C780" s="25"/>
      <c r="D780" s="25"/>
    </row>
    <row r="781">
      <c r="A781" s="82"/>
      <c r="B781" s="25"/>
      <c r="C781" s="25"/>
      <c r="D781" s="25"/>
    </row>
    <row r="782">
      <c r="A782" s="82"/>
      <c r="B782" s="25"/>
      <c r="C782" s="25"/>
      <c r="D782" s="25"/>
    </row>
    <row r="783">
      <c r="A783" s="82"/>
      <c r="B783" s="25"/>
      <c r="C783" s="25"/>
      <c r="D783" s="25"/>
    </row>
    <row r="784">
      <c r="A784" s="82"/>
      <c r="B784" s="25"/>
      <c r="C784" s="25"/>
      <c r="D784" s="25"/>
    </row>
    <row r="785">
      <c r="A785" s="82"/>
      <c r="B785" s="25"/>
      <c r="C785" s="25"/>
      <c r="D785" s="25"/>
    </row>
    <row r="786">
      <c r="A786" s="82"/>
      <c r="B786" s="25"/>
      <c r="C786" s="25"/>
      <c r="D786" s="25"/>
    </row>
    <row r="787">
      <c r="A787" s="82"/>
      <c r="B787" s="25"/>
      <c r="C787" s="25"/>
      <c r="D787" s="25"/>
    </row>
    <row r="788">
      <c r="A788" s="82"/>
      <c r="B788" s="25"/>
      <c r="C788" s="25"/>
      <c r="D788" s="25"/>
    </row>
    <row r="789">
      <c r="A789" s="82"/>
      <c r="B789" s="25"/>
      <c r="C789" s="25"/>
      <c r="D789" s="25"/>
    </row>
    <row r="790">
      <c r="A790" s="82"/>
      <c r="B790" s="25"/>
      <c r="C790" s="25"/>
      <c r="D790" s="25"/>
    </row>
    <row r="791">
      <c r="A791" s="82"/>
      <c r="B791" s="25"/>
      <c r="C791" s="25"/>
      <c r="D791" s="25"/>
    </row>
    <row r="792">
      <c r="A792" s="82"/>
      <c r="B792" s="25"/>
      <c r="C792" s="25"/>
      <c r="D792" s="25"/>
    </row>
    <row r="793">
      <c r="A793" s="82"/>
      <c r="B793" s="25"/>
      <c r="C793" s="25"/>
      <c r="D793" s="25"/>
    </row>
    <row r="794">
      <c r="A794" s="82"/>
      <c r="B794" s="25"/>
      <c r="C794" s="25"/>
      <c r="D794" s="25"/>
    </row>
    <row r="795">
      <c r="A795" s="82"/>
      <c r="B795" s="25"/>
      <c r="C795" s="25"/>
      <c r="D795" s="25"/>
    </row>
    <row r="796">
      <c r="A796" s="82"/>
      <c r="B796" s="25"/>
      <c r="C796" s="25"/>
      <c r="D796" s="25"/>
    </row>
    <row r="797">
      <c r="A797" s="82"/>
      <c r="B797" s="25"/>
      <c r="C797" s="25"/>
      <c r="D797" s="25"/>
    </row>
    <row r="798">
      <c r="A798" s="82"/>
      <c r="B798" s="25"/>
      <c r="C798" s="25"/>
      <c r="D798" s="25"/>
    </row>
    <row r="799">
      <c r="A799" s="82"/>
      <c r="B799" s="25"/>
      <c r="C799" s="25"/>
      <c r="D799" s="25"/>
    </row>
    <row r="800">
      <c r="A800" s="82"/>
      <c r="B800" s="25"/>
      <c r="C800" s="25"/>
      <c r="D800" s="25"/>
    </row>
    <row r="801">
      <c r="A801" s="82"/>
      <c r="B801" s="25"/>
      <c r="C801" s="25"/>
      <c r="D801" s="25"/>
    </row>
    <row r="802">
      <c r="A802" s="82"/>
      <c r="B802" s="25"/>
      <c r="C802" s="25"/>
      <c r="D802" s="25"/>
    </row>
    <row r="803">
      <c r="A803" s="82"/>
      <c r="B803" s="25"/>
      <c r="C803" s="25"/>
      <c r="D803" s="25"/>
    </row>
    <row r="804">
      <c r="A804" s="82"/>
      <c r="B804" s="25"/>
      <c r="C804" s="25"/>
      <c r="D804" s="25"/>
    </row>
    <row r="805">
      <c r="A805" s="82"/>
      <c r="B805" s="25"/>
      <c r="C805" s="25"/>
      <c r="D805" s="25"/>
    </row>
    <row r="806">
      <c r="A806" s="82"/>
      <c r="B806" s="25"/>
      <c r="C806" s="25"/>
      <c r="D806" s="25"/>
    </row>
    <row r="807">
      <c r="A807" s="82"/>
      <c r="B807" s="25"/>
      <c r="C807" s="25"/>
      <c r="D807" s="25"/>
    </row>
    <row r="808">
      <c r="A808" s="82"/>
      <c r="B808" s="25"/>
      <c r="C808" s="25"/>
      <c r="D808" s="25"/>
    </row>
    <row r="809">
      <c r="A809" s="82"/>
      <c r="B809" s="25"/>
      <c r="C809" s="25"/>
      <c r="D809" s="25"/>
    </row>
    <row r="810">
      <c r="A810" s="82"/>
      <c r="B810" s="25"/>
      <c r="C810" s="25"/>
      <c r="D810" s="25"/>
    </row>
    <row r="811">
      <c r="A811" s="82"/>
      <c r="B811" s="25"/>
      <c r="C811" s="25"/>
      <c r="D811" s="25"/>
    </row>
    <row r="812">
      <c r="A812" s="82"/>
      <c r="B812" s="25"/>
      <c r="C812" s="25"/>
      <c r="D812" s="25"/>
    </row>
    <row r="813">
      <c r="A813" s="82"/>
      <c r="B813" s="25"/>
      <c r="C813" s="25"/>
      <c r="D813" s="25"/>
    </row>
    <row r="814">
      <c r="A814" s="82"/>
      <c r="B814" s="25"/>
      <c r="C814" s="25"/>
      <c r="D814" s="25"/>
    </row>
    <row r="815">
      <c r="A815" s="82"/>
      <c r="B815" s="25"/>
      <c r="C815" s="25"/>
      <c r="D815" s="25"/>
    </row>
    <row r="816">
      <c r="A816" s="82"/>
      <c r="B816" s="25"/>
      <c r="C816" s="25"/>
      <c r="D816" s="25"/>
    </row>
    <row r="817">
      <c r="A817" s="82"/>
      <c r="B817" s="25"/>
      <c r="C817" s="25"/>
      <c r="D817" s="25"/>
    </row>
    <row r="818">
      <c r="A818" s="82"/>
      <c r="B818" s="25"/>
      <c r="C818" s="25"/>
      <c r="D818" s="25"/>
    </row>
    <row r="819">
      <c r="A819" s="82"/>
      <c r="B819" s="25"/>
      <c r="C819" s="25"/>
      <c r="D819" s="25"/>
    </row>
    <row r="820">
      <c r="A820" s="82"/>
      <c r="B820" s="25"/>
      <c r="C820" s="25"/>
      <c r="D820" s="25"/>
    </row>
    <row r="821">
      <c r="A821" s="82"/>
      <c r="B821" s="25"/>
      <c r="C821" s="25"/>
      <c r="D821" s="25"/>
    </row>
    <row r="822">
      <c r="A822" s="82"/>
      <c r="B822" s="25"/>
      <c r="C822" s="25"/>
      <c r="D822" s="25"/>
    </row>
    <row r="823">
      <c r="A823" s="82"/>
      <c r="B823" s="25"/>
      <c r="C823" s="25"/>
      <c r="D823" s="25"/>
    </row>
    <row r="824">
      <c r="A824" s="82"/>
      <c r="B824" s="25"/>
      <c r="C824" s="25"/>
      <c r="D824" s="25"/>
    </row>
    <row r="825">
      <c r="A825" s="82"/>
      <c r="B825" s="25"/>
      <c r="C825" s="25"/>
      <c r="D825" s="25"/>
    </row>
    <row r="826">
      <c r="A826" s="82"/>
      <c r="B826" s="25"/>
      <c r="C826" s="25"/>
      <c r="D826" s="25"/>
    </row>
    <row r="827">
      <c r="A827" s="82"/>
      <c r="B827" s="25"/>
      <c r="C827" s="25"/>
      <c r="D827" s="25"/>
    </row>
    <row r="828">
      <c r="A828" s="82"/>
      <c r="B828" s="25"/>
      <c r="C828" s="25"/>
      <c r="D828" s="25"/>
    </row>
    <row r="829">
      <c r="A829" s="82"/>
      <c r="B829" s="25"/>
      <c r="C829" s="25"/>
      <c r="D829" s="25"/>
    </row>
    <row r="830">
      <c r="A830" s="82"/>
      <c r="B830" s="25"/>
      <c r="C830" s="25"/>
      <c r="D830" s="25"/>
    </row>
    <row r="831">
      <c r="A831" s="82"/>
      <c r="B831" s="25"/>
      <c r="C831" s="25"/>
      <c r="D831" s="25"/>
    </row>
    <row r="832">
      <c r="A832" s="82"/>
      <c r="B832" s="25"/>
      <c r="C832" s="25"/>
      <c r="D832" s="25"/>
    </row>
    <row r="833">
      <c r="A833" s="82"/>
      <c r="B833" s="25"/>
      <c r="C833" s="25"/>
      <c r="D833" s="25"/>
    </row>
    <row r="834">
      <c r="A834" s="82"/>
      <c r="B834" s="25"/>
      <c r="C834" s="25"/>
      <c r="D834" s="25"/>
    </row>
    <row r="835">
      <c r="A835" s="82"/>
      <c r="B835" s="25"/>
      <c r="C835" s="25"/>
      <c r="D835" s="25"/>
    </row>
    <row r="836">
      <c r="A836" s="82"/>
      <c r="B836" s="25"/>
      <c r="C836" s="25"/>
      <c r="D836" s="25"/>
    </row>
    <row r="837">
      <c r="A837" s="82"/>
      <c r="B837" s="25"/>
      <c r="C837" s="25"/>
      <c r="D837" s="25"/>
    </row>
    <row r="838">
      <c r="A838" s="82"/>
      <c r="B838" s="25"/>
      <c r="C838" s="25"/>
      <c r="D838" s="25"/>
    </row>
    <row r="839">
      <c r="A839" s="82"/>
      <c r="B839" s="25"/>
      <c r="C839" s="25"/>
      <c r="D839" s="25"/>
    </row>
    <row r="840">
      <c r="A840" s="82"/>
      <c r="B840" s="25"/>
      <c r="C840" s="25"/>
      <c r="D840" s="25"/>
    </row>
    <row r="841">
      <c r="A841" s="82"/>
      <c r="B841" s="25"/>
      <c r="C841" s="25"/>
      <c r="D841" s="25"/>
    </row>
    <row r="842">
      <c r="A842" s="82"/>
      <c r="B842" s="25"/>
      <c r="C842" s="25"/>
      <c r="D842" s="25"/>
    </row>
    <row r="843">
      <c r="A843" s="82"/>
      <c r="B843" s="25"/>
      <c r="C843" s="25"/>
      <c r="D843" s="25"/>
    </row>
    <row r="844">
      <c r="A844" s="82"/>
      <c r="B844" s="25"/>
      <c r="C844" s="25"/>
      <c r="D844" s="25"/>
    </row>
    <row r="845">
      <c r="A845" s="82"/>
      <c r="B845" s="25"/>
      <c r="C845" s="25"/>
      <c r="D845" s="25"/>
    </row>
    <row r="846">
      <c r="A846" s="82"/>
      <c r="B846" s="25"/>
      <c r="C846" s="25"/>
      <c r="D846" s="25"/>
    </row>
    <row r="847">
      <c r="A847" s="82"/>
      <c r="B847" s="25"/>
      <c r="C847" s="25"/>
      <c r="D847" s="25"/>
    </row>
    <row r="848">
      <c r="A848" s="82"/>
      <c r="B848" s="25"/>
      <c r="C848" s="25"/>
      <c r="D848" s="25"/>
    </row>
    <row r="849">
      <c r="A849" s="82"/>
      <c r="B849" s="25"/>
      <c r="C849" s="25"/>
      <c r="D849" s="25"/>
    </row>
    <row r="850">
      <c r="A850" s="82"/>
      <c r="B850" s="25"/>
      <c r="C850" s="25"/>
      <c r="D850" s="25"/>
    </row>
    <row r="851">
      <c r="A851" s="82"/>
      <c r="B851" s="25"/>
      <c r="C851" s="25"/>
      <c r="D851" s="25"/>
    </row>
    <row r="852">
      <c r="A852" s="82"/>
      <c r="B852" s="25"/>
      <c r="C852" s="25"/>
      <c r="D852" s="25"/>
    </row>
    <row r="853">
      <c r="A853" s="82"/>
      <c r="B853" s="25"/>
      <c r="C853" s="25"/>
      <c r="D853" s="25"/>
    </row>
    <row r="854">
      <c r="A854" s="82"/>
      <c r="B854" s="25"/>
      <c r="C854" s="25"/>
      <c r="D854" s="25"/>
    </row>
    <row r="855">
      <c r="A855" s="82"/>
      <c r="B855" s="25"/>
      <c r="C855" s="25"/>
      <c r="D855" s="25"/>
    </row>
    <row r="856">
      <c r="A856" s="82"/>
      <c r="B856" s="25"/>
      <c r="C856" s="25"/>
      <c r="D856" s="25"/>
    </row>
    <row r="857">
      <c r="A857" s="82"/>
      <c r="B857" s="25"/>
      <c r="C857" s="25"/>
      <c r="D857" s="25"/>
    </row>
    <row r="858">
      <c r="A858" s="82"/>
      <c r="B858" s="25"/>
      <c r="C858" s="25"/>
      <c r="D858" s="25"/>
    </row>
    <row r="859">
      <c r="A859" s="82"/>
      <c r="B859" s="25"/>
      <c r="C859" s="25"/>
      <c r="D859" s="25"/>
    </row>
    <row r="860">
      <c r="A860" s="82"/>
      <c r="B860" s="25"/>
      <c r="C860" s="25"/>
      <c r="D860" s="25"/>
    </row>
    <row r="861">
      <c r="A861" s="82"/>
      <c r="B861" s="25"/>
      <c r="C861" s="25"/>
      <c r="D861" s="25"/>
    </row>
    <row r="862">
      <c r="A862" s="82"/>
      <c r="B862" s="25"/>
      <c r="C862" s="25"/>
      <c r="D862" s="25"/>
    </row>
    <row r="863">
      <c r="A863" s="82"/>
      <c r="B863" s="25"/>
      <c r="C863" s="25"/>
      <c r="D863" s="25"/>
    </row>
    <row r="864">
      <c r="A864" s="82"/>
      <c r="B864" s="25"/>
      <c r="C864" s="25"/>
      <c r="D864" s="25"/>
    </row>
    <row r="865">
      <c r="A865" s="82"/>
      <c r="B865" s="25"/>
      <c r="C865" s="25"/>
      <c r="D865" s="25"/>
    </row>
    <row r="866">
      <c r="A866" s="82"/>
      <c r="B866" s="25"/>
      <c r="C866" s="25"/>
      <c r="D866" s="25"/>
    </row>
    <row r="867">
      <c r="A867" s="82"/>
      <c r="B867" s="25"/>
      <c r="C867" s="25"/>
      <c r="D867" s="25"/>
    </row>
    <row r="868">
      <c r="A868" s="82"/>
      <c r="B868" s="25"/>
      <c r="C868" s="25"/>
      <c r="D868" s="25"/>
    </row>
    <row r="869">
      <c r="A869" s="82"/>
      <c r="B869" s="25"/>
      <c r="C869" s="25"/>
      <c r="D869" s="25"/>
    </row>
    <row r="870">
      <c r="A870" s="82"/>
      <c r="B870" s="25"/>
      <c r="C870" s="25"/>
      <c r="D870" s="25"/>
    </row>
    <row r="871">
      <c r="A871" s="82"/>
      <c r="B871" s="25"/>
      <c r="C871" s="25"/>
      <c r="D871" s="25"/>
    </row>
    <row r="872">
      <c r="A872" s="82"/>
      <c r="B872" s="25"/>
      <c r="C872" s="25"/>
      <c r="D872" s="25"/>
    </row>
    <row r="873">
      <c r="A873" s="82"/>
      <c r="B873" s="25"/>
      <c r="C873" s="25"/>
      <c r="D873" s="25"/>
    </row>
    <row r="874">
      <c r="A874" s="82"/>
      <c r="B874" s="25"/>
      <c r="C874" s="25"/>
      <c r="D874" s="25"/>
    </row>
    <row r="875">
      <c r="A875" s="82"/>
      <c r="B875" s="25"/>
      <c r="C875" s="25"/>
      <c r="D875" s="25"/>
    </row>
    <row r="876">
      <c r="A876" s="82"/>
      <c r="B876" s="25"/>
      <c r="C876" s="25"/>
      <c r="D876" s="25"/>
    </row>
    <row r="877">
      <c r="A877" s="82"/>
      <c r="B877" s="25"/>
      <c r="C877" s="25"/>
      <c r="D877" s="25"/>
    </row>
    <row r="878">
      <c r="A878" s="82"/>
      <c r="B878" s="25"/>
      <c r="C878" s="25"/>
      <c r="D878" s="25"/>
    </row>
    <row r="879">
      <c r="A879" s="82"/>
      <c r="B879" s="25"/>
      <c r="C879" s="25"/>
      <c r="D879" s="25"/>
    </row>
    <row r="880">
      <c r="A880" s="82"/>
      <c r="B880" s="25"/>
      <c r="C880" s="25"/>
      <c r="D880" s="25"/>
    </row>
    <row r="881">
      <c r="A881" s="82"/>
      <c r="B881" s="25"/>
      <c r="C881" s="25"/>
      <c r="D881" s="25"/>
    </row>
    <row r="882">
      <c r="A882" s="82"/>
      <c r="B882" s="25"/>
      <c r="C882" s="25"/>
      <c r="D882" s="25"/>
    </row>
    <row r="883">
      <c r="A883" s="82"/>
      <c r="B883" s="25"/>
      <c r="C883" s="25"/>
      <c r="D883" s="25"/>
    </row>
    <row r="884">
      <c r="A884" s="82"/>
      <c r="B884" s="25"/>
      <c r="C884" s="25"/>
      <c r="D884" s="25"/>
    </row>
    <row r="885">
      <c r="A885" s="82"/>
      <c r="B885" s="25"/>
      <c r="C885" s="25"/>
      <c r="D885" s="25"/>
    </row>
    <row r="886">
      <c r="A886" s="82"/>
      <c r="B886" s="25"/>
      <c r="C886" s="25"/>
      <c r="D886" s="25"/>
    </row>
    <row r="887">
      <c r="A887" s="82"/>
      <c r="B887" s="25"/>
      <c r="C887" s="25"/>
      <c r="D887" s="25"/>
    </row>
    <row r="888">
      <c r="A888" s="82"/>
      <c r="B888" s="25"/>
      <c r="C888" s="25"/>
      <c r="D888" s="25"/>
    </row>
    <row r="889">
      <c r="A889" s="82"/>
      <c r="B889" s="25"/>
      <c r="C889" s="25"/>
      <c r="D889" s="25"/>
    </row>
    <row r="890">
      <c r="A890" s="82"/>
      <c r="B890" s="25"/>
      <c r="C890" s="25"/>
      <c r="D890" s="25"/>
    </row>
    <row r="891">
      <c r="A891" s="82"/>
      <c r="B891" s="25"/>
      <c r="C891" s="25"/>
      <c r="D891" s="25"/>
    </row>
    <row r="892">
      <c r="A892" s="82"/>
      <c r="B892" s="25"/>
      <c r="C892" s="25"/>
      <c r="D892" s="25"/>
    </row>
    <row r="893">
      <c r="A893" s="82"/>
      <c r="B893" s="25"/>
      <c r="C893" s="25"/>
      <c r="D893" s="25"/>
    </row>
    <row r="894">
      <c r="A894" s="82"/>
      <c r="B894" s="25"/>
      <c r="C894" s="25"/>
      <c r="D894" s="25"/>
    </row>
    <row r="895">
      <c r="A895" s="82"/>
      <c r="B895" s="25"/>
      <c r="C895" s="25"/>
      <c r="D895" s="25"/>
    </row>
    <row r="896">
      <c r="A896" s="82"/>
      <c r="B896" s="25"/>
      <c r="C896" s="25"/>
      <c r="D896" s="25"/>
    </row>
    <row r="897">
      <c r="A897" s="82"/>
      <c r="B897" s="25"/>
      <c r="C897" s="25"/>
      <c r="D897" s="25"/>
    </row>
    <row r="898">
      <c r="A898" s="82"/>
      <c r="B898" s="25"/>
      <c r="C898" s="25"/>
      <c r="D898" s="25"/>
    </row>
    <row r="899">
      <c r="A899" s="82"/>
      <c r="B899" s="25"/>
      <c r="C899" s="25"/>
      <c r="D899" s="25"/>
    </row>
    <row r="900">
      <c r="A900" s="82"/>
      <c r="B900" s="25"/>
      <c r="C900" s="25"/>
      <c r="D900" s="25"/>
    </row>
    <row r="901">
      <c r="A901" s="82"/>
      <c r="B901" s="25"/>
      <c r="C901" s="25"/>
      <c r="D901" s="25"/>
    </row>
    <row r="902">
      <c r="A902" s="82"/>
      <c r="B902" s="25"/>
      <c r="C902" s="25"/>
      <c r="D902" s="25"/>
    </row>
    <row r="903">
      <c r="A903" s="82"/>
      <c r="B903" s="25"/>
      <c r="C903" s="25"/>
      <c r="D903" s="25"/>
    </row>
    <row r="904">
      <c r="A904" s="82"/>
      <c r="B904" s="25"/>
      <c r="C904" s="25"/>
      <c r="D904" s="25"/>
    </row>
    <row r="905">
      <c r="A905" s="82"/>
      <c r="B905" s="25"/>
      <c r="C905" s="25"/>
      <c r="D905" s="25"/>
    </row>
    <row r="906">
      <c r="A906" s="82"/>
      <c r="B906" s="25"/>
      <c r="C906" s="25"/>
      <c r="D906" s="25"/>
    </row>
    <row r="907">
      <c r="A907" s="82"/>
      <c r="B907" s="25"/>
      <c r="C907" s="25"/>
      <c r="D907" s="25"/>
    </row>
    <row r="908">
      <c r="A908" s="82"/>
      <c r="B908" s="25"/>
      <c r="C908" s="25"/>
      <c r="D908" s="25"/>
    </row>
    <row r="909">
      <c r="A909" s="82"/>
      <c r="B909" s="25"/>
      <c r="C909" s="25"/>
      <c r="D909" s="25"/>
    </row>
    <row r="910">
      <c r="A910" s="82"/>
      <c r="B910" s="25"/>
      <c r="C910" s="25"/>
      <c r="D910" s="25"/>
    </row>
    <row r="911">
      <c r="A911" s="82"/>
      <c r="B911" s="25"/>
      <c r="C911" s="25"/>
      <c r="D911" s="25"/>
    </row>
    <row r="912">
      <c r="A912" s="82"/>
      <c r="B912" s="25"/>
      <c r="C912" s="25"/>
      <c r="D912" s="25"/>
    </row>
    <row r="913">
      <c r="A913" s="82"/>
      <c r="B913" s="25"/>
      <c r="C913" s="25"/>
      <c r="D913" s="25"/>
    </row>
    <row r="914">
      <c r="A914" s="82"/>
      <c r="B914" s="25"/>
      <c r="C914" s="25"/>
      <c r="D914" s="25"/>
    </row>
    <row r="915">
      <c r="A915" s="82"/>
      <c r="B915" s="25"/>
      <c r="C915" s="25"/>
      <c r="D915" s="25"/>
    </row>
    <row r="916">
      <c r="A916" s="82"/>
      <c r="B916" s="25"/>
      <c r="C916" s="25"/>
      <c r="D916" s="25"/>
    </row>
    <row r="917">
      <c r="A917" s="82"/>
      <c r="B917" s="25"/>
      <c r="C917" s="25"/>
      <c r="D917" s="25"/>
    </row>
    <row r="918">
      <c r="A918" s="82"/>
      <c r="B918" s="25"/>
      <c r="C918" s="25"/>
      <c r="D918" s="25"/>
    </row>
    <row r="919">
      <c r="A919" s="82"/>
      <c r="B919" s="25"/>
      <c r="C919" s="25"/>
      <c r="D919" s="25"/>
    </row>
    <row r="920">
      <c r="A920" s="82"/>
      <c r="B920" s="25"/>
      <c r="C920" s="25"/>
      <c r="D920" s="25"/>
    </row>
    <row r="921">
      <c r="A921" s="82"/>
      <c r="B921" s="25"/>
      <c r="C921" s="25"/>
      <c r="D921" s="25"/>
    </row>
    <row r="922">
      <c r="A922" s="82"/>
      <c r="B922" s="25"/>
      <c r="C922" s="25"/>
      <c r="D922" s="25"/>
    </row>
    <row r="923">
      <c r="A923" s="82"/>
      <c r="B923" s="25"/>
      <c r="C923" s="25"/>
      <c r="D923" s="25"/>
    </row>
    <row r="924">
      <c r="A924" s="82"/>
      <c r="B924" s="25"/>
      <c r="C924" s="25"/>
      <c r="D924" s="25"/>
    </row>
    <row r="925">
      <c r="A925" s="82"/>
      <c r="B925" s="25"/>
      <c r="C925" s="25"/>
      <c r="D925" s="25"/>
    </row>
    <row r="926">
      <c r="A926" s="82"/>
      <c r="B926" s="25"/>
      <c r="C926" s="25"/>
      <c r="D926" s="25"/>
    </row>
    <row r="927">
      <c r="A927" s="82"/>
      <c r="B927" s="25"/>
      <c r="C927" s="25"/>
      <c r="D927" s="25"/>
    </row>
    <row r="928">
      <c r="A928" s="82"/>
      <c r="B928" s="25"/>
      <c r="C928" s="25"/>
      <c r="D928" s="25"/>
    </row>
    <row r="929">
      <c r="A929" s="82"/>
      <c r="B929" s="25"/>
      <c r="C929" s="25"/>
      <c r="D929" s="25"/>
    </row>
    <row r="930">
      <c r="A930" s="82"/>
      <c r="B930" s="25"/>
      <c r="C930" s="25"/>
      <c r="D930" s="25"/>
    </row>
    <row r="931">
      <c r="A931" s="82"/>
      <c r="B931" s="25"/>
      <c r="C931" s="25"/>
      <c r="D931" s="25"/>
    </row>
    <row r="932">
      <c r="A932" s="82"/>
      <c r="B932" s="25"/>
      <c r="C932" s="25"/>
      <c r="D932" s="25"/>
    </row>
    <row r="933">
      <c r="A933" s="82"/>
      <c r="B933" s="25"/>
      <c r="C933" s="25"/>
      <c r="D933" s="25"/>
    </row>
    <row r="934">
      <c r="A934" s="82"/>
      <c r="B934" s="25"/>
      <c r="C934" s="25"/>
      <c r="D934" s="25"/>
    </row>
    <row r="935">
      <c r="A935" s="82"/>
      <c r="B935" s="25"/>
      <c r="C935" s="25"/>
      <c r="D935" s="25"/>
    </row>
    <row r="936">
      <c r="A936" s="82"/>
      <c r="B936" s="25"/>
      <c r="C936" s="25"/>
      <c r="D936" s="25"/>
    </row>
    <row r="937">
      <c r="A937" s="82"/>
      <c r="B937" s="25"/>
      <c r="C937" s="25"/>
      <c r="D937" s="25"/>
    </row>
    <row r="938">
      <c r="A938" s="82"/>
      <c r="B938" s="25"/>
      <c r="C938" s="25"/>
      <c r="D938" s="25"/>
    </row>
    <row r="939">
      <c r="A939" s="82"/>
      <c r="B939" s="25"/>
      <c r="C939" s="25"/>
      <c r="D939" s="25"/>
    </row>
    <row r="940">
      <c r="A940" s="82"/>
      <c r="B940" s="25"/>
      <c r="C940" s="25"/>
      <c r="D940" s="25"/>
    </row>
    <row r="941">
      <c r="A941" s="82"/>
      <c r="B941" s="25"/>
      <c r="C941" s="25"/>
      <c r="D941" s="25"/>
    </row>
    <row r="942">
      <c r="A942" s="82"/>
      <c r="B942" s="25"/>
      <c r="C942" s="25"/>
      <c r="D942" s="25"/>
    </row>
    <row r="943">
      <c r="A943" s="82"/>
      <c r="B943" s="25"/>
      <c r="C943" s="25"/>
      <c r="D943" s="25"/>
    </row>
    <row r="944">
      <c r="A944" s="82"/>
      <c r="B944" s="25"/>
      <c r="C944" s="25"/>
      <c r="D944" s="25"/>
    </row>
    <row r="945">
      <c r="A945" s="82"/>
      <c r="B945" s="25"/>
      <c r="C945" s="25"/>
      <c r="D945" s="25"/>
    </row>
    <row r="946">
      <c r="A946" s="82"/>
      <c r="B946" s="25"/>
      <c r="C946" s="25"/>
      <c r="D946" s="25"/>
    </row>
    <row r="947">
      <c r="A947" s="82"/>
      <c r="B947" s="25"/>
      <c r="C947" s="25"/>
      <c r="D947" s="25"/>
    </row>
    <row r="948">
      <c r="A948" s="82"/>
      <c r="B948" s="25"/>
      <c r="C948" s="25"/>
      <c r="D948" s="25"/>
    </row>
    <row r="949">
      <c r="A949" s="82"/>
      <c r="B949" s="25"/>
      <c r="C949" s="25"/>
      <c r="D949" s="25"/>
    </row>
    <row r="950">
      <c r="A950" s="82"/>
      <c r="B950" s="25"/>
      <c r="C950" s="25"/>
      <c r="D950" s="25"/>
    </row>
    <row r="951">
      <c r="A951" s="82"/>
      <c r="B951" s="25"/>
      <c r="C951" s="25"/>
      <c r="D951" s="25"/>
    </row>
    <row r="952">
      <c r="A952" s="82"/>
      <c r="B952" s="25"/>
      <c r="C952" s="25"/>
      <c r="D952" s="25"/>
    </row>
    <row r="953">
      <c r="A953" s="82"/>
      <c r="B953" s="25"/>
      <c r="C953" s="25"/>
      <c r="D953" s="25"/>
    </row>
    <row r="954">
      <c r="A954" s="82"/>
      <c r="B954" s="25"/>
      <c r="C954" s="25"/>
      <c r="D954" s="25"/>
    </row>
    <row r="955">
      <c r="A955" s="82"/>
      <c r="B955" s="25"/>
      <c r="C955" s="25"/>
      <c r="D955" s="25"/>
    </row>
    <row r="956">
      <c r="A956" s="82"/>
      <c r="B956" s="25"/>
      <c r="C956" s="25"/>
      <c r="D956" s="25"/>
    </row>
    <row r="957">
      <c r="A957" s="82"/>
      <c r="B957" s="25"/>
      <c r="C957" s="25"/>
      <c r="D957" s="25"/>
    </row>
    <row r="958">
      <c r="A958" s="82"/>
      <c r="B958" s="25"/>
      <c r="C958" s="25"/>
      <c r="D958" s="25"/>
    </row>
    <row r="959">
      <c r="A959" s="82"/>
      <c r="B959" s="25"/>
      <c r="C959" s="25"/>
      <c r="D959" s="25"/>
    </row>
    <row r="960">
      <c r="A960" s="82"/>
      <c r="B960" s="25"/>
      <c r="C960" s="25"/>
      <c r="D960" s="25"/>
    </row>
    <row r="961">
      <c r="A961" s="82"/>
      <c r="B961" s="25"/>
      <c r="C961" s="25"/>
      <c r="D961" s="25"/>
    </row>
    <row r="962">
      <c r="A962" s="82"/>
      <c r="B962" s="25"/>
      <c r="C962" s="25"/>
      <c r="D962" s="25"/>
    </row>
    <row r="963">
      <c r="A963" s="82"/>
      <c r="B963" s="25"/>
      <c r="C963" s="25"/>
      <c r="D963" s="25"/>
    </row>
    <row r="964">
      <c r="A964" s="82"/>
      <c r="B964" s="25"/>
      <c r="C964" s="25"/>
      <c r="D964" s="25"/>
    </row>
    <row r="965">
      <c r="A965" s="82"/>
      <c r="B965" s="25"/>
      <c r="C965" s="25"/>
      <c r="D965" s="25"/>
    </row>
    <row r="966">
      <c r="A966" s="82"/>
      <c r="B966" s="25"/>
      <c r="C966" s="25"/>
      <c r="D966" s="25"/>
    </row>
    <row r="967">
      <c r="A967" s="82"/>
      <c r="B967" s="25"/>
      <c r="C967" s="25"/>
      <c r="D967" s="25"/>
    </row>
    <row r="968">
      <c r="A968" s="82"/>
      <c r="B968" s="25"/>
      <c r="C968" s="25"/>
      <c r="D968" s="25"/>
    </row>
    <row r="969">
      <c r="A969" s="82"/>
      <c r="B969" s="25"/>
      <c r="C969" s="25"/>
      <c r="D969" s="25"/>
    </row>
    <row r="970">
      <c r="A970" s="82"/>
      <c r="B970" s="25"/>
      <c r="C970" s="25"/>
      <c r="D970" s="25"/>
    </row>
    <row r="971">
      <c r="A971" s="82"/>
      <c r="B971" s="25"/>
      <c r="C971" s="25"/>
      <c r="D971" s="25"/>
    </row>
    <row r="972">
      <c r="A972" s="82"/>
      <c r="B972" s="25"/>
      <c r="C972" s="25"/>
      <c r="D972" s="25"/>
    </row>
    <row r="973">
      <c r="A973" s="82"/>
      <c r="B973" s="25"/>
      <c r="C973" s="25"/>
      <c r="D973" s="25"/>
    </row>
    <row r="974">
      <c r="A974" s="82"/>
      <c r="B974" s="25"/>
      <c r="C974" s="25"/>
      <c r="D974" s="25"/>
    </row>
    <row r="975">
      <c r="A975" s="82"/>
      <c r="B975" s="25"/>
      <c r="C975" s="25"/>
      <c r="D975" s="25"/>
    </row>
    <row r="976">
      <c r="A976" s="82"/>
      <c r="B976" s="25"/>
      <c r="C976" s="25"/>
      <c r="D976" s="25"/>
    </row>
    <row r="977">
      <c r="A977" s="82"/>
      <c r="B977" s="25"/>
      <c r="C977" s="25"/>
      <c r="D977" s="25"/>
    </row>
    <row r="978">
      <c r="A978" s="82"/>
      <c r="B978" s="25"/>
      <c r="C978" s="25"/>
      <c r="D978" s="25"/>
    </row>
    <row r="979">
      <c r="A979" s="82"/>
      <c r="B979" s="25"/>
      <c r="C979" s="25"/>
      <c r="D979" s="25"/>
    </row>
    <row r="980">
      <c r="A980" s="82"/>
      <c r="B980" s="25"/>
      <c r="C980" s="25"/>
      <c r="D980" s="25"/>
    </row>
    <row r="981">
      <c r="A981" s="82"/>
      <c r="B981" s="25"/>
      <c r="C981" s="25"/>
      <c r="D981" s="25"/>
    </row>
    <row r="982">
      <c r="A982" s="82"/>
      <c r="B982" s="25"/>
      <c r="C982" s="25"/>
      <c r="D982" s="25"/>
    </row>
    <row r="983">
      <c r="A983" s="82"/>
      <c r="B983" s="25"/>
      <c r="C983" s="25"/>
      <c r="D983" s="25"/>
    </row>
    <row r="984">
      <c r="A984" s="82"/>
      <c r="B984" s="25"/>
      <c r="C984" s="25"/>
      <c r="D984" s="25"/>
    </row>
    <row r="985">
      <c r="A985" s="82"/>
      <c r="B985" s="25"/>
      <c r="C985" s="25"/>
      <c r="D985" s="25"/>
    </row>
    <row r="986">
      <c r="A986" s="82"/>
      <c r="B986" s="25"/>
      <c r="C986" s="25"/>
      <c r="D986" s="25"/>
    </row>
    <row r="987">
      <c r="A987" s="82"/>
      <c r="B987" s="25"/>
      <c r="C987" s="25"/>
      <c r="D987" s="25"/>
    </row>
    <row r="988">
      <c r="A988" s="82"/>
      <c r="B988" s="25"/>
      <c r="C988" s="25"/>
      <c r="D988" s="25"/>
    </row>
    <row r="989">
      <c r="A989" s="82"/>
      <c r="B989" s="25"/>
      <c r="C989" s="25"/>
      <c r="D989" s="25"/>
    </row>
    <row r="990">
      <c r="A990" s="82"/>
      <c r="B990" s="25"/>
      <c r="C990" s="25"/>
      <c r="D990" s="25"/>
    </row>
    <row r="991">
      <c r="A991" s="82"/>
      <c r="B991" s="25"/>
      <c r="C991" s="25"/>
      <c r="D991" s="25"/>
    </row>
    <row r="992">
      <c r="A992" s="82"/>
      <c r="B992" s="25"/>
      <c r="C992" s="25"/>
      <c r="D992" s="25"/>
    </row>
    <row r="993">
      <c r="A993" s="82"/>
      <c r="B993" s="25"/>
      <c r="C993" s="25"/>
      <c r="D993" s="25"/>
    </row>
    <row r="994">
      <c r="A994" s="82"/>
      <c r="B994" s="25"/>
      <c r="C994" s="25"/>
      <c r="D994" s="25"/>
    </row>
    <row r="995">
      <c r="A995" s="82"/>
      <c r="B995" s="25"/>
      <c r="C995" s="25"/>
      <c r="D995" s="25"/>
    </row>
    <row r="996">
      <c r="A996" s="82"/>
      <c r="B996" s="25"/>
      <c r="C996" s="25"/>
      <c r="D996" s="25"/>
    </row>
    <row r="997">
      <c r="A997" s="82"/>
      <c r="B997" s="25"/>
      <c r="C997" s="25"/>
      <c r="D997" s="25"/>
    </row>
    <row r="998">
      <c r="A998" s="82"/>
      <c r="B998" s="25"/>
      <c r="C998" s="25"/>
      <c r="D998" s="25"/>
    </row>
    <row r="999">
      <c r="A999" s="82"/>
      <c r="B999" s="25"/>
      <c r="C999" s="25"/>
      <c r="D999" s="25"/>
    </row>
    <row r="1000">
      <c r="A1000" s="82"/>
      <c r="B1000" s="25"/>
      <c r="C1000" s="25"/>
      <c r="D1000" s="25"/>
    </row>
    <row r="1001">
      <c r="A1001" s="82"/>
      <c r="B1001" s="25"/>
      <c r="C1001" s="25"/>
      <c r="D1001" s="25"/>
    </row>
    <row r="1002">
      <c r="A1002" s="82"/>
      <c r="B1002" s="25"/>
      <c r="C1002" s="25"/>
      <c r="D1002" s="25"/>
    </row>
  </sheetData>
  <mergeCells count="10">
    <mergeCell ref="A35:D35"/>
    <mergeCell ref="A38:A40"/>
    <mergeCell ref="B38:B40"/>
    <mergeCell ref="A2:D2"/>
    <mergeCell ref="A4:D4"/>
    <mergeCell ref="A9:D9"/>
    <mergeCell ref="A14:D14"/>
    <mergeCell ref="A19:D19"/>
    <mergeCell ref="A26:D26"/>
    <mergeCell ref="A28:D2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8.0"/>
    <col customWidth="1" min="2" max="2" width="42.25"/>
    <col customWidth="1" min="3" max="3" width="29.38"/>
    <col customWidth="1" min="4" max="4" width="25.25"/>
  </cols>
  <sheetData>
    <row r="1">
      <c r="A1" s="12" t="s">
        <v>1083</v>
      </c>
      <c r="E1" s="84" t="s">
        <v>1084</v>
      </c>
    </row>
    <row r="2">
      <c r="A2" s="13" t="s">
        <v>1085</v>
      </c>
      <c r="B2" s="13" t="s">
        <v>1086</v>
      </c>
      <c r="C2" s="85" t="s">
        <v>5</v>
      </c>
      <c r="D2" s="13" t="s">
        <v>1087</v>
      </c>
    </row>
    <row r="3">
      <c r="A3" s="39" t="s">
        <v>1088</v>
      </c>
    </row>
    <row r="4">
      <c r="A4" s="4" t="s">
        <v>1089</v>
      </c>
      <c r="B4" s="4" t="s">
        <v>1090</v>
      </c>
      <c r="C4" s="50" t="s">
        <v>1091</v>
      </c>
      <c r="D4" s="4" t="s">
        <v>1092</v>
      </c>
    </row>
    <row r="5">
      <c r="A5" s="4" t="s">
        <v>1093</v>
      </c>
      <c r="B5" s="4" t="s">
        <v>1094</v>
      </c>
      <c r="C5" s="50" t="s">
        <v>1095</v>
      </c>
      <c r="D5" s="4" t="s">
        <v>87</v>
      </c>
    </row>
    <row r="6">
      <c r="A6" s="4" t="s">
        <v>1096</v>
      </c>
      <c r="B6" s="4" t="s">
        <v>1097</v>
      </c>
      <c r="C6" s="50" t="s">
        <v>1098</v>
      </c>
      <c r="D6" s="4" t="s">
        <v>1099</v>
      </c>
    </row>
    <row r="7">
      <c r="A7" s="4" t="s">
        <v>1100</v>
      </c>
      <c r="B7" s="4" t="s">
        <v>1101</v>
      </c>
      <c r="C7" s="50" t="s">
        <v>1102</v>
      </c>
      <c r="D7" s="4" t="s">
        <v>87</v>
      </c>
    </row>
    <row r="8">
      <c r="A8" s="4" t="s">
        <v>1103</v>
      </c>
      <c r="B8" s="4" t="s">
        <v>1104</v>
      </c>
      <c r="C8" s="50" t="s">
        <v>1105</v>
      </c>
      <c r="D8" s="4" t="s">
        <v>1092</v>
      </c>
    </row>
    <row r="9">
      <c r="A9" s="4" t="s">
        <v>1106</v>
      </c>
      <c r="B9" s="4" t="s">
        <v>1107</v>
      </c>
      <c r="C9" s="50" t="s">
        <v>1108</v>
      </c>
      <c r="D9" s="4" t="s">
        <v>87</v>
      </c>
    </row>
    <row r="10">
      <c r="A10" s="4" t="s">
        <v>1109</v>
      </c>
      <c r="B10" s="4" t="s">
        <v>1110</v>
      </c>
      <c r="C10" s="50" t="s">
        <v>1111</v>
      </c>
      <c r="D10" s="4" t="s">
        <v>1112</v>
      </c>
    </row>
    <row r="11">
      <c r="A11" s="4" t="s">
        <v>1113</v>
      </c>
      <c r="B11" s="4" t="s">
        <v>1114</v>
      </c>
      <c r="C11" s="50" t="s">
        <v>1115</v>
      </c>
      <c r="D11" s="4" t="s">
        <v>85</v>
      </c>
    </row>
    <row r="12">
      <c r="A12" s="4" t="s">
        <v>1116</v>
      </c>
      <c r="B12" s="4" t="s">
        <v>1117</v>
      </c>
      <c r="C12" s="50" t="s">
        <v>1118</v>
      </c>
      <c r="D12" s="4" t="s">
        <v>85</v>
      </c>
    </row>
    <row r="13">
      <c r="A13" s="4" t="s">
        <v>1119</v>
      </c>
      <c r="B13" s="4" t="s">
        <v>1120</v>
      </c>
      <c r="C13" s="50" t="s">
        <v>1121</v>
      </c>
      <c r="D13" s="4" t="s">
        <v>87</v>
      </c>
    </row>
    <row r="14">
      <c r="A14" s="4" t="s">
        <v>1122</v>
      </c>
      <c r="B14" s="4" t="s">
        <v>1123</v>
      </c>
      <c r="C14" s="50" t="s">
        <v>1124</v>
      </c>
      <c r="D14" s="4" t="s">
        <v>1092</v>
      </c>
    </row>
    <row r="15">
      <c r="A15" s="10"/>
      <c r="B15" s="10"/>
      <c r="C15" s="48"/>
      <c r="D15" s="10"/>
    </row>
    <row r="16">
      <c r="A16" s="10"/>
      <c r="B16" s="10"/>
      <c r="C16" s="48"/>
      <c r="D16" s="10"/>
    </row>
    <row r="17">
      <c r="A17" s="39" t="s">
        <v>1125</v>
      </c>
    </row>
    <row r="18">
      <c r="A18" s="4" t="s">
        <v>1126</v>
      </c>
      <c r="B18" s="4" t="s">
        <v>1127</v>
      </c>
      <c r="C18" s="50" t="s">
        <v>1128</v>
      </c>
      <c r="D18" s="4" t="s">
        <v>87</v>
      </c>
    </row>
    <row r="19">
      <c r="A19" s="4" t="s">
        <v>1129</v>
      </c>
      <c r="B19" s="4" t="s">
        <v>1130</v>
      </c>
      <c r="C19" s="50" t="s">
        <v>1131</v>
      </c>
      <c r="D19" s="4" t="s">
        <v>87</v>
      </c>
    </row>
    <row r="20">
      <c r="A20" s="4" t="s">
        <v>1132</v>
      </c>
      <c r="B20" s="4" t="s">
        <v>1133</v>
      </c>
      <c r="C20" s="86" t="s">
        <v>1134</v>
      </c>
      <c r="D20" s="4" t="s">
        <v>1092</v>
      </c>
    </row>
    <row r="21">
      <c r="A21" s="10"/>
      <c r="B21" s="10"/>
      <c r="C21" s="48"/>
      <c r="D21" s="10"/>
    </row>
    <row r="22">
      <c r="A22" s="10"/>
      <c r="B22" s="10"/>
      <c r="C22" s="48"/>
      <c r="D22" s="10"/>
    </row>
    <row r="23">
      <c r="A23" s="39" t="s">
        <v>1135</v>
      </c>
    </row>
    <row r="24">
      <c r="A24" s="4" t="s">
        <v>1136</v>
      </c>
      <c r="B24" s="4" t="s">
        <v>1137</v>
      </c>
      <c r="C24" s="50" t="s">
        <v>906</v>
      </c>
      <c r="D24" s="4" t="s">
        <v>87</v>
      </c>
    </row>
    <row r="25">
      <c r="A25" s="4" t="s">
        <v>1138</v>
      </c>
      <c r="B25" s="4" t="s">
        <v>1139</v>
      </c>
      <c r="C25" s="50" t="s">
        <v>1140</v>
      </c>
      <c r="D25" s="4" t="s">
        <v>1092</v>
      </c>
    </row>
    <row r="26">
      <c r="A26" s="4" t="s">
        <v>1141</v>
      </c>
      <c r="B26" s="4" t="s">
        <v>1142</v>
      </c>
      <c r="C26" s="50" t="s">
        <v>909</v>
      </c>
      <c r="D26" s="4" t="s">
        <v>1092</v>
      </c>
    </row>
    <row r="27">
      <c r="A27" s="4" t="s">
        <v>1143</v>
      </c>
      <c r="B27" s="4" t="s">
        <v>1144</v>
      </c>
      <c r="C27" s="50" t="s">
        <v>911</v>
      </c>
      <c r="D27" s="4" t="s">
        <v>1092</v>
      </c>
    </row>
    <row r="28">
      <c r="A28" s="4" t="s">
        <v>1145</v>
      </c>
      <c r="B28" s="4" t="s">
        <v>1146</v>
      </c>
      <c r="C28" s="50" t="s">
        <v>1147</v>
      </c>
      <c r="D28" s="4" t="s">
        <v>1092</v>
      </c>
    </row>
    <row r="29">
      <c r="A29" s="4" t="s">
        <v>1148</v>
      </c>
      <c r="B29" s="4" t="s">
        <v>1149</v>
      </c>
      <c r="C29" s="50" t="s">
        <v>913</v>
      </c>
      <c r="D29" s="4" t="s">
        <v>1092</v>
      </c>
    </row>
    <row r="30">
      <c r="A30" s="10"/>
      <c r="B30" s="10"/>
      <c r="C30" s="48"/>
      <c r="D30" s="10"/>
    </row>
    <row r="31">
      <c r="A31" s="10"/>
      <c r="B31" s="10"/>
      <c r="C31" s="48"/>
      <c r="D31" s="10"/>
    </row>
    <row r="32">
      <c r="A32" s="39" t="s">
        <v>1150</v>
      </c>
    </row>
    <row r="33">
      <c r="A33" s="4" t="s">
        <v>1151</v>
      </c>
      <c r="B33" s="4" t="s">
        <v>1152</v>
      </c>
      <c r="C33" s="50" t="s">
        <v>838</v>
      </c>
      <c r="D33" s="4" t="s">
        <v>87</v>
      </c>
    </row>
    <row r="34">
      <c r="A34" s="4" t="s">
        <v>1153</v>
      </c>
      <c r="B34" s="4" t="s">
        <v>1154</v>
      </c>
      <c r="C34" s="50" t="s">
        <v>1155</v>
      </c>
      <c r="D34" s="4" t="s">
        <v>87</v>
      </c>
    </row>
    <row r="35">
      <c r="A35" s="4" t="s">
        <v>1156</v>
      </c>
      <c r="B35" s="4" t="s">
        <v>1157</v>
      </c>
      <c r="C35" s="50" t="s">
        <v>1158</v>
      </c>
      <c r="D35" s="4" t="s">
        <v>87</v>
      </c>
    </row>
    <row r="36">
      <c r="A36" s="4" t="s">
        <v>1159</v>
      </c>
      <c r="B36" s="4" t="s">
        <v>1160</v>
      </c>
      <c r="C36" s="50" t="s">
        <v>1161</v>
      </c>
      <c r="D36" s="4" t="s">
        <v>87</v>
      </c>
    </row>
    <row r="37">
      <c r="A37" s="4" t="s">
        <v>1162</v>
      </c>
      <c r="B37" s="4" t="s">
        <v>1163</v>
      </c>
      <c r="C37" s="50" t="s">
        <v>1164</v>
      </c>
      <c r="D37" s="4" t="s">
        <v>87</v>
      </c>
    </row>
    <row r="38">
      <c r="A38" s="4" t="s">
        <v>1165</v>
      </c>
      <c r="B38" s="4" t="s">
        <v>1166</v>
      </c>
      <c r="C38" s="50" t="s">
        <v>1167</v>
      </c>
      <c r="D38" s="4" t="s">
        <v>1168</v>
      </c>
    </row>
    <row r="39">
      <c r="A39" s="4" t="s">
        <v>1169</v>
      </c>
      <c r="B39" s="4" t="s">
        <v>1170</v>
      </c>
      <c r="C39" s="50" t="s">
        <v>1171</v>
      </c>
      <c r="D39" s="4" t="s">
        <v>87</v>
      </c>
    </row>
    <row r="40">
      <c r="A40" s="4" t="s">
        <v>1172</v>
      </c>
      <c r="B40" s="4" t="s">
        <v>1173</v>
      </c>
      <c r="C40" s="50" t="s">
        <v>1174</v>
      </c>
      <c r="D40" s="4" t="s">
        <v>1175</v>
      </c>
    </row>
    <row r="41">
      <c r="A41" s="4" t="s">
        <v>1176</v>
      </c>
      <c r="B41" s="4" t="s">
        <v>1177</v>
      </c>
      <c r="C41" s="50" t="s">
        <v>1178</v>
      </c>
      <c r="D41" s="4" t="s">
        <v>87</v>
      </c>
    </row>
    <row r="42">
      <c r="A42" s="4" t="s">
        <v>1179</v>
      </c>
      <c r="B42" s="4" t="s">
        <v>1180</v>
      </c>
      <c r="C42" s="50" t="s">
        <v>1181</v>
      </c>
      <c r="D42" s="4" t="s">
        <v>87</v>
      </c>
    </row>
    <row r="43">
      <c r="A43" s="4" t="s">
        <v>1182</v>
      </c>
      <c r="B43" s="4" t="s">
        <v>1183</v>
      </c>
      <c r="C43" s="50" t="s">
        <v>1184</v>
      </c>
      <c r="D43" s="4" t="s">
        <v>87</v>
      </c>
    </row>
    <row r="44">
      <c r="A44" s="4" t="s">
        <v>1185</v>
      </c>
      <c r="B44" s="4" t="s">
        <v>1186</v>
      </c>
      <c r="C44" s="50" t="s">
        <v>1187</v>
      </c>
      <c r="D44" s="4" t="s">
        <v>87</v>
      </c>
    </row>
    <row r="45">
      <c r="A45" s="4" t="s">
        <v>1188</v>
      </c>
      <c r="B45" s="4" t="s">
        <v>1189</v>
      </c>
      <c r="C45" s="50" t="s">
        <v>1190</v>
      </c>
      <c r="D45" s="4" t="s">
        <v>87</v>
      </c>
    </row>
    <row r="46">
      <c r="A46" s="4" t="s">
        <v>1191</v>
      </c>
      <c r="B46" s="4" t="s">
        <v>1192</v>
      </c>
      <c r="C46" s="86" t="s">
        <v>1193</v>
      </c>
      <c r="D46" s="4" t="s">
        <v>87</v>
      </c>
    </row>
    <row r="47">
      <c r="A47" s="10"/>
      <c r="B47" s="10"/>
      <c r="C47" s="48"/>
      <c r="D47" s="10"/>
    </row>
    <row r="48">
      <c r="A48" s="10"/>
      <c r="B48" s="10"/>
      <c r="C48" s="48"/>
      <c r="D48" s="10"/>
    </row>
    <row r="49">
      <c r="A49" s="39" t="s">
        <v>1194</v>
      </c>
    </row>
    <row r="50">
      <c r="A50" s="4" t="s">
        <v>1195</v>
      </c>
      <c r="B50" s="4" t="s">
        <v>1196</v>
      </c>
      <c r="C50" s="50" t="s">
        <v>1197</v>
      </c>
      <c r="D50" s="4" t="s">
        <v>1092</v>
      </c>
    </row>
    <row r="51">
      <c r="A51" s="4" t="s">
        <v>1198</v>
      </c>
      <c r="B51" s="4" t="s">
        <v>1199</v>
      </c>
      <c r="C51" s="50" t="s">
        <v>1200</v>
      </c>
      <c r="D51" s="4" t="s">
        <v>1168</v>
      </c>
    </row>
    <row r="52">
      <c r="A52" s="4" t="s">
        <v>1201</v>
      </c>
      <c r="B52" s="4" t="s">
        <v>1202</v>
      </c>
      <c r="C52" s="50" t="s">
        <v>1203</v>
      </c>
      <c r="D52" s="4" t="s">
        <v>1092</v>
      </c>
    </row>
    <row r="53">
      <c r="A53" s="4" t="s">
        <v>1204</v>
      </c>
      <c r="B53" s="4" t="s">
        <v>1205</v>
      </c>
      <c r="C53" s="50" t="s">
        <v>920</v>
      </c>
      <c r="D53" s="4" t="s">
        <v>1092</v>
      </c>
    </row>
    <row r="54">
      <c r="A54" s="4" t="s">
        <v>1206</v>
      </c>
      <c r="B54" s="4" t="s">
        <v>1207</v>
      </c>
      <c r="C54" s="50" t="s">
        <v>1208</v>
      </c>
      <c r="D54" s="4" t="s">
        <v>1092</v>
      </c>
    </row>
    <row r="55">
      <c r="A55" s="4" t="s">
        <v>1209</v>
      </c>
      <c r="B55" s="4" t="s">
        <v>1210</v>
      </c>
      <c r="C55" s="50" t="s">
        <v>1211</v>
      </c>
      <c r="D55" s="4" t="s">
        <v>1092</v>
      </c>
    </row>
    <row r="56">
      <c r="A56" s="4" t="s">
        <v>1212</v>
      </c>
      <c r="B56" s="4" t="s">
        <v>1213</v>
      </c>
      <c r="C56" s="50" t="s">
        <v>1214</v>
      </c>
      <c r="D56" s="4" t="s">
        <v>1092</v>
      </c>
    </row>
    <row r="57">
      <c r="A57" s="4" t="s">
        <v>1215</v>
      </c>
      <c r="B57" s="4" t="s">
        <v>1216</v>
      </c>
      <c r="C57" s="50" t="s">
        <v>1217</v>
      </c>
      <c r="D57" s="4" t="s">
        <v>87</v>
      </c>
    </row>
    <row r="58">
      <c r="A58" s="4" t="s">
        <v>1218</v>
      </c>
      <c r="B58" s="4" t="s">
        <v>1219</v>
      </c>
      <c r="C58" s="50" t="s">
        <v>1220</v>
      </c>
      <c r="D58" s="4" t="s">
        <v>87</v>
      </c>
    </row>
    <row r="59">
      <c r="A59" s="4" t="s">
        <v>1221</v>
      </c>
      <c r="B59" s="4" t="s">
        <v>1222</v>
      </c>
      <c r="C59" s="50" t="s">
        <v>1223</v>
      </c>
      <c r="D59" s="4" t="s">
        <v>87</v>
      </c>
    </row>
    <row r="60">
      <c r="A60" s="4" t="s">
        <v>1224</v>
      </c>
      <c r="B60" s="4" t="s">
        <v>1225</v>
      </c>
      <c r="C60" s="50" t="s">
        <v>1226</v>
      </c>
      <c r="D60" s="4" t="s">
        <v>1168</v>
      </c>
    </row>
    <row r="61">
      <c r="A61" s="4" t="s">
        <v>1227</v>
      </c>
      <c r="B61" s="4" t="s">
        <v>1228</v>
      </c>
      <c r="C61" s="50" t="s">
        <v>915</v>
      </c>
      <c r="D61" s="4" t="s">
        <v>1092</v>
      </c>
    </row>
    <row r="62">
      <c r="A62" s="10"/>
      <c r="B62" s="10"/>
      <c r="C62" s="48"/>
      <c r="D62" s="10"/>
    </row>
    <row r="63">
      <c r="A63" s="10"/>
      <c r="B63" s="10"/>
      <c r="C63" s="48"/>
      <c r="D63" s="10"/>
    </row>
    <row r="64">
      <c r="A64" s="39" t="s">
        <v>1229</v>
      </c>
    </row>
    <row r="65">
      <c r="A65" s="4" t="s">
        <v>1230</v>
      </c>
      <c r="B65" s="4" t="s">
        <v>1231</v>
      </c>
      <c r="C65" s="50" t="s">
        <v>1232</v>
      </c>
      <c r="D65" s="4" t="s">
        <v>87</v>
      </c>
    </row>
    <row r="66">
      <c r="A66" s="4" t="s">
        <v>1233</v>
      </c>
      <c r="B66" s="4" t="s">
        <v>1234</v>
      </c>
      <c r="C66" s="50" t="s">
        <v>1235</v>
      </c>
      <c r="D66" s="4" t="s">
        <v>87</v>
      </c>
    </row>
    <row r="67">
      <c r="A67" s="4" t="s">
        <v>1236</v>
      </c>
      <c r="B67" s="4" t="s">
        <v>1237</v>
      </c>
      <c r="C67" s="50" t="s">
        <v>1238</v>
      </c>
      <c r="D67" s="4" t="s">
        <v>87</v>
      </c>
    </row>
    <row r="68">
      <c r="A68" s="4" t="s">
        <v>1239</v>
      </c>
      <c r="B68" s="4" t="s">
        <v>1240</v>
      </c>
      <c r="C68" s="50" t="s">
        <v>1241</v>
      </c>
      <c r="D68" s="4" t="s">
        <v>87</v>
      </c>
    </row>
    <row r="69">
      <c r="A69" s="4" t="s">
        <v>1242</v>
      </c>
      <c r="B69" s="4" t="s">
        <v>1243</v>
      </c>
      <c r="C69" s="50" t="s">
        <v>1244</v>
      </c>
      <c r="D69" s="4" t="s">
        <v>87</v>
      </c>
    </row>
    <row r="70">
      <c r="A70" s="4" t="s">
        <v>1245</v>
      </c>
      <c r="B70" s="4" t="s">
        <v>1246</v>
      </c>
      <c r="C70" s="50" t="s">
        <v>1247</v>
      </c>
      <c r="D70" s="4" t="s">
        <v>87</v>
      </c>
    </row>
    <row r="71">
      <c r="A71" s="4" t="s">
        <v>1248</v>
      </c>
      <c r="B71" s="4" t="s">
        <v>1249</v>
      </c>
      <c r="C71" s="50" t="s">
        <v>1250</v>
      </c>
      <c r="D71" s="4" t="s">
        <v>87</v>
      </c>
    </row>
    <row r="72">
      <c r="A72" s="10"/>
      <c r="B72" s="10"/>
      <c r="C72" s="48"/>
      <c r="D72" s="10"/>
    </row>
    <row r="73">
      <c r="A73" s="10"/>
      <c r="B73" s="10"/>
      <c r="C73" s="48"/>
      <c r="D73" s="10"/>
    </row>
    <row r="74">
      <c r="A74" s="39" t="s">
        <v>1251</v>
      </c>
    </row>
    <row r="75">
      <c r="A75" s="4" t="s">
        <v>1252</v>
      </c>
      <c r="B75" s="4" t="s">
        <v>1253</v>
      </c>
      <c r="C75" s="50" t="s">
        <v>1254</v>
      </c>
      <c r="D75" s="4" t="s">
        <v>87</v>
      </c>
    </row>
    <row r="76">
      <c r="A76" s="4" t="s">
        <v>1255</v>
      </c>
      <c r="B76" s="4" t="s">
        <v>1256</v>
      </c>
      <c r="C76" s="86" t="s">
        <v>1257</v>
      </c>
      <c r="D76" s="4" t="s">
        <v>87</v>
      </c>
    </row>
    <row r="77">
      <c r="A77" s="4" t="s">
        <v>1258</v>
      </c>
      <c r="B77" s="4" t="s">
        <v>1259</v>
      </c>
      <c r="C77" s="50" t="s">
        <v>1260</v>
      </c>
      <c r="D77" s="4" t="s">
        <v>87</v>
      </c>
    </row>
    <row r="78">
      <c r="A78" s="4" t="s">
        <v>1261</v>
      </c>
      <c r="B78" s="4" t="s">
        <v>1262</v>
      </c>
      <c r="C78" s="50" t="s">
        <v>1263</v>
      </c>
      <c r="D78" s="4" t="s">
        <v>1092</v>
      </c>
    </row>
    <row r="79">
      <c r="A79" s="4" t="s">
        <v>1264</v>
      </c>
      <c r="B79" s="4" t="s">
        <v>1265</v>
      </c>
      <c r="C79" s="50" t="s">
        <v>1266</v>
      </c>
      <c r="D79" s="4" t="s">
        <v>87</v>
      </c>
    </row>
    <row r="80">
      <c r="A80" s="10"/>
      <c r="B80" s="10"/>
      <c r="C80" s="48"/>
      <c r="D80" s="10"/>
    </row>
    <row r="81">
      <c r="A81" s="10"/>
      <c r="B81" s="10"/>
      <c r="C81" s="48"/>
      <c r="D81" s="10"/>
    </row>
    <row r="82">
      <c r="A82" s="39" t="s">
        <v>1267</v>
      </c>
    </row>
    <row r="83">
      <c r="A83" s="4" t="s">
        <v>1268</v>
      </c>
      <c r="B83" s="4" t="s">
        <v>1269</v>
      </c>
      <c r="C83" s="50" t="s">
        <v>1270</v>
      </c>
      <c r="D83" s="4" t="s">
        <v>87</v>
      </c>
    </row>
    <row r="84">
      <c r="A84" s="4" t="s">
        <v>1271</v>
      </c>
      <c r="B84" s="4" t="s">
        <v>1272</v>
      </c>
      <c r="C84" s="86" t="s">
        <v>1273</v>
      </c>
      <c r="D84" s="4" t="s">
        <v>87</v>
      </c>
    </row>
    <row r="85">
      <c r="A85" s="4" t="s">
        <v>1274</v>
      </c>
      <c r="B85" s="4" t="s">
        <v>1275</v>
      </c>
      <c r="C85" s="86" t="s">
        <v>1276</v>
      </c>
      <c r="D85" s="4" t="s">
        <v>87</v>
      </c>
    </row>
    <row r="86">
      <c r="A86" s="4" t="s">
        <v>1277</v>
      </c>
      <c r="B86" s="4" t="s">
        <v>1278</v>
      </c>
      <c r="C86" s="86" t="s">
        <v>1279</v>
      </c>
      <c r="D86" s="4" t="s">
        <v>87</v>
      </c>
    </row>
    <row r="87">
      <c r="A87" s="4" t="s">
        <v>1280</v>
      </c>
      <c r="B87" s="4" t="s">
        <v>1281</v>
      </c>
      <c r="C87" s="50" t="s">
        <v>1282</v>
      </c>
      <c r="D87" s="4" t="s">
        <v>87</v>
      </c>
    </row>
    <row r="88">
      <c r="A88" s="4" t="s">
        <v>1283</v>
      </c>
      <c r="B88" s="4" t="s">
        <v>1284</v>
      </c>
      <c r="C88" s="50" t="s">
        <v>1285</v>
      </c>
      <c r="D88" s="4" t="s">
        <v>87</v>
      </c>
    </row>
    <row r="89">
      <c r="A89" s="10"/>
      <c r="B89" s="10"/>
      <c r="C89" s="48"/>
      <c r="D89" s="10"/>
    </row>
    <row r="90">
      <c r="A90" s="10"/>
      <c r="B90" s="10"/>
      <c r="C90" s="48"/>
      <c r="D90" s="10"/>
    </row>
    <row r="91">
      <c r="A91" s="39" t="s">
        <v>1286</v>
      </c>
    </row>
    <row r="92">
      <c r="A92" s="4" t="s">
        <v>1287</v>
      </c>
      <c r="B92" s="4" t="s">
        <v>1288</v>
      </c>
      <c r="C92" s="50" t="s">
        <v>1289</v>
      </c>
      <c r="D92" s="4" t="s">
        <v>1092</v>
      </c>
    </row>
    <row r="93">
      <c r="A93" s="4" t="s">
        <v>1290</v>
      </c>
      <c r="B93" s="4" t="s">
        <v>1291</v>
      </c>
      <c r="C93" s="50" t="s">
        <v>1292</v>
      </c>
      <c r="D93" s="4" t="s">
        <v>1293</v>
      </c>
    </row>
    <row r="94">
      <c r="A94" s="4" t="s">
        <v>1294</v>
      </c>
      <c r="B94" s="4" t="s">
        <v>1295</v>
      </c>
      <c r="C94" s="86" t="s">
        <v>1296</v>
      </c>
      <c r="D94" s="4" t="s">
        <v>1092</v>
      </c>
    </row>
    <row r="95">
      <c r="A95" s="10"/>
      <c r="B95" s="10"/>
      <c r="C95" s="48"/>
      <c r="D95" s="10"/>
    </row>
    <row r="96">
      <c r="A96" s="10"/>
      <c r="B96" s="10"/>
      <c r="C96" s="48"/>
      <c r="D96" s="10"/>
    </row>
    <row r="97">
      <c r="A97" s="10"/>
      <c r="B97" s="10"/>
      <c r="C97" s="48"/>
      <c r="D97" s="10"/>
    </row>
    <row r="98">
      <c r="A98" s="10"/>
      <c r="B98" s="10"/>
      <c r="C98" s="48"/>
      <c r="D98" s="10"/>
    </row>
    <row r="99">
      <c r="A99" s="10"/>
      <c r="B99" s="10"/>
      <c r="C99" s="48"/>
      <c r="D99" s="10"/>
    </row>
    <row r="100">
      <c r="A100" s="10"/>
      <c r="B100" s="10"/>
      <c r="C100" s="48"/>
      <c r="D100" s="10"/>
    </row>
    <row r="101">
      <c r="A101" s="10"/>
      <c r="B101" s="10"/>
      <c r="C101" s="48"/>
      <c r="D101" s="10"/>
    </row>
    <row r="102">
      <c r="A102" s="10"/>
      <c r="B102" s="10"/>
      <c r="C102" s="48"/>
      <c r="D102" s="10"/>
    </row>
    <row r="103">
      <c r="A103" s="10"/>
      <c r="B103" s="10"/>
      <c r="C103" s="48"/>
      <c r="D103" s="10"/>
    </row>
    <row r="104">
      <c r="A104" s="10"/>
      <c r="B104" s="10"/>
      <c r="C104" s="48"/>
      <c r="D104" s="10"/>
    </row>
    <row r="105">
      <c r="A105" s="10"/>
      <c r="B105" s="10"/>
      <c r="C105" s="48"/>
      <c r="D105" s="10"/>
    </row>
    <row r="106">
      <c r="A106" s="10"/>
      <c r="B106" s="10"/>
      <c r="C106" s="48"/>
      <c r="D106" s="10"/>
    </row>
    <row r="107">
      <c r="A107" s="10"/>
      <c r="B107" s="10"/>
      <c r="C107" s="48"/>
      <c r="D107" s="10"/>
    </row>
    <row r="108">
      <c r="A108" s="10"/>
      <c r="B108" s="10"/>
      <c r="C108" s="48"/>
      <c r="D108" s="10"/>
    </row>
    <row r="109">
      <c r="A109" s="10"/>
      <c r="B109" s="10"/>
      <c r="C109" s="48"/>
      <c r="D109" s="10"/>
    </row>
    <row r="110">
      <c r="A110" s="10"/>
      <c r="B110" s="10"/>
      <c r="C110" s="48"/>
      <c r="D110" s="10"/>
    </row>
    <row r="111">
      <c r="A111" s="10"/>
      <c r="B111" s="10"/>
      <c r="C111" s="48"/>
      <c r="D111" s="10"/>
    </row>
    <row r="112">
      <c r="A112" s="10"/>
      <c r="B112" s="10"/>
      <c r="C112" s="48"/>
      <c r="D112" s="10"/>
    </row>
    <row r="113">
      <c r="A113" s="10"/>
      <c r="B113" s="10"/>
      <c r="C113" s="48"/>
      <c r="D113" s="10"/>
    </row>
    <row r="114">
      <c r="A114" s="10"/>
      <c r="B114" s="10"/>
      <c r="C114" s="48"/>
      <c r="D114" s="10"/>
    </row>
    <row r="115">
      <c r="A115" s="10"/>
      <c r="B115" s="10"/>
      <c r="C115" s="48"/>
      <c r="D115" s="10"/>
    </row>
    <row r="116">
      <c r="A116" s="10"/>
      <c r="B116" s="10"/>
      <c r="C116" s="48"/>
      <c r="D116" s="10"/>
    </row>
    <row r="117">
      <c r="A117" s="10"/>
      <c r="B117" s="10"/>
      <c r="C117" s="48"/>
      <c r="D117" s="10"/>
    </row>
    <row r="118">
      <c r="A118" s="10"/>
      <c r="B118" s="10"/>
      <c r="C118" s="48"/>
      <c r="D118" s="10"/>
    </row>
    <row r="119">
      <c r="A119" s="10"/>
      <c r="B119" s="10"/>
      <c r="C119" s="48"/>
      <c r="D119" s="10"/>
    </row>
    <row r="120">
      <c r="A120" s="10"/>
      <c r="B120" s="10"/>
      <c r="C120" s="48"/>
      <c r="D120" s="10"/>
    </row>
    <row r="121">
      <c r="A121" s="10"/>
      <c r="B121" s="10"/>
      <c r="C121" s="48"/>
      <c r="D121" s="10"/>
    </row>
    <row r="122">
      <c r="A122" s="10"/>
      <c r="B122" s="10"/>
      <c r="C122" s="48"/>
      <c r="D122" s="10"/>
    </row>
    <row r="123">
      <c r="A123" s="10"/>
      <c r="B123" s="10"/>
      <c r="C123" s="48"/>
      <c r="D123" s="10"/>
    </row>
    <row r="124">
      <c r="A124" s="10"/>
      <c r="B124" s="10"/>
      <c r="C124" s="48"/>
      <c r="D124" s="10"/>
    </row>
    <row r="125">
      <c r="A125" s="10"/>
      <c r="B125" s="10"/>
      <c r="C125" s="48"/>
      <c r="D125" s="10"/>
    </row>
    <row r="126">
      <c r="A126" s="10"/>
      <c r="B126" s="10"/>
      <c r="C126" s="48"/>
      <c r="D126" s="10"/>
    </row>
    <row r="127">
      <c r="A127" s="10"/>
      <c r="B127" s="10"/>
      <c r="C127" s="48"/>
      <c r="D127" s="10"/>
    </row>
    <row r="128">
      <c r="A128" s="10"/>
      <c r="B128" s="10"/>
      <c r="C128" s="48"/>
      <c r="D128" s="10"/>
    </row>
    <row r="129">
      <c r="A129" s="10"/>
      <c r="B129" s="10"/>
      <c r="C129" s="48"/>
      <c r="D129" s="10"/>
    </row>
    <row r="130">
      <c r="A130" s="10"/>
      <c r="B130" s="10"/>
      <c r="C130" s="48"/>
      <c r="D130" s="10"/>
    </row>
    <row r="131">
      <c r="A131" s="10"/>
      <c r="B131" s="10"/>
      <c r="C131" s="48"/>
      <c r="D131" s="10"/>
    </row>
    <row r="132">
      <c r="A132" s="10"/>
      <c r="B132" s="10"/>
      <c r="C132" s="48"/>
      <c r="D132" s="10"/>
    </row>
    <row r="133">
      <c r="A133" s="10"/>
      <c r="B133" s="10"/>
      <c r="C133" s="48"/>
      <c r="D133" s="10"/>
    </row>
    <row r="134">
      <c r="A134" s="10"/>
      <c r="B134" s="10"/>
      <c r="C134" s="48"/>
      <c r="D134" s="10"/>
    </row>
    <row r="135">
      <c r="A135" s="10"/>
      <c r="B135" s="10"/>
      <c r="C135" s="48"/>
      <c r="D135" s="10"/>
    </row>
    <row r="136">
      <c r="A136" s="10"/>
      <c r="B136" s="10"/>
      <c r="C136" s="48"/>
      <c r="D136" s="10"/>
    </row>
    <row r="137">
      <c r="A137" s="10"/>
      <c r="B137" s="10"/>
      <c r="C137" s="48"/>
      <c r="D137" s="10"/>
    </row>
    <row r="138">
      <c r="A138" s="10"/>
      <c r="B138" s="10"/>
      <c r="C138" s="48"/>
      <c r="D138" s="10"/>
    </row>
    <row r="139">
      <c r="A139" s="10"/>
      <c r="B139" s="10"/>
      <c r="C139" s="48"/>
      <c r="D139" s="10"/>
    </row>
    <row r="140">
      <c r="A140" s="10"/>
      <c r="B140" s="10"/>
      <c r="C140" s="48"/>
      <c r="D140" s="10"/>
    </row>
    <row r="141">
      <c r="A141" s="10"/>
      <c r="B141" s="10"/>
      <c r="C141" s="48"/>
      <c r="D141" s="10"/>
    </row>
    <row r="142">
      <c r="A142" s="10"/>
      <c r="B142" s="10"/>
      <c r="C142" s="48"/>
      <c r="D142" s="10"/>
    </row>
    <row r="143">
      <c r="A143" s="10"/>
      <c r="B143" s="10"/>
      <c r="C143" s="48"/>
      <c r="D143" s="10"/>
    </row>
    <row r="144">
      <c r="A144" s="10"/>
      <c r="B144" s="10"/>
      <c r="C144" s="48"/>
      <c r="D144" s="10"/>
    </row>
    <row r="145">
      <c r="A145" s="10"/>
      <c r="B145" s="10"/>
      <c r="C145" s="48"/>
      <c r="D145" s="10"/>
    </row>
    <row r="146">
      <c r="A146" s="10"/>
      <c r="B146" s="10"/>
      <c r="C146" s="48"/>
      <c r="D146" s="10"/>
    </row>
    <row r="147">
      <c r="A147" s="10"/>
      <c r="B147" s="10"/>
      <c r="C147" s="48"/>
      <c r="D147" s="10"/>
    </row>
    <row r="148">
      <c r="A148" s="10"/>
      <c r="B148" s="10"/>
      <c r="C148" s="48"/>
      <c r="D148" s="10"/>
    </row>
    <row r="149">
      <c r="A149" s="10"/>
      <c r="B149" s="10"/>
      <c r="C149" s="48"/>
      <c r="D149" s="10"/>
    </row>
    <row r="150">
      <c r="A150" s="10"/>
      <c r="B150" s="10"/>
      <c r="C150" s="48"/>
      <c r="D150" s="10"/>
    </row>
    <row r="151">
      <c r="A151" s="10"/>
      <c r="B151" s="10"/>
      <c r="C151" s="48"/>
      <c r="D151" s="10"/>
    </row>
    <row r="152">
      <c r="A152" s="10"/>
      <c r="B152" s="10"/>
      <c r="C152" s="48"/>
      <c r="D152" s="10"/>
    </row>
    <row r="153">
      <c r="A153" s="10"/>
      <c r="B153" s="10"/>
      <c r="C153" s="48"/>
      <c r="D153" s="10"/>
    </row>
    <row r="154">
      <c r="A154" s="10"/>
      <c r="B154" s="10"/>
      <c r="C154" s="48"/>
      <c r="D154" s="10"/>
    </row>
    <row r="155">
      <c r="A155" s="10"/>
      <c r="B155" s="10"/>
      <c r="C155" s="48"/>
      <c r="D155" s="10"/>
    </row>
    <row r="156">
      <c r="A156" s="10"/>
      <c r="B156" s="10"/>
      <c r="C156" s="48"/>
      <c r="D156" s="10"/>
    </row>
    <row r="157">
      <c r="A157" s="10"/>
      <c r="B157" s="10"/>
      <c r="C157" s="48"/>
      <c r="D157" s="10"/>
    </row>
    <row r="158">
      <c r="A158" s="10"/>
      <c r="B158" s="10"/>
      <c r="C158" s="48"/>
      <c r="D158" s="10"/>
    </row>
    <row r="159">
      <c r="A159" s="10"/>
      <c r="B159" s="10"/>
      <c r="C159" s="48"/>
      <c r="D159" s="10"/>
    </row>
    <row r="160">
      <c r="A160" s="10"/>
      <c r="B160" s="10"/>
      <c r="C160" s="48"/>
      <c r="D160" s="10"/>
    </row>
    <row r="161">
      <c r="A161" s="10"/>
      <c r="B161" s="10"/>
      <c r="C161" s="48"/>
      <c r="D161" s="10"/>
    </row>
    <row r="162">
      <c r="A162" s="10"/>
      <c r="B162" s="10"/>
      <c r="C162" s="48"/>
      <c r="D162" s="10"/>
    </row>
    <row r="163">
      <c r="A163" s="10"/>
      <c r="B163" s="10"/>
      <c r="C163" s="48"/>
      <c r="D163" s="10"/>
    </row>
    <row r="164">
      <c r="A164" s="10"/>
      <c r="B164" s="10"/>
      <c r="C164" s="48"/>
      <c r="D164" s="10"/>
    </row>
    <row r="165">
      <c r="A165" s="10"/>
      <c r="B165" s="10"/>
      <c r="C165" s="48"/>
      <c r="D165" s="10"/>
    </row>
    <row r="166">
      <c r="A166" s="10"/>
      <c r="B166" s="10"/>
      <c r="C166" s="48"/>
      <c r="D166" s="10"/>
    </row>
    <row r="167">
      <c r="A167" s="10"/>
      <c r="B167" s="10"/>
      <c r="C167" s="48"/>
      <c r="D167" s="10"/>
    </row>
    <row r="168">
      <c r="A168" s="10"/>
      <c r="B168" s="10"/>
      <c r="C168" s="48"/>
      <c r="D168" s="10"/>
    </row>
    <row r="169">
      <c r="A169" s="10"/>
      <c r="B169" s="10"/>
      <c r="C169" s="48"/>
      <c r="D169" s="10"/>
    </row>
    <row r="170">
      <c r="A170" s="10"/>
      <c r="B170" s="10"/>
      <c r="C170" s="48"/>
      <c r="D170" s="10"/>
    </row>
    <row r="171">
      <c r="A171" s="10"/>
      <c r="B171" s="10"/>
      <c r="C171" s="48"/>
      <c r="D171" s="10"/>
    </row>
    <row r="172">
      <c r="A172" s="10"/>
      <c r="B172" s="10"/>
      <c r="C172" s="48"/>
      <c r="D172" s="10"/>
    </row>
    <row r="173">
      <c r="A173" s="10"/>
      <c r="B173" s="10"/>
      <c r="C173" s="48"/>
      <c r="D173" s="10"/>
    </row>
    <row r="174">
      <c r="A174" s="10"/>
      <c r="B174" s="10"/>
      <c r="C174" s="48"/>
      <c r="D174" s="10"/>
    </row>
    <row r="175">
      <c r="A175" s="10"/>
      <c r="B175" s="10"/>
      <c r="C175" s="48"/>
      <c r="D175" s="10"/>
    </row>
    <row r="176">
      <c r="A176" s="10"/>
      <c r="B176" s="10"/>
      <c r="C176" s="48"/>
      <c r="D176" s="10"/>
    </row>
    <row r="177">
      <c r="A177" s="10"/>
      <c r="B177" s="10"/>
      <c r="C177" s="48"/>
      <c r="D177" s="10"/>
    </row>
    <row r="178">
      <c r="A178" s="10"/>
      <c r="B178" s="10"/>
      <c r="C178" s="48"/>
      <c r="D178" s="10"/>
    </row>
    <row r="179">
      <c r="A179" s="10"/>
      <c r="B179" s="10"/>
      <c r="C179" s="48"/>
      <c r="D179" s="10"/>
    </row>
    <row r="180">
      <c r="A180" s="10"/>
      <c r="B180" s="10"/>
      <c r="C180" s="48"/>
      <c r="D180" s="10"/>
    </row>
    <row r="181">
      <c r="A181" s="10"/>
      <c r="B181" s="10"/>
      <c r="C181" s="48"/>
      <c r="D181" s="10"/>
    </row>
    <row r="182">
      <c r="A182" s="10"/>
      <c r="B182" s="10"/>
      <c r="C182" s="48"/>
      <c r="D182" s="10"/>
    </row>
    <row r="183">
      <c r="A183" s="10"/>
      <c r="B183" s="10"/>
      <c r="C183" s="48"/>
      <c r="D183" s="10"/>
    </row>
    <row r="184">
      <c r="A184" s="10"/>
      <c r="B184" s="10"/>
      <c r="C184" s="48"/>
      <c r="D184" s="10"/>
    </row>
    <row r="185">
      <c r="A185" s="10"/>
      <c r="B185" s="10"/>
      <c r="C185" s="48"/>
      <c r="D185" s="10"/>
    </row>
    <row r="186">
      <c r="A186" s="10"/>
      <c r="B186" s="10"/>
      <c r="C186" s="48"/>
      <c r="D186" s="10"/>
    </row>
    <row r="187">
      <c r="A187" s="10"/>
      <c r="B187" s="10"/>
      <c r="C187" s="48"/>
      <c r="D187" s="10"/>
    </row>
    <row r="188">
      <c r="A188" s="10"/>
      <c r="B188" s="10"/>
      <c r="C188" s="48"/>
      <c r="D188" s="10"/>
    </row>
    <row r="189">
      <c r="A189" s="10"/>
      <c r="B189" s="10"/>
      <c r="C189" s="48"/>
      <c r="D189" s="10"/>
    </row>
    <row r="190">
      <c r="A190" s="10"/>
      <c r="B190" s="10"/>
      <c r="C190" s="48"/>
      <c r="D190" s="10"/>
    </row>
    <row r="191">
      <c r="A191" s="10"/>
      <c r="B191" s="10"/>
      <c r="C191" s="48"/>
      <c r="D191" s="10"/>
    </row>
    <row r="192">
      <c r="A192" s="10"/>
      <c r="B192" s="10"/>
      <c r="C192" s="48"/>
      <c r="D192" s="10"/>
    </row>
    <row r="193">
      <c r="A193" s="10"/>
      <c r="B193" s="10"/>
      <c r="C193" s="48"/>
      <c r="D193" s="10"/>
    </row>
    <row r="194">
      <c r="A194" s="10"/>
      <c r="B194" s="10"/>
      <c r="C194" s="48"/>
      <c r="D194" s="10"/>
    </row>
    <row r="195">
      <c r="A195" s="10"/>
      <c r="B195" s="10"/>
      <c r="C195" s="48"/>
      <c r="D195" s="10"/>
    </row>
    <row r="196">
      <c r="A196" s="10"/>
      <c r="B196" s="10"/>
      <c r="C196" s="48"/>
      <c r="D196" s="10"/>
    </row>
    <row r="197">
      <c r="A197" s="10"/>
      <c r="B197" s="10"/>
      <c r="C197" s="48"/>
      <c r="D197" s="10"/>
    </row>
    <row r="198">
      <c r="A198" s="10"/>
      <c r="B198" s="10"/>
      <c r="C198" s="48"/>
      <c r="D198" s="10"/>
    </row>
    <row r="199">
      <c r="A199" s="10"/>
      <c r="B199" s="10"/>
      <c r="C199" s="48"/>
      <c r="D199" s="10"/>
    </row>
    <row r="200">
      <c r="A200" s="10"/>
      <c r="B200" s="10"/>
      <c r="C200" s="48"/>
      <c r="D200" s="10"/>
    </row>
    <row r="201">
      <c r="A201" s="10"/>
      <c r="B201" s="10"/>
      <c r="C201" s="48"/>
      <c r="D201" s="10"/>
    </row>
    <row r="202">
      <c r="A202" s="10"/>
      <c r="B202" s="10"/>
      <c r="C202" s="48"/>
      <c r="D202" s="10"/>
    </row>
    <row r="203">
      <c r="A203" s="10"/>
      <c r="B203" s="10"/>
      <c r="C203" s="48"/>
      <c r="D203" s="10"/>
    </row>
    <row r="204">
      <c r="A204" s="10"/>
      <c r="B204" s="10"/>
      <c r="C204" s="48"/>
      <c r="D204" s="10"/>
    </row>
    <row r="205">
      <c r="A205" s="10"/>
      <c r="B205" s="10"/>
      <c r="C205" s="48"/>
      <c r="D205" s="10"/>
    </row>
    <row r="206">
      <c r="A206" s="10"/>
      <c r="B206" s="10"/>
      <c r="C206" s="48"/>
      <c r="D206" s="10"/>
    </row>
    <row r="207">
      <c r="A207" s="10"/>
      <c r="B207" s="10"/>
      <c r="C207" s="48"/>
      <c r="D207" s="10"/>
    </row>
    <row r="208">
      <c r="A208" s="10"/>
      <c r="B208" s="10"/>
      <c r="C208" s="48"/>
      <c r="D208" s="10"/>
    </row>
    <row r="209">
      <c r="A209" s="10"/>
      <c r="B209" s="10"/>
      <c r="C209" s="48"/>
      <c r="D209" s="10"/>
    </row>
    <row r="210">
      <c r="A210" s="10"/>
      <c r="B210" s="10"/>
      <c r="C210" s="48"/>
      <c r="D210" s="10"/>
    </row>
    <row r="211">
      <c r="A211" s="10"/>
      <c r="B211" s="10"/>
      <c r="C211" s="48"/>
      <c r="D211" s="10"/>
    </row>
    <row r="212">
      <c r="A212" s="10"/>
      <c r="B212" s="10"/>
      <c r="C212" s="48"/>
      <c r="D212" s="10"/>
    </row>
    <row r="213">
      <c r="A213" s="10"/>
      <c r="B213" s="10"/>
      <c r="C213" s="48"/>
      <c r="D213" s="10"/>
    </row>
    <row r="214">
      <c r="A214" s="10"/>
      <c r="B214" s="10"/>
      <c r="C214" s="48"/>
      <c r="D214" s="10"/>
    </row>
    <row r="215">
      <c r="A215" s="10"/>
      <c r="B215" s="10"/>
      <c r="C215" s="48"/>
      <c r="D215" s="10"/>
    </row>
    <row r="216">
      <c r="A216" s="10"/>
      <c r="B216" s="10"/>
      <c r="C216" s="48"/>
      <c r="D216" s="10"/>
    </row>
    <row r="217">
      <c r="A217" s="10"/>
      <c r="B217" s="10"/>
      <c r="C217" s="48"/>
      <c r="D217" s="10"/>
    </row>
    <row r="218">
      <c r="A218" s="10"/>
      <c r="B218" s="10"/>
      <c r="C218" s="48"/>
      <c r="D218" s="10"/>
    </row>
    <row r="219">
      <c r="A219" s="10"/>
      <c r="B219" s="10"/>
      <c r="C219" s="48"/>
      <c r="D219" s="10"/>
    </row>
    <row r="220">
      <c r="A220" s="10"/>
      <c r="B220" s="10"/>
      <c r="C220" s="48"/>
      <c r="D220" s="10"/>
    </row>
    <row r="221">
      <c r="A221" s="10"/>
      <c r="B221" s="10"/>
      <c r="C221" s="48"/>
      <c r="D221" s="10"/>
    </row>
    <row r="222">
      <c r="A222" s="10"/>
      <c r="B222" s="10"/>
      <c r="C222" s="48"/>
      <c r="D222" s="10"/>
    </row>
    <row r="223">
      <c r="A223" s="10"/>
      <c r="B223" s="10"/>
      <c r="C223" s="48"/>
      <c r="D223" s="10"/>
    </row>
    <row r="224">
      <c r="A224" s="10"/>
      <c r="B224" s="10"/>
      <c r="C224" s="48"/>
      <c r="D224" s="10"/>
    </row>
    <row r="225">
      <c r="A225" s="10"/>
      <c r="B225" s="10"/>
      <c r="C225" s="48"/>
      <c r="D225" s="10"/>
    </row>
    <row r="226">
      <c r="A226" s="10"/>
      <c r="B226" s="10"/>
      <c r="C226" s="48"/>
      <c r="D226" s="10"/>
    </row>
    <row r="227">
      <c r="A227" s="10"/>
      <c r="B227" s="10"/>
      <c r="C227" s="48"/>
      <c r="D227" s="10"/>
    </row>
    <row r="228">
      <c r="A228" s="10"/>
      <c r="B228" s="10"/>
      <c r="C228" s="48"/>
      <c r="D228" s="10"/>
    </row>
    <row r="229">
      <c r="A229" s="10"/>
      <c r="B229" s="10"/>
      <c r="C229" s="48"/>
      <c r="D229" s="10"/>
    </row>
    <row r="230">
      <c r="A230" s="10"/>
      <c r="B230" s="10"/>
      <c r="C230" s="48"/>
      <c r="D230" s="10"/>
    </row>
    <row r="231">
      <c r="A231" s="10"/>
      <c r="B231" s="10"/>
      <c r="C231" s="48"/>
      <c r="D231" s="10"/>
    </row>
    <row r="232">
      <c r="A232" s="10"/>
      <c r="B232" s="10"/>
      <c r="C232" s="48"/>
      <c r="D232" s="10"/>
    </row>
    <row r="233">
      <c r="A233" s="10"/>
      <c r="B233" s="10"/>
      <c r="C233" s="48"/>
      <c r="D233" s="10"/>
    </row>
    <row r="234">
      <c r="A234" s="10"/>
      <c r="B234" s="10"/>
      <c r="C234" s="48"/>
      <c r="D234" s="10"/>
    </row>
    <row r="235">
      <c r="A235" s="10"/>
      <c r="B235" s="10"/>
      <c r="C235" s="48"/>
      <c r="D235" s="10"/>
    </row>
    <row r="236">
      <c r="A236" s="10"/>
      <c r="B236" s="10"/>
      <c r="C236" s="48"/>
      <c r="D236" s="10"/>
    </row>
    <row r="237">
      <c r="A237" s="10"/>
      <c r="B237" s="10"/>
      <c r="C237" s="48"/>
      <c r="D237" s="10"/>
    </row>
    <row r="238">
      <c r="A238" s="10"/>
      <c r="B238" s="10"/>
      <c r="C238" s="48"/>
      <c r="D238" s="10"/>
    </row>
    <row r="239">
      <c r="A239" s="10"/>
      <c r="B239" s="10"/>
      <c r="C239" s="48"/>
      <c r="D239" s="10"/>
    </row>
    <row r="240">
      <c r="A240" s="10"/>
      <c r="B240" s="10"/>
      <c r="C240" s="48"/>
      <c r="D240" s="10"/>
    </row>
    <row r="241">
      <c r="A241" s="10"/>
      <c r="B241" s="10"/>
      <c r="C241" s="48"/>
      <c r="D241" s="10"/>
    </row>
    <row r="242">
      <c r="A242" s="10"/>
      <c r="B242" s="10"/>
      <c r="C242" s="48"/>
      <c r="D242" s="10"/>
    </row>
    <row r="243">
      <c r="A243" s="10"/>
      <c r="B243" s="10"/>
      <c r="C243" s="48"/>
      <c r="D243" s="10"/>
    </row>
    <row r="244">
      <c r="A244" s="10"/>
      <c r="B244" s="10"/>
      <c r="C244" s="48"/>
      <c r="D244" s="10"/>
    </row>
    <row r="245">
      <c r="A245" s="10"/>
      <c r="B245" s="10"/>
      <c r="C245" s="48"/>
      <c r="D245" s="10"/>
    </row>
    <row r="246">
      <c r="A246" s="10"/>
      <c r="B246" s="10"/>
      <c r="C246" s="48"/>
      <c r="D246" s="10"/>
    </row>
    <row r="247">
      <c r="A247" s="10"/>
      <c r="B247" s="10"/>
      <c r="C247" s="48"/>
      <c r="D247" s="10"/>
    </row>
    <row r="248">
      <c r="A248" s="10"/>
      <c r="B248" s="10"/>
      <c r="C248" s="48"/>
      <c r="D248" s="10"/>
    </row>
    <row r="249">
      <c r="A249" s="10"/>
      <c r="B249" s="10"/>
      <c r="C249" s="48"/>
      <c r="D249" s="10"/>
    </row>
    <row r="250">
      <c r="A250" s="10"/>
      <c r="B250" s="10"/>
      <c r="C250" s="48"/>
      <c r="D250" s="10"/>
    </row>
    <row r="251">
      <c r="A251" s="10"/>
      <c r="B251" s="10"/>
      <c r="C251" s="48"/>
      <c r="D251" s="10"/>
    </row>
    <row r="252">
      <c r="A252" s="10"/>
      <c r="B252" s="10"/>
      <c r="C252" s="48"/>
      <c r="D252" s="10"/>
    </row>
    <row r="253">
      <c r="A253" s="10"/>
      <c r="B253" s="10"/>
      <c r="C253" s="48"/>
      <c r="D253" s="10"/>
    </row>
    <row r="254">
      <c r="A254" s="10"/>
      <c r="B254" s="10"/>
      <c r="C254" s="48"/>
      <c r="D254" s="10"/>
    </row>
    <row r="255">
      <c r="A255" s="10"/>
      <c r="B255" s="10"/>
      <c r="C255" s="48"/>
      <c r="D255" s="10"/>
    </row>
    <row r="256">
      <c r="A256" s="10"/>
      <c r="B256" s="10"/>
      <c r="C256" s="48"/>
      <c r="D256" s="10"/>
    </row>
    <row r="257">
      <c r="A257" s="10"/>
      <c r="B257" s="10"/>
      <c r="C257" s="48"/>
      <c r="D257" s="10"/>
    </row>
    <row r="258">
      <c r="A258" s="10"/>
      <c r="B258" s="10"/>
      <c r="C258" s="48"/>
      <c r="D258" s="10"/>
    </row>
    <row r="259">
      <c r="A259" s="10"/>
      <c r="B259" s="10"/>
      <c r="C259" s="48"/>
      <c r="D259" s="10"/>
    </row>
    <row r="260">
      <c r="A260" s="10"/>
      <c r="B260" s="10"/>
      <c r="C260" s="48"/>
      <c r="D260" s="10"/>
    </row>
    <row r="261">
      <c r="A261" s="10"/>
      <c r="B261" s="10"/>
      <c r="C261" s="48"/>
      <c r="D261" s="10"/>
    </row>
    <row r="262">
      <c r="A262" s="10"/>
      <c r="B262" s="10"/>
      <c r="C262" s="48"/>
      <c r="D262" s="10"/>
    </row>
    <row r="263">
      <c r="A263" s="10"/>
      <c r="B263" s="10"/>
      <c r="C263" s="48"/>
      <c r="D263" s="10"/>
    </row>
    <row r="264">
      <c r="A264" s="10"/>
      <c r="B264" s="10"/>
      <c r="C264" s="48"/>
      <c r="D264" s="10"/>
    </row>
    <row r="265">
      <c r="A265" s="10"/>
      <c r="B265" s="10"/>
      <c r="C265" s="48"/>
      <c r="D265" s="10"/>
    </row>
    <row r="266">
      <c r="A266" s="10"/>
      <c r="B266" s="10"/>
      <c r="C266" s="48"/>
      <c r="D266" s="10"/>
    </row>
    <row r="267">
      <c r="A267" s="10"/>
      <c r="B267" s="10"/>
      <c r="C267" s="48"/>
      <c r="D267" s="10"/>
    </row>
    <row r="268">
      <c r="A268" s="10"/>
      <c r="B268" s="10"/>
      <c r="C268" s="48"/>
      <c r="D268" s="10"/>
    </row>
    <row r="269">
      <c r="A269" s="10"/>
      <c r="B269" s="10"/>
      <c r="C269" s="48"/>
      <c r="D269" s="10"/>
    </row>
    <row r="270">
      <c r="A270" s="10"/>
      <c r="B270" s="10"/>
      <c r="C270" s="48"/>
      <c r="D270" s="10"/>
    </row>
    <row r="271">
      <c r="A271" s="10"/>
      <c r="B271" s="10"/>
      <c r="C271" s="48"/>
      <c r="D271" s="10"/>
    </row>
    <row r="272">
      <c r="A272" s="10"/>
      <c r="B272" s="10"/>
      <c r="C272" s="48"/>
      <c r="D272" s="10"/>
    </row>
    <row r="273">
      <c r="A273" s="10"/>
      <c r="B273" s="10"/>
      <c r="C273" s="48"/>
      <c r="D273" s="10"/>
    </row>
    <row r="274">
      <c r="A274" s="10"/>
      <c r="B274" s="10"/>
      <c r="C274" s="48"/>
      <c r="D274" s="10"/>
    </row>
    <row r="275">
      <c r="A275" s="10"/>
      <c r="B275" s="10"/>
      <c r="C275" s="48"/>
      <c r="D275" s="10"/>
    </row>
    <row r="276">
      <c r="A276" s="10"/>
      <c r="B276" s="10"/>
      <c r="C276" s="48"/>
      <c r="D276" s="10"/>
    </row>
    <row r="277">
      <c r="A277" s="10"/>
      <c r="B277" s="10"/>
      <c r="C277" s="48"/>
      <c r="D277" s="10"/>
    </row>
    <row r="278">
      <c r="A278" s="10"/>
      <c r="B278" s="10"/>
      <c r="C278" s="48"/>
      <c r="D278" s="10"/>
    </row>
    <row r="279">
      <c r="A279" s="10"/>
      <c r="B279" s="10"/>
      <c r="C279" s="48"/>
      <c r="D279" s="10"/>
    </row>
    <row r="280">
      <c r="A280" s="10"/>
      <c r="B280" s="10"/>
      <c r="C280" s="48"/>
      <c r="D280" s="10"/>
    </row>
    <row r="281">
      <c r="A281" s="10"/>
      <c r="B281" s="10"/>
      <c r="C281" s="48"/>
      <c r="D281" s="10"/>
    </row>
    <row r="282">
      <c r="A282" s="10"/>
      <c r="B282" s="10"/>
      <c r="C282" s="48"/>
      <c r="D282" s="10"/>
    </row>
    <row r="283">
      <c r="A283" s="10"/>
      <c r="B283" s="10"/>
      <c r="C283" s="48"/>
      <c r="D283" s="10"/>
    </row>
    <row r="284">
      <c r="A284" s="10"/>
      <c r="B284" s="10"/>
      <c r="C284" s="48"/>
      <c r="D284" s="10"/>
    </row>
    <row r="285">
      <c r="A285" s="10"/>
      <c r="B285" s="10"/>
      <c r="C285" s="48"/>
      <c r="D285" s="10"/>
    </row>
    <row r="286">
      <c r="A286" s="10"/>
      <c r="B286" s="10"/>
      <c r="C286" s="48"/>
      <c r="D286" s="10"/>
    </row>
    <row r="287">
      <c r="A287" s="10"/>
      <c r="B287" s="10"/>
      <c r="C287" s="48"/>
      <c r="D287" s="10"/>
    </row>
    <row r="288">
      <c r="A288" s="10"/>
      <c r="B288" s="10"/>
      <c r="C288" s="48"/>
      <c r="D288" s="10"/>
    </row>
    <row r="289">
      <c r="A289" s="10"/>
      <c r="B289" s="10"/>
      <c r="C289" s="48"/>
      <c r="D289" s="10"/>
    </row>
    <row r="290">
      <c r="A290" s="10"/>
      <c r="B290" s="10"/>
      <c r="C290" s="48"/>
      <c r="D290" s="10"/>
    </row>
    <row r="291">
      <c r="A291" s="10"/>
      <c r="B291" s="10"/>
      <c r="C291" s="48"/>
      <c r="D291" s="10"/>
    </row>
    <row r="292">
      <c r="A292" s="10"/>
      <c r="B292" s="10"/>
      <c r="C292" s="48"/>
      <c r="D292" s="10"/>
    </row>
    <row r="293">
      <c r="A293" s="10"/>
      <c r="B293" s="10"/>
      <c r="C293" s="48"/>
      <c r="D293" s="10"/>
    </row>
    <row r="294">
      <c r="A294" s="10"/>
      <c r="B294" s="10"/>
      <c r="C294" s="48"/>
      <c r="D294" s="10"/>
    </row>
    <row r="295">
      <c r="A295" s="10"/>
      <c r="B295" s="10"/>
      <c r="C295" s="48"/>
      <c r="D295" s="10"/>
    </row>
    <row r="296">
      <c r="A296" s="10"/>
      <c r="B296" s="10"/>
      <c r="C296" s="48"/>
      <c r="D296" s="10"/>
    </row>
    <row r="297">
      <c r="A297" s="10"/>
      <c r="B297" s="10"/>
      <c r="C297" s="48"/>
      <c r="D297" s="10"/>
    </row>
    <row r="298">
      <c r="A298" s="10"/>
      <c r="B298" s="10"/>
      <c r="C298" s="48"/>
      <c r="D298" s="10"/>
    </row>
    <row r="299">
      <c r="A299" s="10"/>
      <c r="B299" s="10"/>
      <c r="C299" s="48"/>
      <c r="D299" s="10"/>
    </row>
    <row r="300">
      <c r="A300" s="10"/>
      <c r="B300" s="10"/>
      <c r="C300" s="48"/>
      <c r="D300" s="10"/>
    </row>
    <row r="301">
      <c r="A301" s="10"/>
      <c r="B301" s="10"/>
      <c r="C301" s="48"/>
      <c r="D301" s="10"/>
    </row>
    <row r="302">
      <c r="A302" s="10"/>
      <c r="B302" s="10"/>
      <c r="C302" s="48"/>
      <c r="D302" s="10"/>
    </row>
    <row r="303">
      <c r="A303" s="10"/>
      <c r="B303" s="10"/>
      <c r="C303" s="48"/>
      <c r="D303" s="10"/>
    </row>
    <row r="304">
      <c r="A304" s="10"/>
      <c r="B304" s="10"/>
      <c r="C304" s="48"/>
      <c r="D304" s="10"/>
    </row>
    <row r="305">
      <c r="A305" s="10"/>
      <c r="B305" s="10"/>
      <c r="C305" s="48"/>
      <c r="D305" s="10"/>
    </row>
    <row r="306">
      <c r="A306" s="10"/>
      <c r="B306" s="10"/>
      <c r="C306" s="48"/>
      <c r="D306" s="10"/>
    </row>
    <row r="307">
      <c r="A307" s="10"/>
      <c r="B307" s="10"/>
      <c r="C307" s="48"/>
      <c r="D307" s="10"/>
    </row>
    <row r="308">
      <c r="A308" s="10"/>
      <c r="B308" s="10"/>
      <c r="C308" s="48"/>
      <c r="D308" s="10"/>
    </row>
    <row r="309">
      <c r="A309" s="10"/>
      <c r="B309" s="10"/>
      <c r="C309" s="48"/>
      <c r="D309" s="10"/>
    </row>
    <row r="310">
      <c r="A310" s="10"/>
      <c r="B310" s="10"/>
      <c r="C310" s="48"/>
      <c r="D310" s="10"/>
    </row>
    <row r="311">
      <c r="A311" s="10"/>
      <c r="B311" s="10"/>
      <c r="C311" s="48"/>
      <c r="D311" s="10"/>
    </row>
    <row r="312">
      <c r="A312" s="10"/>
      <c r="B312" s="10"/>
      <c r="C312" s="48"/>
      <c r="D312" s="10"/>
    </row>
    <row r="313">
      <c r="A313" s="10"/>
      <c r="B313" s="10"/>
      <c r="C313" s="48"/>
      <c r="D313" s="10"/>
    </row>
    <row r="314">
      <c r="A314" s="10"/>
      <c r="B314" s="10"/>
      <c r="C314" s="48"/>
      <c r="D314" s="10"/>
    </row>
    <row r="315">
      <c r="A315" s="10"/>
      <c r="B315" s="10"/>
      <c r="C315" s="48"/>
      <c r="D315" s="10"/>
    </row>
    <row r="316">
      <c r="A316" s="10"/>
      <c r="B316" s="10"/>
      <c r="C316" s="48"/>
      <c r="D316" s="10"/>
    </row>
    <row r="317">
      <c r="A317" s="10"/>
      <c r="B317" s="10"/>
      <c r="C317" s="48"/>
      <c r="D317" s="10"/>
    </row>
    <row r="318">
      <c r="A318" s="10"/>
      <c r="B318" s="10"/>
      <c r="C318" s="48"/>
      <c r="D318" s="10"/>
    </row>
    <row r="319">
      <c r="A319" s="10"/>
      <c r="B319" s="10"/>
      <c r="C319" s="48"/>
      <c r="D319" s="10"/>
    </row>
    <row r="320">
      <c r="A320" s="10"/>
      <c r="B320" s="10"/>
      <c r="C320" s="48"/>
      <c r="D320" s="10"/>
    </row>
    <row r="321">
      <c r="A321" s="10"/>
      <c r="B321" s="10"/>
      <c r="C321" s="48"/>
      <c r="D321" s="10"/>
    </row>
    <row r="322">
      <c r="A322" s="10"/>
      <c r="B322" s="10"/>
      <c r="C322" s="48"/>
      <c r="D322" s="10"/>
    </row>
    <row r="323">
      <c r="A323" s="10"/>
      <c r="B323" s="10"/>
      <c r="C323" s="48"/>
      <c r="D323" s="10"/>
    </row>
    <row r="324">
      <c r="A324" s="10"/>
      <c r="B324" s="10"/>
      <c r="C324" s="48"/>
      <c r="D324" s="10"/>
    </row>
    <row r="325">
      <c r="A325" s="10"/>
      <c r="B325" s="10"/>
      <c r="C325" s="48"/>
      <c r="D325" s="10"/>
    </row>
    <row r="326">
      <c r="A326" s="10"/>
      <c r="B326" s="10"/>
      <c r="C326" s="48"/>
      <c r="D326" s="10"/>
    </row>
    <row r="327">
      <c r="A327" s="10"/>
      <c r="B327" s="10"/>
      <c r="C327" s="48"/>
      <c r="D327" s="10"/>
    </row>
    <row r="328">
      <c r="A328" s="10"/>
      <c r="B328" s="10"/>
      <c r="C328" s="48"/>
      <c r="D328" s="10"/>
    </row>
    <row r="329">
      <c r="A329" s="10"/>
      <c r="B329" s="10"/>
      <c r="C329" s="48"/>
      <c r="D329" s="10"/>
    </row>
    <row r="330">
      <c r="A330" s="10"/>
      <c r="B330" s="10"/>
      <c r="C330" s="48"/>
      <c r="D330" s="10"/>
    </row>
    <row r="331">
      <c r="A331" s="10"/>
      <c r="B331" s="10"/>
      <c r="C331" s="48"/>
      <c r="D331" s="10"/>
    </row>
    <row r="332">
      <c r="A332" s="10"/>
      <c r="B332" s="10"/>
      <c r="C332" s="48"/>
      <c r="D332" s="10"/>
    </row>
    <row r="333">
      <c r="A333" s="10"/>
      <c r="B333" s="10"/>
      <c r="C333" s="48"/>
      <c r="D333" s="10"/>
    </row>
    <row r="334">
      <c r="A334" s="10"/>
      <c r="B334" s="10"/>
      <c r="C334" s="48"/>
      <c r="D334" s="10"/>
    </row>
    <row r="335">
      <c r="A335" s="10"/>
      <c r="B335" s="10"/>
      <c r="C335" s="48"/>
      <c r="D335" s="10"/>
    </row>
    <row r="336">
      <c r="A336" s="10"/>
      <c r="B336" s="10"/>
      <c r="C336" s="48"/>
      <c r="D336" s="10"/>
    </row>
    <row r="337">
      <c r="A337" s="10"/>
      <c r="B337" s="10"/>
      <c r="C337" s="48"/>
      <c r="D337" s="10"/>
    </row>
    <row r="338">
      <c r="A338" s="10"/>
      <c r="B338" s="10"/>
      <c r="C338" s="48"/>
      <c r="D338" s="10"/>
    </row>
    <row r="339">
      <c r="A339" s="10"/>
      <c r="B339" s="10"/>
      <c r="C339" s="48"/>
      <c r="D339" s="10"/>
    </row>
    <row r="340">
      <c r="A340" s="10"/>
      <c r="B340" s="10"/>
      <c r="C340" s="48"/>
      <c r="D340" s="10"/>
    </row>
    <row r="341">
      <c r="A341" s="10"/>
      <c r="B341" s="10"/>
      <c r="C341" s="48"/>
      <c r="D341" s="10"/>
    </row>
    <row r="342">
      <c r="A342" s="10"/>
      <c r="B342" s="10"/>
      <c r="C342" s="48"/>
      <c r="D342" s="10"/>
    </row>
    <row r="343">
      <c r="A343" s="10"/>
      <c r="B343" s="10"/>
      <c r="C343" s="48"/>
      <c r="D343" s="10"/>
    </row>
    <row r="344">
      <c r="A344" s="10"/>
      <c r="B344" s="10"/>
      <c r="C344" s="48"/>
      <c r="D344" s="10"/>
    </row>
    <row r="345">
      <c r="A345" s="10"/>
      <c r="B345" s="10"/>
      <c r="C345" s="48"/>
      <c r="D345" s="10"/>
    </row>
    <row r="346">
      <c r="A346" s="10"/>
      <c r="B346" s="10"/>
      <c r="C346" s="48"/>
      <c r="D346" s="10"/>
    </row>
    <row r="347">
      <c r="A347" s="10"/>
      <c r="B347" s="10"/>
      <c r="C347" s="48"/>
      <c r="D347" s="10"/>
    </row>
    <row r="348">
      <c r="A348" s="10"/>
      <c r="B348" s="10"/>
      <c r="C348" s="48"/>
      <c r="D348" s="10"/>
    </row>
    <row r="349">
      <c r="A349" s="10"/>
      <c r="B349" s="10"/>
      <c r="C349" s="48"/>
      <c r="D349" s="10"/>
    </row>
    <row r="350">
      <c r="A350" s="10"/>
      <c r="B350" s="10"/>
      <c r="C350" s="48"/>
      <c r="D350" s="10"/>
    </row>
    <row r="351">
      <c r="A351" s="10"/>
      <c r="B351" s="10"/>
      <c r="C351" s="48"/>
      <c r="D351" s="10"/>
    </row>
    <row r="352">
      <c r="A352" s="10"/>
      <c r="B352" s="10"/>
      <c r="C352" s="48"/>
      <c r="D352" s="10"/>
    </row>
    <row r="353">
      <c r="A353" s="10"/>
      <c r="B353" s="10"/>
      <c r="C353" s="48"/>
      <c r="D353" s="10"/>
    </row>
    <row r="354">
      <c r="A354" s="10"/>
      <c r="B354" s="10"/>
      <c r="C354" s="48"/>
      <c r="D354" s="10"/>
    </row>
    <row r="355">
      <c r="A355" s="10"/>
      <c r="B355" s="10"/>
      <c r="C355" s="48"/>
      <c r="D355" s="10"/>
    </row>
    <row r="356">
      <c r="A356" s="10"/>
      <c r="B356" s="10"/>
      <c r="C356" s="48"/>
      <c r="D356" s="10"/>
    </row>
    <row r="357">
      <c r="A357" s="10"/>
      <c r="B357" s="10"/>
      <c r="C357" s="48"/>
      <c r="D357" s="10"/>
    </row>
    <row r="358">
      <c r="A358" s="10"/>
      <c r="B358" s="10"/>
      <c r="C358" s="48"/>
      <c r="D358" s="10"/>
    </row>
    <row r="359">
      <c r="A359" s="10"/>
      <c r="B359" s="10"/>
      <c r="C359" s="48"/>
      <c r="D359" s="10"/>
    </row>
    <row r="360">
      <c r="A360" s="10"/>
      <c r="B360" s="10"/>
      <c r="C360" s="48"/>
      <c r="D360" s="10"/>
    </row>
    <row r="361">
      <c r="A361" s="10"/>
      <c r="B361" s="10"/>
      <c r="C361" s="48"/>
      <c r="D361" s="10"/>
    </row>
    <row r="362">
      <c r="A362" s="10"/>
      <c r="B362" s="10"/>
      <c r="C362" s="48"/>
      <c r="D362" s="10"/>
    </row>
    <row r="363">
      <c r="A363" s="10"/>
      <c r="B363" s="10"/>
      <c r="C363" s="48"/>
      <c r="D363" s="10"/>
    </row>
    <row r="364">
      <c r="A364" s="10"/>
      <c r="B364" s="10"/>
      <c r="C364" s="48"/>
      <c r="D364" s="10"/>
    </row>
    <row r="365">
      <c r="A365" s="10"/>
      <c r="B365" s="10"/>
      <c r="C365" s="48"/>
      <c r="D365" s="10"/>
    </row>
    <row r="366">
      <c r="A366" s="10"/>
      <c r="B366" s="10"/>
      <c r="C366" s="48"/>
      <c r="D366" s="10"/>
    </row>
    <row r="367">
      <c r="A367" s="10"/>
      <c r="B367" s="10"/>
      <c r="C367" s="48"/>
      <c r="D367" s="10"/>
    </row>
    <row r="368">
      <c r="A368" s="10"/>
      <c r="B368" s="10"/>
      <c r="C368" s="48"/>
      <c r="D368" s="10"/>
    </row>
    <row r="369">
      <c r="A369" s="10"/>
      <c r="B369" s="10"/>
      <c r="C369" s="48"/>
      <c r="D369" s="10"/>
    </row>
    <row r="370">
      <c r="A370" s="10"/>
      <c r="B370" s="10"/>
      <c r="C370" s="48"/>
      <c r="D370" s="10"/>
    </row>
    <row r="371">
      <c r="A371" s="10"/>
      <c r="B371" s="10"/>
      <c r="C371" s="48"/>
      <c r="D371" s="10"/>
    </row>
    <row r="372">
      <c r="A372" s="10"/>
      <c r="B372" s="10"/>
      <c r="C372" s="48"/>
      <c r="D372" s="10"/>
    </row>
    <row r="373">
      <c r="A373" s="10"/>
      <c r="B373" s="10"/>
      <c r="C373" s="48"/>
      <c r="D373" s="10"/>
    </row>
    <row r="374">
      <c r="A374" s="10"/>
      <c r="B374" s="10"/>
      <c r="C374" s="48"/>
      <c r="D374" s="10"/>
    </row>
    <row r="375">
      <c r="A375" s="10"/>
      <c r="B375" s="10"/>
      <c r="C375" s="48"/>
      <c r="D375" s="10"/>
    </row>
    <row r="376">
      <c r="A376" s="10"/>
      <c r="B376" s="10"/>
      <c r="C376" s="48"/>
      <c r="D376" s="10"/>
    </row>
    <row r="377">
      <c r="A377" s="10"/>
      <c r="B377" s="10"/>
      <c r="C377" s="48"/>
      <c r="D377" s="10"/>
    </row>
    <row r="378">
      <c r="A378" s="10"/>
      <c r="B378" s="10"/>
      <c r="C378" s="48"/>
      <c r="D378" s="10"/>
    </row>
    <row r="379">
      <c r="A379" s="10"/>
      <c r="B379" s="10"/>
      <c r="C379" s="48"/>
      <c r="D379" s="10"/>
    </row>
    <row r="380">
      <c r="A380" s="10"/>
      <c r="B380" s="10"/>
      <c r="C380" s="48"/>
      <c r="D380" s="10"/>
    </row>
    <row r="381">
      <c r="A381" s="10"/>
      <c r="B381" s="10"/>
      <c r="C381" s="48"/>
      <c r="D381" s="10"/>
    </row>
    <row r="382">
      <c r="A382" s="10"/>
      <c r="B382" s="10"/>
      <c r="C382" s="48"/>
      <c r="D382" s="10"/>
    </row>
    <row r="383">
      <c r="A383" s="10"/>
      <c r="B383" s="10"/>
      <c r="C383" s="48"/>
      <c r="D383" s="10"/>
    </row>
    <row r="384">
      <c r="A384" s="10"/>
      <c r="B384" s="10"/>
      <c r="C384" s="48"/>
      <c r="D384" s="10"/>
    </row>
    <row r="385">
      <c r="A385" s="10"/>
      <c r="B385" s="10"/>
      <c r="C385" s="48"/>
      <c r="D385" s="10"/>
    </row>
    <row r="386">
      <c r="A386" s="10"/>
      <c r="B386" s="10"/>
      <c r="C386" s="48"/>
      <c r="D386" s="10"/>
    </row>
    <row r="387">
      <c r="A387" s="10"/>
      <c r="B387" s="10"/>
      <c r="C387" s="48"/>
      <c r="D387" s="10"/>
    </row>
    <row r="388">
      <c r="A388" s="10"/>
      <c r="B388" s="10"/>
      <c r="C388" s="48"/>
      <c r="D388" s="10"/>
    </row>
    <row r="389">
      <c r="A389" s="10"/>
      <c r="B389" s="10"/>
      <c r="C389" s="48"/>
      <c r="D389" s="10"/>
    </row>
    <row r="390">
      <c r="A390" s="10"/>
      <c r="B390" s="10"/>
      <c r="C390" s="48"/>
      <c r="D390" s="10"/>
    </row>
    <row r="391">
      <c r="A391" s="10"/>
      <c r="B391" s="10"/>
      <c r="C391" s="48"/>
      <c r="D391" s="10"/>
    </row>
    <row r="392">
      <c r="A392" s="10"/>
      <c r="B392" s="10"/>
      <c r="C392" s="48"/>
      <c r="D392" s="10"/>
    </row>
    <row r="393">
      <c r="A393" s="10"/>
      <c r="B393" s="10"/>
      <c r="C393" s="48"/>
      <c r="D393" s="10"/>
    </row>
    <row r="394">
      <c r="A394" s="10"/>
      <c r="B394" s="10"/>
      <c r="C394" s="48"/>
      <c r="D394" s="10"/>
    </row>
    <row r="395">
      <c r="A395" s="10"/>
      <c r="B395" s="10"/>
      <c r="C395" s="48"/>
      <c r="D395" s="10"/>
    </row>
    <row r="396">
      <c r="A396" s="10"/>
      <c r="B396" s="10"/>
      <c r="C396" s="48"/>
      <c r="D396" s="10"/>
    </row>
    <row r="397">
      <c r="A397" s="10"/>
      <c r="B397" s="10"/>
      <c r="C397" s="48"/>
      <c r="D397" s="10"/>
    </row>
    <row r="398">
      <c r="A398" s="10"/>
      <c r="B398" s="10"/>
      <c r="C398" s="48"/>
      <c r="D398" s="10"/>
    </row>
    <row r="399">
      <c r="A399" s="10"/>
      <c r="B399" s="10"/>
      <c r="C399" s="48"/>
      <c r="D399" s="10"/>
    </row>
    <row r="400">
      <c r="A400" s="10"/>
      <c r="B400" s="10"/>
      <c r="C400" s="48"/>
      <c r="D400" s="10"/>
    </row>
    <row r="401">
      <c r="A401" s="10"/>
      <c r="B401" s="10"/>
      <c r="C401" s="48"/>
      <c r="D401" s="10"/>
    </row>
    <row r="402">
      <c r="A402" s="10"/>
      <c r="B402" s="10"/>
      <c r="C402" s="48"/>
      <c r="D402" s="10"/>
    </row>
    <row r="403">
      <c r="A403" s="10"/>
      <c r="B403" s="10"/>
      <c r="C403" s="48"/>
      <c r="D403" s="10"/>
    </row>
    <row r="404">
      <c r="A404" s="10"/>
      <c r="B404" s="10"/>
      <c r="C404" s="48"/>
      <c r="D404" s="10"/>
    </row>
    <row r="405">
      <c r="A405" s="10"/>
      <c r="B405" s="10"/>
      <c r="C405" s="48"/>
      <c r="D405" s="10"/>
    </row>
    <row r="406">
      <c r="A406" s="10"/>
      <c r="B406" s="10"/>
      <c r="C406" s="48"/>
      <c r="D406" s="10"/>
    </row>
    <row r="407">
      <c r="A407" s="10"/>
      <c r="B407" s="10"/>
      <c r="C407" s="48"/>
      <c r="D407" s="10"/>
    </row>
    <row r="408">
      <c r="A408" s="10"/>
      <c r="B408" s="10"/>
      <c r="C408" s="48"/>
      <c r="D408" s="10"/>
    </row>
    <row r="409">
      <c r="A409" s="10"/>
      <c r="B409" s="10"/>
      <c r="C409" s="48"/>
      <c r="D409" s="10"/>
    </row>
    <row r="410">
      <c r="A410" s="10"/>
      <c r="B410" s="10"/>
      <c r="C410" s="48"/>
      <c r="D410" s="10"/>
    </row>
    <row r="411">
      <c r="A411" s="10"/>
      <c r="B411" s="10"/>
      <c r="C411" s="48"/>
      <c r="D411" s="10"/>
    </row>
    <row r="412">
      <c r="A412" s="10"/>
      <c r="B412" s="10"/>
      <c r="C412" s="48"/>
      <c r="D412" s="10"/>
    </row>
    <row r="413">
      <c r="A413" s="10"/>
      <c r="B413" s="10"/>
      <c r="C413" s="48"/>
      <c r="D413" s="10"/>
    </row>
    <row r="414">
      <c r="A414" s="10"/>
      <c r="B414" s="10"/>
      <c r="C414" s="48"/>
      <c r="D414" s="10"/>
    </row>
    <row r="415">
      <c r="A415" s="10"/>
      <c r="B415" s="10"/>
      <c r="C415" s="48"/>
      <c r="D415" s="10"/>
    </row>
    <row r="416">
      <c r="A416" s="10"/>
      <c r="B416" s="10"/>
      <c r="C416" s="48"/>
      <c r="D416" s="10"/>
    </row>
    <row r="417">
      <c r="A417" s="10"/>
      <c r="B417" s="10"/>
      <c r="C417" s="48"/>
      <c r="D417" s="10"/>
    </row>
    <row r="418">
      <c r="A418" s="10"/>
      <c r="B418" s="10"/>
      <c r="C418" s="48"/>
      <c r="D418" s="10"/>
    </row>
    <row r="419">
      <c r="A419" s="10"/>
      <c r="B419" s="10"/>
      <c r="C419" s="48"/>
      <c r="D419" s="10"/>
    </row>
    <row r="420">
      <c r="A420" s="10"/>
      <c r="B420" s="10"/>
      <c r="C420" s="48"/>
      <c r="D420" s="10"/>
    </row>
    <row r="421">
      <c r="A421" s="10"/>
      <c r="B421" s="10"/>
      <c r="C421" s="48"/>
      <c r="D421" s="10"/>
    </row>
    <row r="422">
      <c r="A422" s="10"/>
      <c r="B422" s="10"/>
      <c r="C422" s="48"/>
      <c r="D422" s="10"/>
    </row>
    <row r="423">
      <c r="A423" s="10"/>
      <c r="B423" s="10"/>
      <c r="C423" s="48"/>
      <c r="D423" s="10"/>
    </row>
    <row r="424">
      <c r="A424" s="10"/>
      <c r="B424" s="10"/>
      <c r="C424" s="48"/>
      <c r="D424" s="10"/>
    </row>
    <row r="425">
      <c r="A425" s="10"/>
      <c r="B425" s="10"/>
      <c r="C425" s="48"/>
      <c r="D425" s="10"/>
    </row>
    <row r="426">
      <c r="A426" s="10"/>
      <c r="B426" s="10"/>
      <c r="C426" s="48"/>
      <c r="D426" s="10"/>
    </row>
    <row r="427">
      <c r="A427" s="10"/>
      <c r="B427" s="10"/>
      <c r="C427" s="48"/>
      <c r="D427" s="10"/>
    </row>
    <row r="428">
      <c r="A428" s="10"/>
      <c r="B428" s="10"/>
      <c r="C428" s="48"/>
      <c r="D428" s="10"/>
    </row>
    <row r="429">
      <c r="A429" s="10"/>
      <c r="B429" s="10"/>
      <c r="C429" s="48"/>
      <c r="D429" s="10"/>
    </row>
    <row r="430">
      <c r="A430" s="10"/>
      <c r="B430" s="10"/>
      <c r="C430" s="48"/>
      <c r="D430" s="10"/>
    </row>
    <row r="431">
      <c r="A431" s="10"/>
      <c r="B431" s="10"/>
      <c r="C431" s="48"/>
      <c r="D431" s="10"/>
    </row>
    <row r="432">
      <c r="A432" s="10"/>
      <c r="B432" s="10"/>
      <c r="C432" s="48"/>
      <c r="D432" s="10"/>
    </row>
    <row r="433">
      <c r="A433" s="10"/>
      <c r="B433" s="10"/>
      <c r="C433" s="48"/>
      <c r="D433" s="10"/>
    </row>
    <row r="434">
      <c r="A434" s="10"/>
      <c r="B434" s="10"/>
      <c r="C434" s="48"/>
      <c r="D434" s="10"/>
    </row>
    <row r="435">
      <c r="A435" s="10"/>
      <c r="B435" s="10"/>
      <c r="C435" s="48"/>
      <c r="D435" s="10"/>
    </row>
    <row r="436">
      <c r="A436" s="10"/>
      <c r="B436" s="10"/>
      <c r="C436" s="48"/>
      <c r="D436" s="10"/>
    </row>
    <row r="437">
      <c r="A437" s="10"/>
      <c r="B437" s="10"/>
      <c r="C437" s="48"/>
      <c r="D437" s="10"/>
    </row>
    <row r="438">
      <c r="A438" s="10"/>
      <c r="B438" s="10"/>
      <c r="C438" s="48"/>
      <c r="D438" s="10"/>
    </row>
    <row r="439">
      <c r="A439" s="10"/>
      <c r="B439" s="10"/>
      <c r="C439" s="48"/>
      <c r="D439" s="10"/>
    </row>
    <row r="440">
      <c r="A440" s="10"/>
      <c r="B440" s="10"/>
      <c r="C440" s="48"/>
      <c r="D440" s="10"/>
    </row>
    <row r="441">
      <c r="A441" s="10"/>
      <c r="B441" s="10"/>
      <c r="C441" s="48"/>
      <c r="D441" s="10"/>
    </row>
    <row r="442">
      <c r="A442" s="10"/>
      <c r="B442" s="10"/>
      <c r="C442" s="48"/>
      <c r="D442" s="10"/>
    </row>
    <row r="443">
      <c r="A443" s="10"/>
      <c r="B443" s="10"/>
      <c r="C443" s="48"/>
      <c r="D443" s="10"/>
    </row>
    <row r="444">
      <c r="A444" s="10"/>
      <c r="B444" s="10"/>
      <c r="C444" s="48"/>
      <c r="D444" s="10"/>
    </row>
    <row r="445">
      <c r="A445" s="10"/>
      <c r="B445" s="10"/>
      <c r="C445" s="48"/>
      <c r="D445" s="10"/>
    </row>
    <row r="446">
      <c r="A446" s="10"/>
      <c r="B446" s="10"/>
      <c r="C446" s="48"/>
      <c r="D446" s="10"/>
    </row>
    <row r="447">
      <c r="A447" s="10"/>
      <c r="B447" s="10"/>
      <c r="C447" s="48"/>
      <c r="D447" s="10"/>
    </row>
    <row r="448">
      <c r="A448" s="10"/>
      <c r="B448" s="10"/>
      <c r="C448" s="48"/>
      <c r="D448" s="10"/>
    </row>
    <row r="449">
      <c r="A449" s="10"/>
      <c r="B449" s="10"/>
      <c r="C449" s="48"/>
      <c r="D449" s="10"/>
    </row>
    <row r="450">
      <c r="A450" s="10"/>
      <c r="B450" s="10"/>
      <c r="C450" s="48"/>
      <c r="D450" s="10"/>
    </row>
    <row r="451">
      <c r="A451" s="10"/>
      <c r="B451" s="10"/>
      <c r="C451" s="48"/>
      <c r="D451" s="10"/>
    </row>
    <row r="452">
      <c r="A452" s="10"/>
      <c r="B452" s="10"/>
      <c r="C452" s="48"/>
      <c r="D452" s="10"/>
    </row>
    <row r="453">
      <c r="A453" s="10"/>
      <c r="B453" s="10"/>
      <c r="C453" s="48"/>
      <c r="D453" s="10"/>
    </row>
    <row r="454">
      <c r="A454" s="10"/>
      <c r="B454" s="10"/>
      <c r="C454" s="48"/>
      <c r="D454" s="10"/>
    </row>
    <row r="455">
      <c r="A455" s="10"/>
      <c r="B455" s="10"/>
      <c r="C455" s="48"/>
      <c r="D455" s="10"/>
    </row>
    <row r="456">
      <c r="A456" s="10"/>
      <c r="B456" s="10"/>
      <c r="C456" s="48"/>
      <c r="D456" s="10"/>
    </row>
    <row r="457">
      <c r="A457" s="10"/>
      <c r="B457" s="10"/>
      <c r="C457" s="48"/>
      <c r="D457" s="10"/>
    </row>
    <row r="458">
      <c r="A458" s="10"/>
      <c r="B458" s="10"/>
      <c r="C458" s="48"/>
      <c r="D458" s="10"/>
    </row>
    <row r="459">
      <c r="A459" s="10"/>
      <c r="B459" s="10"/>
      <c r="C459" s="48"/>
      <c r="D459" s="10"/>
    </row>
    <row r="460">
      <c r="A460" s="10"/>
      <c r="B460" s="10"/>
      <c r="C460" s="48"/>
      <c r="D460" s="10"/>
    </row>
    <row r="461">
      <c r="A461" s="10"/>
      <c r="B461" s="10"/>
      <c r="C461" s="48"/>
      <c r="D461" s="10"/>
    </row>
    <row r="462">
      <c r="A462" s="10"/>
      <c r="B462" s="10"/>
      <c r="C462" s="48"/>
      <c r="D462" s="10"/>
    </row>
    <row r="463">
      <c r="A463" s="10"/>
      <c r="B463" s="10"/>
      <c r="C463" s="48"/>
      <c r="D463" s="10"/>
    </row>
    <row r="464">
      <c r="A464" s="10"/>
      <c r="B464" s="10"/>
      <c r="C464" s="48"/>
      <c r="D464" s="10"/>
    </row>
    <row r="465">
      <c r="A465" s="10"/>
      <c r="B465" s="10"/>
      <c r="C465" s="48"/>
      <c r="D465" s="10"/>
    </row>
    <row r="466">
      <c r="A466" s="10"/>
      <c r="B466" s="10"/>
      <c r="C466" s="48"/>
      <c r="D466" s="10"/>
    </row>
    <row r="467">
      <c r="A467" s="10"/>
      <c r="B467" s="10"/>
      <c r="C467" s="48"/>
      <c r="D467" s="10"/>
    </row>
    <row r="468">
      <c r="A468" s="10"/>
      <c r="B468" s="10"/>
      <c r="C468" s="48"/>
      <c r="D468" s="10"/>
    </row>
    <row r="469">
      <c r="A469" s="10"/>
      <c r="B469" s="10"/>
      <c r="C469" s="48"/>
      <c r="D469" s="10"/>
    </row>
    <row r="470">
      <c r="A470" s="10"/>
      <c r="B470" s="10"/>
      <c r="C470" s="48"/>
      <c r="D470" s="10"/>
    </row>
    <row r="471">
      <c r="A471" s="10"/>
      <c r="B471" s="10"/>
      <c r="C471" s="48"/>
      <c r="D471" s="10"/>
    </row>
    <row r="472">
      <c r="A472" s="10"/>
      <c r="B472" s="10"/>
      <c r="C472" s="48"/>
      <c r="D472" s="10"/>
    </row>
    <row r="473">
      <c r="A473" s="10"/>
      <c r="B473" s="10"/>
      <c r="C473" s="48"/>
      <c r="D473" s="10"/>
    </row>
    <row r="474">
      <c r="A474" s="10"/>
      <c r="B474" s="10"/>
      <c r="C474" s="48"/>
      <c r="D474" s="10"/>
    </row>
    <row r="475">
      <c r="A475" s="10"/>
      <c r="B475" s="10"/>
      <c r="C475" s="48"/>
      <c r="D475" s="10"/>
    </row>
    <row r="476">
      <c r="A476" s="10"/>
      <c r="B476" s="10"/>
      <c r="C476" s="48"/>
      <c r="D476" s="10"/>
    </row>
    <row r="477">
      <c r="A477" s="10"/>
      <c r="B477" s="10"/>
      <c r="C477" s="48"/>
      <c r="D477" s="10"/>
    </row>
    <row r="478">
      <c r="A478" s="10"/>
      <c r="B478" s="10"/>
      <c r="C478" s="48"/>
      <c r="D478" s="10"/>
    </row>
    <row r="479">
      <c r="A479" s="10"/>
      <c r="B479" s="10"/>
      <c r="C479" s="48"/>
      <c r="D479" s="10"/>
    </row>
    <row r="480">
      <c r="A480" s="10"/>
      <c r="B480" s="10"/>
      <c r="C480" s="48"/>
      <c r="D480" s="10"/>
    </row>
    <row r="481">
      <c r="A481" s="10"/>
      <c r="B481" s="10"/>
      <c r="C481" s="48"/>
      <c r="D481" s="10"/>
    </row>
    <row r="482">
      <c r="A482" s="10"/>
      <c r="B482" s="10"/>
      <c r="C482" s="48"/>
      <c r="D482" s="10"/>
    </row>
    <row r="483">
      <c r="A483" s="10"/>
      <c r="B483" s="10"/>
      <c r="C483" s="48"/>
      <c r="D483" s="10"/>
    </row>
    <row r="484">
      <c r="A484" s="10"/>
      <c r="B484" s="10"/>
      <c r="C484" s="48"/>
      <c r="D484" s="10"/>
    </row>
    <row r="485">
      <c r="A485" s="10"/>
      <c r="B485" s="10"/>
      <c r="C485" s="48"/>
      <c r="D485" s="10"/>
    </row>
    <row r="486">
      <c r="A486" s="10"/>
      <c r="B486" s="10"/>
      <c r="C486" s="48"/>
      <c r="D486" s="10"/>
    </row>
    <row r="487">
      <c r="A487" s="10"/>
      <c r="B487" s="10"/>
      <c r="C487" s="48"/>
      <c r="D487" s="10"/>
    </row>
    <row r="488">
      <c r="A488" s="10"/>
      <c r="B488" s="10"/>
      <c r="C488" s="48"/>
      <c r="D488" s="10"/>
    </row>
    <row r="489">
      <c r="A489" s="10"/>
      <c r="B489" s="10"/>
      <c r="C489" s="48"/>
      <c r="D489" s="10"/>
    </row>
    <row r="490">
      <c r="A490" s="10"/>
      <c r="B490" s="10"/>
      <c r="C490" s="48"/>
      <c r="D490" s="10"/>
    </row>
    <row r="491">
      <c r="A491" s="10"/>
      <c r="B491" s="10"/>
      <c r="C491" s="48"/>
      <c r="D491" s="10"/>
    </row>
    <row r="492">
      <c r="A492" s="10"/>
      <c r="B492" s="10"/>
      <c r="C492" s="48"/>
      <c r="D492" s="10"/>
    </row>
    <row r="493">
      <c r="A493" s="10"/>
      <c r="B493" s="10"/>
      <c r="C493" s="48"/>
      <c r="D493" s="10"/>
    </row>
    <row r="494">
      <c r="A494" s="10"/>
      <c r="B494" s="10"/>
      <c r="C494" s="48"/>
      <c r="D494" s="10"/>
    </row>
    <row r="495">
      <c r="A495" s="10"/>
      <c r="B495" s="10"/>
      <c r="C495" s="48"/>
      <c r="D495" s="10"/>
    </row>
    <row r="496">
      <c r="A496" s="10"/>
      <c r="B496" s="10"/>
      <c r="C496" s="48"/>
      <c r="D496" s="10"/>
    </row>
    <row r="497">
      <c r="A497" s="10"/>
      <c r="B497" s="10"/>
      <c r="C497" s="48"/>
      <c r="D497" s="10"/>
    </row>
    <row r="498">
      <c r="A498" s="10"/>
      <c r="B498" s="10"/>
      <c r="C498" s="48"/>
      <c r="D498" s="10"/>
    </row>
    <row r="499">
      <c r="A499" s="10"/>
      <c r="B499" s="10"/>
      <c r="C499" s="48"/>
      <c r="D499" s="10"/>
    </row>
    <row r="500">
      <c r="A500" s="10"/>
      <c r="B500" s="10"/>
      <c r="C500" s="48"/>
      <c r="D500" s="10"/>
    </row>
    <row r="501">
      <c r="A501" s="10"/>
      <c r="B501" s="10"/>
      <c r="C501" s="48"/>
      <c r="D501" s="10"/>
    </row>
    <row r="502">
      <c r="A502" s="10"/>
      <c r="B502" s="10"/>
      <c r="C502" s="48"/>
      <c r="D502" s="10"/>
    </row>
    <row r="503">
      <c r="A503" s="10"/>
      <c r="B503" s="10"/>
      <c r="C503" s="48"/>
      <c r="D503" s="10"/>
    </row>
    <row r="504">
      <c r="A504" s="10"/>
      <c r="B504" s="10"/>
      <c r="C504" s="48"/>
      <c r="D504" s="10"/>
    </row>
    <row r="505">
      <c r="A505" s="10"/>
      <c r="B505" s="10"/>
      <c r="C505" s="48"/>
      <c r="D505" s="10"/>
    </row>
    <row r="506">
      <c r="A506" s="10"/>
      <c r="B506" s="10"/>
      <c r="C506" s="48"/>
      <c r="D506" s="10"/>
    </row>
    <row r="507">
      <c r="A507" s="10"/>
      <c r="B507" s="10"/>
      <c r="C507" s="48"/>
      <c r="D507" s="10"/>
    </row>
    <row r="508">
      <c r="A508" s="10"/>
      <c r="B508" s="10"/>
      <c r="C508" s="48"/>
      <c r="D508" s="10"/>
    </row>
    <row r="509">
      <c r="A509" s="10"/>
      <c r="B509" s="10"/>
      <c r="C509" s="48"/>
      <c r="D509" s="10"/>
    </row>
    <row r="510">
      <c r="A510" s="10"/>
      <c r="B510" s="10"/>
      <c r="C510" s="48"/>
      <c r="D510" s="10"/>
    </row>
    <row r="511">
      <c r="A511" s="10"/>
      <c r="B511" s="10"/>
      <c r="C511" s="48"/>
      <c r="D511" s="10"/>
    </row>
    <row r="512">
      <c r="A512" s="10"/>
      <c r="B512" s="10"/>
      <c r="C512" s="48"/>
      <c r="D512" s="10"/>
    </row>
    <row r="513">
      <c r="A513" s="10"/>
      <c r="B513" s="10"/>
      <c r="C513" s="48"/>
      <c r="D513" s="10"/>
    </row>
    <row r="514">
      <c r="A514" s="10"/>
      <c r="B514" s="10"/>
      <c r="C514" s="48"/>
      <c r="D514" s="10"/>
    </row>
    <row r="515">
      <c r="A515" s="10"/>
      <c r="B515" s="10"/>
      <c r="C515" s="48"/>
      <c r="D515" s="10"/>
    </row>
    <row r="516">
      <c r="A516" s="10"/>
      <c r="B516" s="10"/>
      <c r="C516" s="48"/>
      <c r="D516" s="10"/>
    </row>
    <row r="517">
      <c r="A517" s="10"/>
      <c r="B517" s="10"/>
      <c r="C517" s="48"/>
      <c r="D517" s="10"/>
    </row>
    <row r="518">
      <c r="A518" s="10"/>
      <c r="B518" s="10"/>
      <c r="C518" s="48"/>
      <c r="D518" s="10"/>
    </row>
    <row r="519">
      <c r="A519" s="10"/>
      <c r="B519" s="10"/>
      <c r="C519" s="48"/>
      <c r="D519" s="10"/>
    </row>
    <row r="520">
      <c r="A520" s="10"/>
      <c r="B520" s="10"/>
      <c r="C520" s="48"/>
      <c r="D520" s="10"/>
    </row>
    <row r="521">
      <c r="A521" s="10"/>
      <c r="B521" s="10"/>
      <c r="C521" s="48"/>
      <c r="D521" s="10"/>
    </row>
    <row r="522">
      <c r="A522" s="10"/>
      <c r="B522" s="10"/>
      <c r="C522" s="48"/>
      <c r="D522" s="10"/>
    </row>
    <row r="523">
      <c r="A523" s="10"/>
      <c r="B523" s="10"/>
      <c r="C523" s="48"/>
      <c r="D523" s="10"/>
    </row>
    <row r="524">
      <c r="A524" s="10"/>
      <c r="B524" s="10"/>
      <c r="C524" s="48"/>
      <c r="D524" s="10"/>
    </row>
    <row r="525">
      <c r="A525" s="10"/>
      <c r="B525" s="10"/>
      <c r="C525" s="48"/>
      <c r="D525" s="10"/>
    </row>
    <row r="526">
      <c r="A526" s="10"/>
      <c r="B526" s="10"/>
      <c r="C526" s="48"/>
      <c r="D526" s="10"/>
    </row>
    <row r="527">
      <c r="A527" s="10"/>
      <c r="B527" s="10"/>
      <c r="C527" s="48"/>
      <c r="D527" s="10"/>
    </row>
    <row r="528">
      <c r="A528" s="10"/>
      <c r="B528" s="10"/>
      <c r="C528" s="48"/>
      <c r="D528" s="10"/>
    </row>
    <row r="529">
      <c r="A529" s="10"/>
      <c r="B529" s="10"/>
      <c r="C529" s="48"/>
      <c r="D529" s="10"/>
    </row>
    <row r="530">
      <c r="A530" s="10"/>
      <c r="B530" s="10"/>
      <c r="C530" s="48"/>
      <c r="D530" s="10"/>
    </row>
    <row r="531">
      <c r="A531" s="10"/>
      <c r="B531" s="10"/>
      <c r="C531" s="48"/>
      <c r="D531" s="10"/>
    </row>
    <row r="532">
      <c r="A532" s="10"/>
      <c r="B532" s="10"/>
      <c r="C532" s="48"/>
      <c r="D532" s="10"/>
    </row>
    <row r="533">
      <c r="A533" s="10"/>
      <c r="B533" s="10"/>
      <c r="C533" s="48"/>
      <c r="D533" s="10"/>
    </row>
    <row r="534">
      <c r="A534" s="10"/>
      <c r="B534" s="10"/>
      <c r="C534" s="48"/>
      <c r="D534" s="10"/>
    </row>
    <row r="535">
      <c r="A535" s="10"/>
      <c r="B535" s="10"/>
      <c r="C535" s="48"/>
      <c r="D535" s="10"/>
    </row>
    <row r="536">
      <c r="A536" s="10"/>
      <c r="B536" s="10"/>
      <c r="C536" s="48"/>
      <c r="D536" s="10"/>
    </row>
    <row r="537">
      <c r="A537" s="10"/>
      <c r="B537" s="10"/>
      <c r="C537" s="48"/>
      <c r="D537" s="10"/>
    </row>
    <row r="538">
      <c r="A538" s="10"/>
      <c r="B538" s="10"/>
      <c r="C538" s="48"/>
      <c r="D538" s="10"/>
    </row>
    <row r="539">
      <c r="A539" s="10"/>
      <c r="B539" s="10"/>
      <c r="C539" s="48"/>
      <c r="D539" s="10"/>
    </row>
    <row r="540">
      <c r="A540" s="10"/>
      <c r="B540" s="10"/>
      <c r="C540" s="48"/>
      <c r="D540" s="10"/>
    </row>
    <row r="541">
      <c r="A541" s="10"/>
      <c r="B541" s="10"/>
      <c r="C541" s="48"/>
      <c r="D541" s="10"/>
    </row>
    <row r="542">
      <c r="A542" s="10"/>
      <c r="B542" s="10"/>
      <c r="C542" s="48"/>
      <c r="D542" s="10"/>
    </row>
    <row r="543">
      <c r="A543" s="10"/>
      <c r="B543" s="10"/>
      <c r="C543" s="48"/>
      <c r="D543" s="10"/>
    </row>
    <row r="544">
      <c r="A544" s="10"/>
      <c r="B544" s="10"/>
      <c r="C544" s="48"/>
      <c r="D544" s="10"/>
    </row>
    <row r="545">
      <c r="A545" s="10"/>
      <c r="B545" s="10"/>
      <c r="C545" s="48"/>
      <c r="D545" s="10"/>
    </row>
    <row r="546">
      <c r="A546" s="10"/>
      <c r="B546" s="10"/>
      <c r="C546" s="48"/>
      <c r="D546" s="10"/>
    </row>
    <row r="547">
      <c r="A547" s="10"/>
      <c r="B547" s="10"/>
      <c r="C547" s="48"/>
      <c r="D547" s="10"/>
    </row>
    <row r="548">
      <c r="A548" s="10"/>
      <c r="B548" s="10"/>
      <c r="C548" s="48"/>
      <c r="D548" s="10"/>
    </row>
    <row r="549">
      <c r="A549" s="10"/>
      <c r="B549" s="10"/>
      <c r="C549" s="48"/>
      <c r="D549" s="10"/>
    </row>
    <row r="550">
      <c r="A550" s="10"/>
      <c r="B550" s="10"/>
      <c r="C550" s="48"/>
      <c r="D550" s="10"/>
    </row>
    <row r="551">
      <c r="A551" s="10"/>
      <c r="B551" s="10"/>
      <c r="C551" s="48"/>
      <c r="D551" s="10"/>
    </row>
    <row r="552">
      <c r="A552" s="10"/>
      <c r="B552" s="10"/>
      <c r="C552" s="48"/>
      <c r="D552" s="10"/>
    </row>
    <row r="553">
      <c r="A553" s="10"/>
      <c r="B553" s="10"/>
      <c r="C553" s="48"/>
      <c r="D553" s="10"/>
    </row>
    <row r="554">
      <c r="A554" s="10"/>
      <c r="B554" s="10"/>
      <c r="C554" s="48"/>
      <c r="D554" s="10"/>
    </row>
    <row r="555">
      <c r="A555" s="10"/>
      <c r="B555" s="10"/>
      <c r="C555" s="48"/>
      <c r="D555" s="10"/>
    </row>
    <row r="556">
      <c r="A556" s="10"/>
      <c r="B556" s="10"/>
      <c r="C556" s="48"/>
      <c r="D556" s="10"/>
    </row>
    <row r="557">
      <c r="A557" s="10"/>
      <c r="B557" s="10"/>
      <c r="C557" s="48"/>
      <c r="D557" s="10"/>
    </row>
    <row r="558">
      <c r="A558" s="10"/>
      <c r="B558" s="10"/>
      <c r="C558" s="48"/>
      <c r="D558" s="10"/>
    </row>
    <row r="559">
      <c r="A559" s="10"/>
      <c r="B559" s="10"/>
      <c r="C559" s="48"/>
      <c r="D559" s="10"/>
    </row>
    <row r="560">
      <c r="A560" s="10"/>
      <c r="B560" s="10"/>
      <c r="C560" s="48"/>
      <c r="D560" s="10"/>
    </row>
    <row r="561">
      <c r="A561" s="10"/>
      <c r="B561" s="10"/>
      <c r="C561" s="48"/>
      <c r="D561" s="10"/>
    </row>
    <row r="562">
      <c r="A562" s="10"/>
      <c r="B562" s="10"/>
      <c r="C562" s="48"/>
      <c r="D562" s="10"/>
    </row>
    <row r="563">
      <c r="A563" s="10"/>
      <c r="B563" s="10"/>
      <c r="C563" s="48"/>
      <c r="D563" s="10"/>
    </row>
    <row r="564">
      <c r="A564" s="10"/>
      <c r="B564" s="10"/>
      <c r="C564" s="48"/>
      <c r="D564" s="10"/>
    </row>
    <row r="565">
      <c r="A565" s="10"/>
      <c r="B565" s="10"/>
      <c r="C565" s="48"/>
      <c r="D565" s="10"/>
    </row>
    <row r="566">
      <c r="A566" s="10"/>
      <c r="B566" s="10"/>
      <c r="C566" s="48"/>
      <c r="D566" s="10"/>
    </row>
    <row r="567">
      <c r="A567" s="10"/>
      <c r="B567" s="10"/>
      <c r="C567" s="48"/>
      <c r="D567" s="10"/>
    </row>
    <row r="568">
      <c r="A568" s="10"/>
      <c r="B568" s="10"/>
      <c r="C568" s="48"/>
      <c r="D568" s="10"/>
    </row>
    <row r="569">
      <c r="A569" s="10"/>
      <c r="B569" s="10"/>
      <c r="C569" s="48"/>
      <c r="D569" s="10"/>
    </row>
    <row r="570">
      <c r="A570" s="10"/>
      <c r="B570" s="10"/>
      <c r="C570" s="48"/>
      <c r="D570" s="10"/>
    </row>
    <row r="571">
      <c r="A571" s="10"/>
      <c r="B571" s="10"/>
      <c r="C571" s="48"/>
      <c r="D571" s="10"/>
    </row>
    <row r="572">
      <c r="A572" s="10"/>
      <c r="B572" s="10"/>
      <c r="C572" s="48"/>
      <c r="D572" s="10"/>
    </row>
    <row r="573">
      <c r="A573" s="10"/>
      <c r="B573" s="10"/>
      <c r="C573" s="48"/>
      <c r="D573" s="10"/>
    </row>
    <row r="574">
      <c r="A574" s="10"/>
      <c r="B574" s="10"/>
      <c r="C574" s="48"/>
      <c r="D574" s="10"/>
    </row>
    <row r="575">
      <c r="A575" s="10"/>
      <c r="B575" s="10"/>
      <c r="C575" s="48"/>
      <c r="D575" s="10"/>
    </row>
    <row r="576">
      <c r="A576" s="10"/>
      <c r="B576" s="10"/>
      <c r="C576" s="48"/>
      <c r="D576" s="10"/>
    </row>
    <row r="577">
      <c r="A577" s="10"/>
      <c r="B577" s="10"/>
      <c r="C577" s="48"/>
      <c r="D577" s="10"/>
    </row>
    <row r="578">
      <c r="A578" s="10"/>
      <c r="B578" s="10"/>
      <c r="C578" s="48"/>
      <c r="D578" s="10"/>
    </row>
    <row r="579">
      <c r="A579" s="10"/>
      <c r="B579" s="10"/>
      <c r="C579" s="48"/>
      <c r="D579" s="10"/>
    </row>
    <row r="580">
      <c r="A580" s="10"/>
      <c r="B580" s="10"/>
      <c r="C580" s="48"/>
      <c r="D580" s="10"/>
    </row>
    <row r="581">
      <c r="A581" s="10"/>
      <c r="B581" s="10"/>
      <c r="C581" s="48"/>
      <c r="D581" s="10"/>
    </row>
    <row r="582">
      <c r="A582" s="10"/>
      <c r="B582" s="10"/>
      <c r="C582" s="48"/>
      <c r="D582" s="10"/>
    </row>
    <row r="583">
      <c r="A583" s="10"/>
      <c r="B583" s="10"/>
      <c r="C583" s="48"/>
      <c r="D583" s="10"/>
    </row>
    <row r="584">
      <c r="A584" s="10"/>
      <c r="B584" s="10"/>
      <c r="C584" s="48"/>
      <c r="D584" s="10"/>
    </row>
    <row r="585">
      <c r="A585" s="10"/>
      <c r="B585" s="10"/>
      <c r="C585" s="48"/>
      <c r="D585" s="10"/>
    </row>
    <row r="586">
      <c r="A586" s="10"/>
      <c r="B586" s="10"/>
      <c r="C586" s="48"/>
      <c r="D586" s="10"/>
    </row>
    <row r="587">
      <c r="A587" s="10"/>
      <c r="B587" s="10"/>
      <c r="C587" s="48"/>
      <c r="D587" s="10"/>
    </row>
    <row r="588">
      <c r="A588" s="10"/>
      <c r="B588" s="10"/>
      <c r="C588" s="48"/>
      <c r="D588" s="10"/>
    </row>
    <row r="589">
      <c r="A589" s="10"/>
      <c r="B589" s="10"/>
      <c r="C589" s="48"/>
      <c r="D589" s="10"/>
    </row>
    <row r="590">
      <c r="A590" s="10"/>
      <c r="B590" s="10"/>
      <c r="C590" s="48"/>
      <c r="D590" s="10"/>
    </row>
    <row r="591">
      <c r="A591" s="10"/>
      <c r="B591" s="10"/>
      <c r="C591" s="48"/>
      <c r="D591" s="10"/>
    </row>
    <row r="592">
      <c r="A592" s="10"/>
      <c r="B592" s="10"/>
      <c r="C592" s="48"/>
      <c r="D592" s="10"/>
    </row>
    <row r="593">
      <c r="A593" s="10"/>
      <c r="B593" s="10"/>
      <c r="C593" s="48"/>
      <c r="D593" s="10"/>
    </row>
    <row r="594">
      <c r="A594" s="10"/>
      <c r="B594" s="10"/>
      <c r="C594" s="48"/>
      <c r="D594" s="10"/>
    </row>
    <row r="595">
      <c r="A595" s="10"/>
      <c r="B595" s="10"/>
      <c r="C595" s="48"/>
      <c r="D595" s="10"/>
    </row>
    <row r="596">
      <c r="A596" s="10"/>
      <c r="B596" s="10"/>
      <c r="C596" s="48"/>
      <c r="D596" s="10"/>
    </row>
    <row r="597">
      <c r="A597" s="10"/>
      <c r="B597" s="10"/>
      <c r="C597" s="48"/>
      <c r="D597" s="10"/>
    </row>
    <row r="598">
      <c r="A598" s="10"/>
      <c r="B598" s="10"/>
      <c r="C598" s="48"/>
      <c r="D598" s="10"/>
    </row>
    <row r="599">
      <c r="A599" s="10"/>
      <c r="B599" s="10"/>
      <c r="C599" s="48"/>
      <c r="D599" s="10"/>
    </row>
    <row r="600">
      <c r="A600" s="10"/>
      <c r="B600" s="10"/>
      <c r="C600" s="48"/>
      <c r="D600" s="10"/>
    </row>
    <row r="601">
      <c r="A601" s="10"/>
      <c r="B601" s="10"/>
      <c r="C601" s="48"/>
      <c r="D601" s="10"/>
    </row>
    <row r="602">
      <c r="A602" s="10"/>
      <c r="B602" s="10"/>
      <c r="C602" s="48"/>
      <c r="D602" s="10"/>
    </row>
    <row r="603">
      <c r="A603" s="10"/>
      <c r="B603" s="10"/>
      <c r="C603" s="48"/>
      <c r="D603" s="10"/>
    </row>
    <row r="604">
      <c r="A604" s="10"/>
      <c r="B604" s="10"/>
      <c r="C604" s="48"/>
      <c r="D604" s="10"/>
    </row>
    <row r="605">
      <c r="A605" s="10"/>
      <c r="B605" s="10"/>
      <c r="C605" s="48"/>
      <c r="D605" s="10"/>
    </row>
    <row r="606">
      <c r="A606" s="10"/>
      <c r="B606" s="10"/>
      <c r="C606" s="48"/>
      <c r="D606" s="10"/>
    </row>
    <row r="607">
      <c r="A607" s="10"/>
      <c r="B607" s="10"/>
      <c r="C607" s="48"/>
      <c r="D607" s="10"/>
    </row>
    <row r="608">
      <c r="A608" s="10"/>
      <c r="B608" s="10"/>
      <c r="C608" s="48"/>
      <c r="D608" s="10"/>
    </row>
    <row r="609">
      <c r="A609" s="10"/>
      <c r="B609" s="10"/>
      <c r="C609" s="48"/>
      <c r="D609" s="10"/>
    </row>
    <row r="610">
      <c r="A610" s="10"/>
      <c r="B610" s="10"/>
      <c r="C610" s="48"/>
      <c r="D610" s="10"/>
    </row>
    <row r="611">
      <c r="A611" s="10"/>
      <c r="B611" s="10"/>
      <c r="C611" s="48"/>
      <c r="D611" s="10"/>
    </row>
    <row r="612">
      <c r="A612" s="10"/>
      <c r="B612" s="10"/>
      <c r="C612" s="48"/>
      <c r="D612" s="10"/>
    </row>
    <row r="613">
      <c r="A613" s="10"/>
      <c r="B613" s="10"/>
      <c r="C613" s="48"/>
      <c r="D613" s="10"/>
    </row>
    <row r="614">
      <c r="A614" s="10"/>
      <c r="B614" s="10"/>
      <c r="C614" s="48"/>
      <c r="D614" s="10"/>
    </row>
    <row r="615">
      <c r="A615" s="10"/>
      <c r="B615" s="10"/>
      <c r="C615" s="48"/>
      <c r="D615" s="10"/>
    </row>
    <row r="616">
      <c r="A616" s="10"/>
      <c r="B616" s="10"/>
      <c r="C616" s="48"/>
      <c r="D616" s="10"/>
    </row>
    <row r="617">
      <c r="A617" s="10"/>
      <c r="B617" s="10"/>
      <c r="C617" s="48"/>
      <c r="D617" s="10"/>
    </row>
    <row r="618">
      <c r="A618" s="10"/>
      <c r="B618" s="10"/>
      <c r="C618" s="48"/>
      <c r="D618" s="10"/>
    </row>
    <row r="619">
      <c r="A619" s="10"/>
      <c r="B619" s="10"/>
      <c r="C619" s="48"/>
      <c r="D619" s="10"/>
    </row>
    <row r="620">
      <c r="A620" s="10"/>
      <c r="B620" s="10"/>
      <c r="C620" s="48"/>
      <c r="D620" s="10"/>
    </row>
    <row r="621">
      <c r="A621" s="10"/>
      <c r="B621" s="10"/>
      <c r="C621" s="48"/>
      <c r="D621" s="10"/>
    </row>
    <row r="622">
      <c r="A622" s="10"/>
      <c r="B622" s="10"/>
      <c r="C622" s="48"/>
      <c r="D622" s="10"/>
    </row>
    <row r="623">
      <c r="A623" s="10"/>
      <c r="B623" s="10"/>
      <c r="C623" s="48"/>
      <c r="D623" s="10"/>
    </row>
    <row r="624">
      <c r="A624" s="10"/>
      <c r="B624" s="10"/>
      <c r="C624" s="48"/>
      <c r="D624" s="10"/>
    </row>
    <row r="625">
      <c r="A625" s="10"/>
      <c r="B625" s="10"/>
      <c r="C625" s="48"/>
      <c r="D625" s="10"/>
    </row>
    <row r="626">
      <c r="A626" s="10"/>
      <c r="B626" s="10"/>
      <c r="C626" s="48"/>
      <c r="D626" s="10"/>
    </row>
    <row r="627">
      <c r="A627" s="10"/>
      <c r="B627" s="10"/>
      <c r="C627" s="48"/>
      <c r="D627" s="10"/>
    </row>
    <row r="628">
      <c r="A628" s="10"/>
      <c r="B628" s="10"/>
      <c r="C628" s="48"/>
      <c r="D628" s="10"/>
    </row>
    <row r="629">
      <c r="A629" s="10"/>
      <c r="B629" s="10"/>
      <c r="C629" s="48"/>
      <c r="D629" s="10"/>
    </row>
    <row r="630">
      <c r="A630" s="10"/>
      <c r="B630" s="10"/>
      <c r="C630" s="48"/>
      <c r="D630" s="10"/>
    </row>
    <row r="631">
      <c r="A631" s="10"/>
      <c r="B631" s="10"/>
      <c r="C631" s="48"/>
      <c r="D631" s="10"/>
    </row>
    <row r="632">
      <c r="A632" s="10"/>
      <c r="B632" s="10"/>
      <c r="C632" s="48"/>
      <c r="D632" s="10"/>
    </row>
    <row r="633">
      <c r="A633" s="10"/>
      <c r="B633" s="10"/>
      <c r="C633" s="48"/>
      <c r="D633" s="10"/>
    </row>
    <row r="634">
      <c r="A634" s="10"/>
      <c r="B634" s="10"/>
      <c r="C634" s="48"/>
      <c r="D634" s="10"/>
    </row>
    <row r="635">
      <c r="A635" s="10"/>
      <c r="B635" s="10"/>
      <c r="C635" s="48"/>
      <c r="D635" s="10"/>
    </row>
    <row r="636">
      <c r="A636" s="10"/>
      <c r="B636" s="10"/>
      <c r="C636" s="48"/>
      <c r="D636" s="10"/>
    </row>
    <row r="637">
      <c r="A637" s="10"/>
      <c r="B637" s="10"/>
      <c r="C637" s="48"/>
      <c r="D637" s="10"/>
    </row>
    <row r="638">
      <c r="A638" s="10"/>
      <c r="B638" s="10"/>
      <c r="C638" s="48"/>
      <c r="D638" s="10"/>
    </row>
    <row r="639">
      <c r="A639" s="10"/>
      <c r="B639" s="10"/>
      <c r="C639" s="48"/>
      <c r="D639" s="10"/>
    </row>
    <row r="640">
      <c r="A640" s="10"/>
      <c r="B640" s="10"/>
      <c r="C640" s="48"/>
      <c r="D640" s="10"/>
    </row>
    <row r="641">
      <c r="A641" s="10"/>
      <c r="B641" s="10"/>
      <c r="C641" s="48"/>
      <c r="D641" s="10"/>
    </row>
    <row r="642">
      <c r="A642" s="10"/>
      <c r="B642" s="10"/>
      <c r="C642" s="48"/>
      <c r="D642" s="10"/>
    </row>
    <row r="643">
      <c r="A643" s="10"/>
      <c r="B643" s="10"/>
      <c r="C643" s="48"/>
      <c r="D643" s="10"/>
    </row>
    <row r="644">
      <c r="A644" s="10"/>
      <c r="B644" s="10"/>
      <c r="C644" s="48"/>
      <c r="D644" s="10"/>
    </row>
    <row r="645">
      <c r="A645" s="10"/>
      <c r="B645" s="10"/>
      <c r="C645" s="48"/>
      <c r="D645" s="10"/>
    </row>
    <row r="646">
      <c r="A646" s="10"/>
      <c r="B646" s="10"/>
      <c r="C646" s="48"/>
      <c r="D646" s="10"/>
    </row>
    <row r="647">
      <c r="A647" s="10"/>
      <c r="B647" s="10"/>
      <c r="C647" s="48"/>
      <c r="D647" s="10"/>
    </row>
    <row r="648">
      <c r="A648" s="10"/>
      <c r="B648" s="10"/>
      <c r="C648" s="48"/>
      <c r="D648" s="10"/>
    </row>
    <row r="649">
      <c r="A649" s="10"/>
      <c r="B649" s="10"/>
      <c r="C649" s="48"/>
      <c r="D649" s="10"/>
    </row>
    <row r="650">
      <c r="A650" s="10"/>
      <c r="B650" s="10"/>
      <c r="C650" s="48"/>
      <c r="D650" s="10"/>
    </row>
    <row r="651">
      <c r="A651" s="10"/>
      <c r="B651" s="10"/>
      <c r="C651" s="48"/>
      <c r="D651" s="10"/>
    </row>
    <row r="652">
      <c r="A652" s="10"/>
      <c r="B652" s="10"/>
      <c r="C652" s="48"/>
      <c r="D652" s="10"/>
    </row>
    <row r="653">
      <c r="A653" s="10"/>
      <c r="B653" s="10"/>
      <c r="C653" s="48"/>
      <c r="D653" s="10"/>
    </row>
    <row r="654">
      <c r="A654" s="10"/>
      <c r="B654" s="10"/>
      <c r="C654" s="48"/>
      <c r="D654" s="10"/>
    </row>
    <row r="655">
      <c r="A655" s="10"/>
      <c r="B655" s="10"/>
      <c r="C655" s="48"/>
      <c r="D655" s="10"/>
    </row>
    <row r="656">
      <c r="A656" s="10"/>
      <c r="B656" s="10"/>
      <c r="C656" s="48"/>
      <c r="D656" s="10"/>
    </row>
    <row r="657">
      <c r="A657" s="10"/>
      <c r="B657" s="10"/>
      <c r="C657" s="48"/>
      <c r="D657" s="10"/>
    </row>
    <row r="658">
      <c r="A658" s="10"/>
      <c r="B658" s="10"/>
      <c r="C658" s="48"/>
      <c r="D658" s="10"/>
    </row>
    <row r="659">
      <c r="A659" s="10"/>
      <c r="B659" s="10"/>
      <c r="C659" s="48"/>
      <c r="D659" s="10"/>
    </row>
    <row r="660">
      <c r="A660" s="10"/>
      <c r="B660" s="10"/>
      <c r="C660" s="48"/>
      <c r="D660" s="10"/>
    </row>
    <row r="661">
      <c r="A661" s="10"/>
      <c r="B661" s="10"/>
      <c r="C661" s="48"/>
      <c r="D661" s="10"/>
    </row>
    <row r="662">
      <c r="A662" s="10"/>
      <c r="B662" s="10"/>
      <c r="C662" s="48"/>
      <c r="D662" s="10"/>
    </row>
    <row r="663">
      <c r="A663" s="10"/>
      <c r="B663" s="10"/>
      <c r="C663" s="48"/>
      <c r="D663" s="10"/>
    </row>
    <row r="664">
      <c r="A664" s="10"/>
      <c r="B664" s="10"/>
      <c r="C664" s="48"/>
      <c r="D664" s="10"/>
    </row>
    <row r="665">
      <c r="A665" s="10"/>
      <c r="B665" s="10"/>
      <c r="C665" s="48"/>
      <c r="D665" s="10"/>
    </row>
    <row r="666">
      <c r="A666" s="10"/>
      <c r="B666" s="10"/>
      <c r="C666" s="48"/>
      <c r="D666" s="10"/>
    </row>
    <row r="667">
      <c r="A667" s="10"/>
      <c r="B667" s="10"/>
      <c r="C667" s="48"/>
      <c r="D667" s="10"/>
    </row>
    <row r="668">
      <c r="A668" s="10"/>
      <c r="B668" s="10"/>
      <c r="C668" s="48"/>
      <c r="D668" s="10"/>
    </row>
    <row r="669">
      <c r="A669" s="10"/>
      <c r="B669" s="10"/>
      <c r="C669" s="48"/>
      <c r="D669" s="10"/>
    </row>
    <row r="670">
      <c r="A670" s="10"/>
      <c r="B670" s="10"/>
      <c r="C670" s="48"/>
      <c r="D670" s="10"/>
    </row>
    <row r="671">
      <c r="A671" s="10"/>
      <c r="B671" s="10"/>
      <c r="C671" s="48"/>
      <c r="D671" s="10"/>
    </row>
    <row r="672">
      <c r="A672" s="10"/>
      <c r="B672" s="10"/>
      <c r="C672" s="48"/>
      <c r="D672" s="10"/>
    </row>
    <row r="673">
      <c r="A673" s="10"/>
      <c r="B673" s="10"/>
      <c r="C673" s="48"/>
      <c r="D673" s="10"/>
    </row>
    <row r="674">
      <c r="A674" s="10"/>
      <c r="B674" s="10"/>
      <c r="C674" s="48"/>
      <c r="D674" s="10"/>
    </row>
    <row r="675">
      <c r="A675" s="10"/>
      <c r="B675" s="10"/>
      <c r="C675" s="48"/>
      <c r="D675" s="10"/>
    </row>
    <row r="676">
      <c r="A676" s="10"/>
      <c r="B676" s="10"/>
      <c r="C676" s="48"/>
      <c r="D676" s="10"/>
    </row>
    <row r="677">
      <c r="A677" s="10"/>
      <c r="B677" s="10"/>
      <c r="C677" s="48"/>
      <c r="D677" s="10"/>
    </row>
    <row r="678">
      <c r="A678" s="10"/>
      <c r="B678" s="10"/>
      <c r="C678" s="48"/>
      <c r="D678" s="10"/>
    </row>
    <row r="679">
      <c r="A679" s="10"/>
      <c r="B679" s="10"/>
      <c r="C679" s="48"/>
      <c r="D679" s="10"/>
    </row>
    <row r="680">
      <c r="A680" s="10"/>
      <c r="B680" s="10"/>
      <c r="C680" s="48"/>
      <c r="D680" s="10"/>
    </row>
    <row r="681">
      <c r="A681" s="10"/>
      <c r="B681" s="10"/>
      <c r="C681" s="48"/>
      <c r="D681" s="10"/>
    </row>
    <row r="682">
      <c r="A682" s="10"/>
      <c r="B682" s="10"/>
      <c r="C682" s="48"/>
      <c r="D682" s="10"/>
    </row>
    <row r="683">
      <c r="A683" s="10"/>
      <c r="B683" s="10"/>
      <c r="C683" s="48"/>
      <c r="D683" s="10"/>
    </row>
    <row r="684">
      <c r="A684" s="10"/>
      <c r="B684" s="10"/>
      <c r="C684" s="48"/>
      <c r="D684" s="10"/>
    </row>
    <row r="685">
      <c r="A685" s="10"/>
      <c r="B685" s="10"/>
      <c r="C685" s="48"/>
      <c r="D685" s="10"/>
    </row>
    <row r="686">
      <c r="A686" s="10"/>
      <c r="B686" s="10"/>
      <c r="C686" s="48"/>
      <c r="D686" s="10"/>
    </row>
    <row r="687">
      <c r="A687" s="10"/>
      <c r="B687" s="10"/>
      <c r="C687" s="48"/>
      <c r="D687" s="10"/>
    </row>
    <row r="688">
      <c r="A688" s="10"/>
      <c r="B688" s="10"/>
      <c r="C688" s="48"/>
      <c r="D688" s="10"/>
    </row>
    <row r="689">
      <c r="A689" s="10"/>
      <c r="B689" s="10"/>
      <c r="C689" s="48"/>
      <c r="D689" s="10"/>
    </row>
    <row r="690">
      <c r="A690" s="10"/>
      <c r="B690" s="10"/>
      <c r="C690" s="48"/>
      <c r="D690" s="10"/>
    </row>
    <row r="691">
      <c r="A691" s="10"/>
      <c r="B691" s="10"/>
      <c r="C691" s="48"/>
      <c r="D691" s="10"/>
    </row>
    <row r="692">
      <c r="A692" s="10"/>
      <c r="B692" s="10"/>
      <c r="C692" s="48"/>
      <c r="D692" s="10"/>
    </row>
    <row r="693">
      <c r="A693" s="10"/>
      <c r="B693" s="10"/>
      <c r="C693" s="48"/>
      <c r="D693" s="10"/>
    </row>
    <row r="694">
      <c r="A694" s="10"/>
      <c r="B694" s="10"/>
      <c r="C694" s="48"/>
      <c r="D694" s="10"/>
    </row>
    <row r="695">
      <c r="A695" s="10"/>
      <c r="B695" s="10"/>
      <c r="C695" s="48"/>
      <c r="D695" s="10"/>
    </row>
    <row r="696">
      <c r="A696" s="10"/>
      <c r="B696" s="10"/>
      <c r="C696" s="48"/>
      <c r="D696" s="10"/>
    </row>
    <row r="697">
      <c r="A697" s="10"/>
      <c r="B697" s="10"/>
      <c r="C697" s="48"/>
      <c r="D697" s="10"/>
    </row>
    <row r="698">
      <c r="A698" s="10"/>
      <c r="B698" s="10"/>
      <c r="C698" s="48"/>
      <c r="D698" s="10"/>
    </row>
    <row r="699">
      <c r="A699" s="10"/>
      <c r="B699" s="10"/>
      <c r="C699" s="48"/>
      <c r="D699" s="10"/>
    </row>
    <row r="700">
      <c r="A700" s="10"/>
      <c r="B700" s="10"/>
      <c r="C700" s="48"/>
      <c r="D700" s="10"/>
    </row>
    <row r="701">
      <c r="A701" s="10"/>
      <c r="B701" s="10"/>
      <c r="C701" s="48"/>
      <c r="D701" s="10"/>
    </row>
    <row r="702">
      <c r="A702" s="10"/>
      <c r="B702" s="10"/>
      <c r="C702" s="48"/>
      <c r="D702" s="10"/>
    </row>
    <row r="703">
      <c r="A703" s="10"/>
      <c r="B703" s="10"/>
      <c r="C703" s="48"/>
      <c r="D703" s="10"/>
    </row>
    <row r="704">
      <c r="A704" s="10"/>
      <c r="B704" s="10"/>
      <c r="C704" s="48"/>
      <c r="D704" s="10"/>
    </row>
    <row r="705">
      <c r="A705" s="10"/>
      <c r="B705" s="10"/>
      <c r="C705" s="48"/>
      <c r="D705" s="10"/>
    </row>
    <row r="706">
      <c r="A706" s="10"/>
      <c r="B706" s="10"/>
      <c r="C706" s="48"/>
      <c r="D706" s="10"/>
    </row>
    <row r="707">
      <c r="A707" s="10"/>
      <c r="B707" s="10"/>
      <c r="C707" s="48"/>
      <c r="D707" s="10"/>
    </row>
    <row r="708">
      <c r="A708" s="10"/>
      <c r="B708" s="10"/>
      <c r="C708" s="48"/>
      <c r="D708" s="10"/>
    </row>
    <row r="709">
      <c r="A709" s="10"/>
      <c r="B709" s="10"/>
      <c r="C709" s="48"/>
      <c r="D709" s="10"/>
    </row>
    <row r="710">
      <c r="A710" s="10"/>
      <c r="B710" s="10"/>
      <c r="C710" s="48"/>
      <c r="D710" s="10"/>
    </row>
    <row r="711">
      <c r="A711" s="10"/>
      <c r="B711" s="10"/>
      <c r="C711" s="48"/>
      <c r="D711" s="10"/>
    </row>
    <row r="712">
      <c r="A712" s="10"/>
      <c r="B712" s="10"/>
      <c r="C712" s="48"/>
      <c r="D712" s="10"/>
    </row>
    <row r="713">
      <c r="A713" s="10"/>
      <c r="B713" s="10"/>
      <c r="C713" s="48"/>
      <c r="D713" s="10"/>
    </row>
    <row r="714">
      <c r="A714" s="10"/>
      <c r="B714" s="10"/>
      <c r="C714" s="48"/>
      <c r="D714" s="10"/>
    </row>
    <row r="715">
      <c r="A715" s="10"/>
      <c r="B715" s="10"/>
      <c r="C715" s="48"/>
      <c r="D715" s="10"/>
    </row>
    <row r="716">
      <c r="A716" s="10"/>
      <c r="B716" s="10"/>
      <c r="C716" s="48"/>
      <c r="D716" s="10"/>
    </row>
    <row r="717">
      <c r="A717" s="10"/>
      <c r="B717" s="10"/>
      <c r="C717" s="48"/>
      <c r="D717" s="10"/>
    </row>
    <row r="718">
      <c r="A718" s="10"/>
      <c r="B718" s="10"/>
      <c r="C718" s="48"/>
      <c r="D718" s="10"/>
    </row>
    <row r="719">
      <c r="A719" s="10"/>
      <c r="B719" s="10"/>
      <c r="C719" s="48"/>
      <c r="D719" s="10"/>
    </row>
    <row r="720">
      <c r="A720" s="10"/>
      <c r="B720" s="10"/>
      <c r="C720" s="48"/>
      <c r="D720" s="10"/>
    </row>
    <row r="721">
      <c r="A721" s="10"/>
      <c r="B721" s="10"/>
      <c r="C721" s="48"/>
      <c r="D721" s="10"/>
    </row>
    <row r="722">
      <c r="A722" s="10"/>
      <c r="B722" s="10"/>
      <c r="C722" s="48"/>
      <c r="D722" s="10"/>
    </row>
    <row r="723">
      <c r="A723" s="10"/>
      <c r="B723" s="10"/>
      <c r="C723" s="48"/>
      <c r="D723" s="10"/>
    </row>
    <row r="724">
      <c r="A724" s="10"/>
      <c r="B724" s="10"/>
      <c r="C724" s="48"/>
      <c r="D724" s="10"/>
    </row>
    <row r="725">
      <c r="A725" s="10"/>
      <c r="B725" s="10"/>
      <c r="C725" s="48"/>
      <c r="D725" s="10"/>
    </row>
    <row r="726">
      <c r="A726" s="10"/>
      <c r="B726" s="10"/>
      <c r="C726" s="48"/>
      <c r="D726" s="10"/>
    </row>
    <row r="727">
      <c r="A727" s="10"/>
      <c r="B727" s="10"/>
      <c r="C727" s="48"/>
      <c r="D727" s="10"/>
    </row>
    <row r="728">
      <c r="A728" s="10"/>
      <c r="B728" s="10"/>
      <c r="C728" s="48"/>
      <c r="D728" s="10"/>
    </row>
    <row r="729">
      <c r="A729" s="10"/>
      <c r="B729" s="10"/>
      <c r="C729" s="48"/>
      <c r="D729" s="10"/>
    </row>
    <row r="730">
      <c r="A730" s="10"/>
      <c r="B730" s="10"/>
      <c r="C730" s="48"/>
      <c r="D730" s="10"/>
    </row>
    <row r="731">
      <c r="A731" s="10"/>
      <c r="B731" s="10"/>
      <c r="C731" s="48"/>
      <c r="D731" s="10"/>
    </row>
    <row r="732">
      <c r="A732" s="10"/>
      <c r="B732" s="10"/>
      <c r="C732" s="48"/>
      <c r="D732" s="10"/>
    </row>
    <row r="733">
      <c r="A733" s="10"/>
      <c r="B733" s="10"/>
      <c r="C733" s="48"/>
      <c r="D733" s="10"/>
    </row>
    <row r="734">
      <c r="A734" s="10"/>
      <c r="B734" s="10"/>
      <c r="C734" s="48"/>
      <c r="D734" s="10"/>
    </row>
    <row r="735">
      <c r="A735" s="10"/>
      <c r="B735" s="10"/>
      <c r="C735" s="48"/>
      <c r="D735" s="10"/>
    </row>
    <row r="736">
      <c r="A736" s="10"/>
      <c r="B736" s="10"/>
      <c r="C736" s="48"/>
      <c r="D736" s="10"/>
    </row>
    <row r="737">
      <c r="A737" s="10"/>
      <c r="B737" s="10"/>
      <c r="C737" s="48"/>
      <c r="D737" s="10"/>
    </row>
    <row r="738">
      <c r="A738" s="10"/>
      <c r="B738" s="10"/>
      <c r="C738" s="48"/>
      <c r="D738" s="10"/>
    </row>
    <row r="739">
      <c r="A739" s="10"/>
      <c r="B739" s="10"/>
      <c r="C739" s="48"/>
      <c r="D739" s="10"/>
    </row>
    <row r="740">
      <c r="A740" s="10"/>
      <c r="B740" s="10"/>
      <c r="C740" s="48"/>
      <c r="D740" s="10"/>
    </row>
    <row r="741">
      <c r="A741" s="10"/>
      <c r="B741" s="10"/>
      <c r="C741" s="48"/>
      <c r="D741" s="10"/>
    </row>
    <row r="742">
      <c r="A742" s="10"/>
      <c r="B742" s="10"/>
      <c r="C742" s="48"/>
      <c r="D742" s="10"/>
    </row>
    <row r="743">
      <c r="A743" s="10"/>
      <c r="B743" s="10"/>
      <c r="C743" s="48"/>
      <c r="D743" s="10"/>
    </row>
    <row r="744">
      <c r="A744" s="10"/>
      <c r="B744" s="10"/>
      <c r="C744" s="48"/>
      <c r="D744" s="10"/>
    </row>
    <row r="745">
      <c r="A745" s="10"/>
      <c r="B745" s="10"/>
      <c r="C745" s="48"/>
      <c r="D745" s="10"/>
    </row>
    <row r="746">
      <c r="A746" s="10"/>
      <c r="B746" s="10"/>
      <c r="C746" s="48"/>
      <c r="D746" s="10"/>
    </row>
    <row r="747">
      <c r="A747" s="10"/>
      <c r="B747" s="10"/>
      <c r="C747" s="48"/>
      <c r="D747" s="10"/>
    </row>
    <row r="748">
      <c r="A748" s="10"/>
      <c r="B748" s="10"/>
      <c r="C748" s="48"/>
      <c r="D748" s="10"/>
    </row>
    <row r="749">
      <c r="A749" s="10"/>
      <c r="B749" s="10"/>
      <c r="C749" s="48"/>
      <c r="D749" s="10"/>
    </row>
    <row r="750">
      <c r="A750" s="10"/>
      <c r="B750" s="10"/>
      <c r="C750" s="48"/>
      <c r="D750" s="10"/>
    </row>
    <row r="751">
      <c r="A751" s="10"/>
      <c r="B751" s="10"/>
      <c r="C751" s="48"/>
      <c r="D751" s="10"/>
    </row>
    <row r="752">
      <c r="A752" s="10"/>
      <c r="B752" s="10"/>
      <c r="C752" s="48"/>
      <c r="D752" s="10"/>
    </row>
    <row r="753">
      <c r="A753" s="10"/>
      <c r="B753" s="10"/>
      <c r="C753" s="48"/>
      <c r="D753" s="10"/>
    </row>
    <row r="754">
      <c r="A754" s="10"/>
      <c r="B754" s="10"/>
      <c r="C754" s="48"/>
      <c r="D754" s="10"/>
    </row>
    <row r="755">
      <c r="A755" s="10"/>
      <c r="B755" s="10"/>
      <c r="C755" s="48"/>
      <c r="D755" s="10"/>
    </row>
    <row r="756">
      <c r="A756" s="10"/>
      <c r="B756" s="10"/>
      <c r="C756" s="48"/>
      <c r="D756" s="10"/>
    </row>
    <row r="757">
      <c r="A757" s="10"/>
      <c r="B757" s="10"/>
      <c r="C757" s="48"/>
      <c r="D757" s="10"/>
    </row>
    <row r="758">
      <c r="A758" s="10"/>
      <c r="B758" s="10"/>
      <c r="C758" s="48"/>
      <c r="D758" s="10"/>
    </row>
    <row r="759">
      <c r="A759" s="10"/>
      <c r="B759" s="10"/>
      <c r="C759" s="48"/>
      <c r="D759" s="10"/>
    </row>
    <row r="760">
      <c r="A760" s="10"/>
      <c r="B760" s="10"/>
      <c r="C760" s="48"/>
      <c r="D760" s="10"/>
    </row>
    <row r="761">
      <c r="A761" s="10"/>
      <c r="B761" s="10"/>
      <c r="C761" s="48"/>
      <c r="D761" s="10"/>
    </row>
    <row r="762">
      <c r="A762" s="10"/>
      <c r="B762" s="10"/>
      <c r="C762" s="48"/>
      <c r="D762" s="10"/>
    </row>
    <row r="763">
      <c r="A763" s="10"/>
      <c r="B763" s="10"/>
      <c r="C763" s="48"/>
      <c r="D763" s="10"/>
    </row>
    <row r="764">
      <c r="A764" s="10"/>
      <c r="B764" s="10"/>
      <c r="C764" s="48"/>
      <c r="D764" s="10"/>
    </row>
    <row r="765">
      <c r="A765" s="10"/>
      <c r="B765" s="10"/>
      <c r="C765" s="48"/>
      <c r="D765" s="10"/>
    </row>
    <row r="766">
      <c r="A766" s="10"/>
      <c r="B766" s="10"/>
      <c r="C766" s="48"/>
      <c r="D766" s="10"/>
    </row>
    <row r="767">
      <c r="A767" s="10"/>
      <c r="B767" s="10"/>
      <c r="C767" s="48"/>
      <c r="D767" s="10"/>
    </row>
    <row r="768">
      <c r="A768" s="10"/>
      <c r="B768" s="10"/>
      <c r="C768" s="48"/>
      <c r="D768" s="10"/>
    </row>
    <row r="769">
      <c r="A769" s="10"/>
      <c r="B769" s="10"/>
      <c r="C769" s="48"/>
      <c r="D769" s="10"/>
    </row>
    <row r="770">
      <c r="A770" s="10"/>
      <c r="B770" s="10"/>
      <c r="C770" s="48"/>
      <c r="D770" s="10"/>
    </row>
    <row r="771">
      <c r="A771" s="10"/>
      <c r="B771" s="10"/>
      <c r="C771" s="48"/>
      <c r="D771" s="10"/>
    </row>
    <row r="772">
      <c r="A772" s="10"/>
      <c r="B772" s="10"/>
      <c r="C772" s="48"/>
      <c r="D772" s="10"/>
    </row>
    <row r="773">
      <c r="A773" s="10"/>
      <c r="B773" s="10"/>
      <c r="C773" s="48"/>
      <c r="D773" s="10"/>
    </row>
    <row r="774">
      <c r="A774" s="10"/>
      <c r="B774" s="10"/>
      <c r="C774" s="48"/>
      <c r="D774" s="10"/>
    </row>
    <row r="775">
      <c r="A775" s="10"/>
      <c r="B775" s="10"/>
      <c r="C775" s="48"/>
      <c r="D775" s="10"/>
    </row>
    <row r="776">
      <c r="A776" s="10"/>
      <c r="B776" s="10"/>
      <c r="C776" s="48"/>
      <c r="D776" s="10"/>
    </row>
    <row r="777">
      <c r="A777" s="10"/>
      <c r="B777" s="10"/>
      <c r="C777" s="48"/>
      <c r="D777" s="10"/>
    </row>
    <row r="778">
      <c r="A778" s="10"/>
      <c r="B778" s="10"/>
      <c r="C778" s="48"/>
      <c r="D778" s="10"/>
    </row>
    <row r="779">
      <c r="A779" s="10"/>
      <c r="B779" s="10"/>
      <c r="C779" s="48"/>
      <c r="D779" s="10"/>
    </row>
    <row r="780">
      <c r="A780" s="10"/>
      <c r="B780" s="10"/>
      <c r="C780" s="48"/>
      <c r="D780" s="10"/>
    </row>
    <row r="781">
      <c r="A781" s="10"/>
      <c r="B781" s="10"/>
      <c r="C781" s="48"/>
      <c r="D781" s="10"/>
    </row>
    <row r="782">
      <c r="A782" s="10"/>
      <c r="B782" s="10"/>
      <c r="C782" s="48"/>
      <c r="D782" s="10"/>
    </row>
    <row r="783">
      <c r="A783" s="10"/>
      <c r="B783" s="10"/>
      <c r="C783" s="48"/>
      <c r="D783" s="10"/>
    </row>
    <row r="784">
      <c r="A784" s="10"/>
      <c r="B784" s="10"/>
      <c r="C784" s="48"/>
      <c r="D784" s="10"/>
    </row>
    <row r="785">
      <c r="A785" s="10"/>
      <c r="B785" s="10"/>
      <c r="C785" s="48"/>
      <c r="D785" s="10"/>
    </row>
    <row r="786">
      <c r="A786" s="10"/>
      <c r="B786" s="10"/>
      <c r="C786" s="48"/>
      <c r="D786" s="10"/>
    </row>
    <row r="787">
      <c r="A787" s="10"/>
      <c r="B787" s="10"/>
      <c r="C787" s="48"/>
      <c r="D787" s="10"/>
    </row>
    <row r="788">
      <c r="A788" s="10"/>
      <c r="B788" s="10"/>
      <c r="C788" s="48"/>
      <c r="D788" s="10"/>
    </row>
    <row r="789">
      <c r="A789" s="10"/>
      <c r="B789" s="10"/>
      <c r="C789" s="48"/>
      <c r="D789" s="10"/>
    </row>
    <row r="790">
      <c r="A790" s="10"/>
      <c r="B790" s="10"/>
      <c r="C790" s="48"/>
      <c r="D790" s="10"/>
    </row>
    <row r="791">
      <c r="A791" s="10"/>
      <c r="B791" s="10"/>
      <c r="C791" s="48"/>
      <c r="D791" s="10"/>
    </row>
    <row r="792">
      <c r="A792" s="10"/>
      <c r="B792" s="10"/>
      <c r="C792" s="48"/>
      <c r="D792" s="10"/>
    </row>
    <row r="793">
      <c r="A793" s="10"/>
      <c r="B793" s="10"/>
      <c r="C793" s="48"/>
      <c r="D793" s="10"/>
    </row>
    <row r="794">
      <c r="A794" s="10"/>
      <c r="B794" s="10"/>
      <c r="C794" s="48"/>
      <c r="D794" s="10"/>
    </row>
    <row r="795">
      <c r="A795" s="10"/>
      <c r="B795" s="10"/>
      <c r="C795" s="48"/>
      <c r="D795" s="10"/>
    </row>
    <row r="796">
      <c r="A796" s="10"/>
      <c r="B796" s="10"/>
      <c r="C796" s="48"/>
      <c r="D796" s="10"/>
    </row>
    <row r="797">
      <c r="A797" s="10"/>
      <c r="B797" s="10"/>
      <c r="C797" s="48"/>
      <c r="D797" s="10"/>
    </row>
    <row r="798">
      <c r="A798" s="10"/>
      <c r="B798" s="10"/>
      <c r="C798" s="48"/>
      <c r="D798" s="10"/>
    </row>
    <row r="799">
      <c r="A799" s="10"/>
      <c r="B799" s="10"/>
      <c r="C799" s="48"/>
      <c r="D799" s="10"/>
    </row>
    <row r="800">
      <c r="A800" s="10"/>
      <c r="B800" s="10"/>
      <c r="C800" s="48"/>
      <c r="D800" s="10"/>
    </row>
    <row r="801">
      <c r="A801" s="10"/>
      <c r="B801" s="10"/>
      <c r="C801" s="48"/>
      <c r="D801" s="10"/>
    </row>
    <row r="802">
      <c r="A802" s="10"/>
      <c r="B802" s="10"/>
      <c r="C802" s="48"/>
      <c r="D802" s="10"/>
    </row>
    <row r="803">
      <c r="A803" s="10"/>
      <c r="B803" s="10"/>
      <c r="C803" s="48"/>
      <c r="D803" s="10"/>
    </row>
    <row r="804">
      <c r="A804" s="10"/>
      <c r="B804" s="10"/>
      <c r="C804" s="48"/>
      <c r="D804" s="10"/>
    </row>
    <row r="805">
      <c r="A805" s="10"/>
      <c r="B805" s="10"/>
      <c r="C805" s="48"/>
      <c r="D805" s="10"/>
    </row>
    <row r="806">
      <c r="A806" s="10"/>
      <c r="B806" s="10"/>
      <c r="C806" s="48"/>
      <c r="D806" s="10"/>
    </row>
    <row r="807">
      <c r="A807" s="10"/>
      <c r="B807" s="10"/>
      <c r="C807" s="48"/>
      <c r="D807" s="10"/>
    </row>
    <row r="808">
      <c r="A808" s="10"/>
      <c r="B808" s="10"/>
      <c r="C808" s="48"/>
      <c r="D808" s="10"/>
    </row>
    <row r="809">
      <c r="A809" s="10"/>
      <c r="B809" s="10"/>
      <c r="C809" s="48"/>
      <c r="D809" s="10"/>
    </row>
    <row r="810">
      <c r="A810" s="10"/>
      <c r="B810" s="10"/>
      <c r="C810" s="48"/>
      <c r="D810" s="10"/>
    </row>
    <row r="811">
      <c r="A811" s="10"/>
      <c r="B811" s="10"/>
      <c r="C811" s="48"/>
      <c r="D811" s="10"/>
    </row>
    <row r="812">
      <c r="A812" s="10"/>
      <c r="B812" s="10"/>
      <c r="C812" s="48"/>
      <c r="D812" s="10"/>
    </row>
    <row r="813">
      <c r="A813" s="10"/>
      <c r="B813" s="10"/>
      <c r="C813" s="48"/>
      <c r="D813" s="10"/>
    </row>
    <row r="814">
      <c r="A814" s="10"/>
      <c r="B814" s="10"/>
      <c r="C814" s="48"/>
      <c r="D814" s="10"/>
    </row>
    <row r="815">
      <c r="A815" s="10"/>
      <c r="B815" s="10"/>
      <c r="C815" s="48"/>
      <c r="D815" s="10"/>
    </row>
    <row r="816">
      <c r="A816" s="10"/>
      <c r="B816" s="10"/>
      <c r="C816" s="48"/>
      <c r="D816" s="10"/>
    </row>
    <row r="817">
      <c r="A817" s="10"/>
      <c r="B817" s="10"/>
      <c r="C817" s="48"/>
      <c r="D817" s="10"/>
    </row>
    <row r="818">
      <c r="A818" s="10"/>
      <c r="B818" s="10"/>
      <c r="C818" s="48"/>
      <c r="D818" s="10"/>
    </row>
    <row r="819">
      <c r="A819" s="10"/>
      <c r="B819" s="10"/>
      <c r="C819" s="48"/>
      <c r="D819" s="10"/>
    </row>
    <row r="820">
      <c r="A820" s="10"/>
      <c r="B820" s="10"/>
      <c r="C820" s="48"/>
      <c r="D820" s="10"/>
    </row>
    <row r="821">
      <c r="A821" s="10"/>
      <c r="B821" s="10"/>
      <c r="C821" s="48"/>
      <c r="D821" s="10"/>
    </row>
    <row r="822">
      <c r="A822" s="10"/>
      <c r="B822" s="10"/>
      <c r="C822" s="48"/>
      <c r="D822" s="10"/>
    </row>
    <row r="823">
      <c r="A823" s="10"/>
      <c r="B823" s="10"/>
      <c r="C823" s="48"/>
      <c r="D823" s="10"/>
    </row>
    <row r="824">
      <c r="A824" s="10"/>
      <c r="B824" s="10"/>
      <c r="C824" s="48"/>
      <c r="D824" s="10"/>
    </row>
    <row r="825">
      <c r="A825" s="10"/>
      <c r="B825" s="10"/>
      <c r="C825" s="48"/>
      <c r="D825" s="10"/>
    </row>
    <row r="826">
      <c r="A826" s="10"/>
      <c r="B826" s="10"/>
      <c r="C826" s="48"/>
      <c r="D826" s="10"/>
    </row>
    <row r="827">
      <c r="A827" s="10"/>
      <c r="B827" s="10"/>
      <c r="C827" s="48"/>
      <c r="D827" s="10"/>
    </row>
    <row r="828">
      <c r="A828" s="10"/>
      <c r="B828" s="10"/>
      <c r="C828" s="48"/>
      <c r="D828" s="10"/>
    </row>
    <row r="829">
      <c r="A829" s="10"/>
      <c r="B829" s="10"/>
      <c r="C829" s="48"/>
      <c r="D829" s="10"/>
    </row>
    <row r="830">
      <c r="A830" s="10"/>
      <c r="B830" s="10"/>
      <c r="C830" s="48"/>
      <c r="D830" s="10"/>
    </row>
    <row r="831">
      <c r="A831" s="10"/>
      <c r="B831" s="10"/>
      <c r="C831" s="48"/>
      <c r="D831" s="10"/>
    </row>
    <row r="832">
      <c r="A832" s="10"/>
      <c r="B832" s="10"/>
      <c r="C832" s="48"/>
      <c r="D832" s="10"/>
    </row>
    <row r="833">
      <c r="A833" s="10"/>
      <c r="B833" s="10"/>
      <c r="C833" s="48"/>
      <c r="D833" s="10"/>
    </row>
    <row r="834">
      <c r="A834" s="10"/>
      <c r="B834" s="10"/>
      <c r="C834" s="48"/>
      <c r="D834" s="10"/>
    </row>
    <row r="835">
      <c r="A835" s="10"/>
      <c r="B835" s="10"/>
      <c r="C835" s="48"/>
      <c r="D835" s="10"/>
    </row>
    <row r="836">
      <c r="A836" s="10"/>
      <c r="B836" s="10"/>
      <c r="C836" s="48"/>
      <c r="D836" s="10"/>
    </row>
    <row r="837">
      <c r="A837" s="10"/>
      <c r="B837" s="10"/>
      <c r="C837" s="48"/>
      <c r="D837" s="10"/>
    </row>
    <row r="838">
      <c r="A838" s="10"/>
      <c r="B838" s="10"/>
      <c r="C838" s="48"/>
      <c r="D838" s="10"/>
    </row>
    <row r="839">
      <c r="A839" s="10"/>
      <c r="B839" s="10"/>
      <c r="C839" s="48"/>
      <c r="D839" s="10"/>
    </row>
    <row r="840">
      <c r="A840" s="10"/>
      <c r="B840" s="10"/>
      <c r="C840" s="48"/>
      <c r="D840" s="10"/>
    </row>
    <row r="841">
      <c r="A841" s="10"/>
      <c r="B841" s="10"/>
      <c r="C841" s="48"/>
      <c r="D841" s="10"/>
    </row>
    <row r="842">
      <c r="A842" s="10"/>
      <c r="B842" s="10"/>
      <c r="C842" s="48"/>
      <c r="D842" s="10"/>
    </row>
    <row r="843">
      <c r="A843" s="10"/>
      <c r="B843" s="10"/>
      <c r="C843" s="48"/>
      <c r="D843" s="10"/>
    </row>
    <row r="844">
      <c r="A844" s="10"/>
      <c r="B844" s="10"/>
      <c r="C844" s="48"/>
      <c r="D844" s="10"/>
    </row>
    <row r="845">
      <c r="A845" s="10"/>
      <c r="B845" s="10"/>
      <c r="C845" s="48"/>
      <c r="D845" s="10"/>
    </row>
    <row r="846">
      <c r="A846" s="10"/>
      <c r="B846" s="10"/>
      <c r="C846" s="48"/>
      <c r="D846" s="10"/>
    </row>
    <row r="847">
      <c r="A847" s="10"/>
      <c r="B847" s="10"/>
      <c r="C847" s="48"/>
      <c r="D847" s="10"/>
    </row>
    <row r="848">
      <c r="A848" s="10"/>
      <c r="B848" s="10"/>
      <c r="C848" s="48"/>
      <c r="D848" s="10"/>
    </row>
    <row r="849">
      <c r="A849" s="10"/>
      <c r="B849" s="10"/>
      <c r="C849" s="48"/>
      <c r="D849" s="10"/>
    </row>
    <row r="850">
      <c r="A850" s="10"/>
      <c r="B850" s="10"/>
      <c r="C850" s="48"/>
      <c r="D850" s="10"/>
    </row>
    <row r="851">
      <c r="A851" s="10"/>
      <c r="B851" s="10"/>
      <c r="C851" s="48"/>
      <c r="D851" s="10"/>
    </row>
    <row r="852">
      <c r="A852" s="10"/>
      <c r="B852" s="10"/>
      <c r="C852" s="48"/>
      <c r="D852" s="10"/>
    </row>
    <row r="853">
      <c r="A853" s="10"/>
      <c r="B853" s="10"/>
      <c r="C853" s="48"/>
      <c r="D853" s="10"/>
    </row>
    <row r="854">
      <c r="A854" s="10"/>
      <c r="B854" s="10"/>
      <c r="C854" s="48"/>
      <c r="D854" s="10"/>
    </row>
    <row r="855">
      <c r="A855" s="10"/>
      <c r="B855" s="10"/>
      <c r="C855" s="48"/>
      <c r="D855" s="10"/>
    </row>
    <row r="856">
      <c r="A856" s="10"/>
      <c r="B856" s="10"/>
      <c r="C856" s="48"/>
      <c r="D856" s="10"/>
    </row>
    <row r="857">
      <c r="A857" s="10"/>
      <c r="B857" s="10"/>
      <c r="C857" s="48"/>
      <c r="D857" s="10"/>
    </row>
    <row r="858">
      <c r="A858" s="10"/>
      <c r="B858" s="10"/>
      <c r="C858" s="48"/>
      <c r="D858" s="10"/>
    </row>
    <row r="859">
      <c r="A859" s="10"/>
      <c r="B859" s="10"/>
      <c r="C859" s="48"/>
      <c r="D859" s="10"/>
    </row>
    <row r="860">
      <c r="A860" s="10"/>
      <c r="B860" s="10"/>
      <c r="C860" s="48"/>
      <c r="D860" s="10"/>
    </row>
    <row r="861">
      <c r="A861" s="10"/>
      <c r="B861" s="10"/>
      <c r="C861" s="48"/>
      <c r="D861" s="10"/>
    </row>
    <row r="862">
      <c r="A862" s="10"/>
      <c r="B862" s="10"/>
      <c r="C862" s="48"/>
      <c r="D862" s="10"/>
    </row>
    <row r="863">
      <c r="A863" s="10"/>
      <c r="B863" s="10"/>
      <c r="C863" s="48"/>
      <c r="D863" s="10"/>
    </row>
    <row r="864">
      <c r="A864" s="10"/>
      <c r="B864" s="10"/>
      <c r="C864" s="48"/>
      <c r="D864" s="10"/>
    </row>
    <row r="865">
      <c r="A865" s="10"/>
      <c r="B865" s="10"/>
      <c r="C865" s="48"/>
      <c r="D865" s="10"/>
    </row>
    <row r="866">
      <c r="A866" s="10"/>
      <c r="B866" s="10"/>
      <c r="C866" s="48"/>
      <c r="D866" s="10"/>
    </row>
    <row r="867">
      <c r="A867" s="10"/>
      <c r="B867" s="10"/>
      <c r="C867" s="48"/>
      <c r="D867" s="10"/>
    </row>
    <row r="868">
      <c r="A868" s="10"/>
      <c r="B868" s="10"/>
      <c r="C868" s="48"/>
      <c r="D868" s="10"/>
    </row>
    <row r="869">
      <c r="A869" s="10"/>
      <c r="B869" s="10"/>
      <c r="C869" s="48"/>
      <c r="D869" s="10"/>
    </row>
    <row r="870">
      <c r="A870" s="10"/>
      <c r="B870" s="10"/>
      <c r="C870" s="48"/>
      <c r="D870" s="10"/>
    </row>
    <row r="871">
      <c r="A871" s="10"/>
      <c r="B871" s="10"/>
      <c r="C871" s="48"/>
      <c r="D871" s="10"/>
    </row>
    <row r="872">
      <c r="A872" s="10"/>
      <c r="B872" s="10"/>
      <c r="C872" s="48"/>
      <c r="D872" s="10"/>
    </row>
    <row r="873">
      <c r="A873" s="10"/>
      <c r="B873" s="10"/>
      <c r="C873" s="48"/>
      <c r="D873" s="10"/>
    </row>
    <row r="874">
      <c r="A874" s="10"/>
      <c r="B874" s="10"/>
      <c r="C874" s="48"/>
      <c r="D874" s="10"/>
    </row>
    <row r="875">
      <c r="A875" s="10"/>
      <c r="B875" s="10"/>
      <c r="C875" s="48"/>
      <c r="D875" s="10"/>
    </row>
    <row r="876">
      <c r="A876" s="10"/>
      <c r="B876" s="10"/>
      <c r="C876" s="48"/>
      <c r="D876" s="10"/>
    </row>
    <row r="877">
      <c r="A877" s="10"/>
      <c r="B877" s="10"/>
      <c r="C877" s="48"/>
      <c r="D877" s="10"/>
    </row>
    <row r="878">
      <c r="A878" s="10"/>
      <c r="B878" s="10"/>
      <c r="C878" s="48"/>
      <c r="D878" s="10"/>
    </row>
    <row r="879">
      <c r="A879" s="10"/>
      <c r="B879" s="10"/>
      <c r="C879" s="48"/>
      <c r="D879" s="10"/>
    </row>
    <row r="880">
      <c r="A880" s="10"/>
      <c r="B880" s="10"/>
      <c r="C880" s="48"/>
      <c r="D880" s="10"/>
    </row>
    <row r="881">
      <c r="A881" s="10"/>
      <c r="B881" s="10"/>
      <c r="C881" s="48"/>
      <c r="D881" s="10"/>
    </row>
    <row r="882">
      <c r="A882" s="10"/>
      <c r="B882" s="10"/>
      <c r="C882" s="48"/>
      <c r="D882" s="10"/>
    </row>
    <row r="883">
      <c r="A883" s="10"/>
      <c r="B883" s="10"/>
      <c r="C883" s="48"/>
      <c r="D883" s="10"/>
    </row>
    <row r="884">
      <c r="A884" s="10"/>
      <c r="B884" s="10"/>
      <c r="C884" s="48"/>
      <c r="D884" s="10"/>
    </row>
    <row r="885">
      <c r="A885" s="10"/>
      <c r="B885" s="10"/>
      <c r="C885" s="48"/>
      <c r="D885" s="10"/>
    </row>
    <row r="886">
      <c r="A886" s="10"/>
      <c r="B886" s="10"/>
      <c r="C886" s="48"/>
      <c r="D886" s="10"/>
    </row>
    <row r="887">
      <c r="A887" s="10"/>
      <c r="B887" s="10"/>
      <c r="C887" s="48"/>
      <c r="D887" s="10"/>
    </row>
    <row r="888">
      <c r="A888" s="10"/>
      <c r="B888" s="10"/>
      <c r="C888" s="48"/>
      <c r="D888" s="10"/>
    </row>
    <row r="889">
      <c r="A889" s="10"/>
      <c r="B889" s="10"/>
      <c r="C889" s="48"/>
      <c r="D889" s="10"/>
    </row>
    <row r="890">
      <c r="A890" s="10"/>
      <c r="B890" s="10"/>
      <c r="C890" s="48"/>
      <c r="D890" s="10"/>
    </row>
    <row r="891">
      <c r="A891" s="10"/>
      <c r="B891" s="10"/>
      <c r="C891" s="48"/>
      <c r="D891" s="10"/>
    </row>
    <row r="892">
      <c r="A892" s="10"/>
      <c r="B892" s="10"/>
      <c r="C892" s="48"/>
      <c r="D892" s="10"/>
    </row>
    <row r="893">
      <c r="A893" s="10"/>
      <c r="B893" s="10"/>
      <c r="C893" s="48"/>
      <c r="D893" s="10"/>
    </row>
    <row r="894">
      <c r="A894" s="10"/>
      <c r="B894" s="10"/>
      <c r="C894" s="48"/>
      <c r="D894" s="10"/>
    </row>
    <row r="895">
      <c r="A895" s="10"/>
      <c r="B895" s="10"/>
      <c r="C895" s="48"/>
      <c r="D895" s="10"/>
    </row>
    <row r="896">
      <c r="A896" s="10"/>
      <c r="B896" s="10"/>
      <c r="C896" s="48"/>
      <c r="D896" s="10"/>
    </row>
    <row r="897">
      <c r="A897" s="10"/>
      <c r="B897" s="10"/>
      <c r="C897" s="48"/>
      <c r="D897" s="10"/>
    </row>
    <row r="898">
      <c r="A898" s="10"/>
      <c r="B898" s="10"/>
      <c r="C898" s="48"/>
      <c r="D898" s="10"/>
    </row>
    <row r="899">
      <c r="A899" s="10"/>
      <c r="B899" s="10"/>
      <c r="C899" s="48"/>
      <c r="D899" s="10"/>
    </row>
    <row r="900">
      <c r="A900" s="10"/>
      <c r="B900" s="10"/>
      <c r="C900" s="48"/>
      <c r="D900" s="10"/>
    </row>
    <row r="901">
      <c r="A901" s="10"/>
      <c r="B901" s="10"/>
      <c r="C901" s="48"/>
      <c r="D901" s="10"/>
    </row>
    <row r="902">
      <c r="A902" s="10"/>
      <c r="B902" s="10"/>
      <c r="C902" s="48"/>
      <c r="D902" s="10"/>
    </row>
    <row r="903">
      <c r="A903" s="10"/>
      <c r="B903" s="10"/>
      <c r="C903" s="48"/>
      <c r="D903" s="10"/>
    </row>
    <row r="904">
      <c r="A904" s="10"/>
      <c r="B904" s="10"/>
      <c r="C904" s="48"/>
      <c r="D904" s="10"/>
    </row>
    <row r="905">
      <c r="A905" s="10"/>
      <c r="B905" s="10"/>
      <c r="C905" s="48"/>
      <c r="D905" s="10"/>
    </row>
    <row r="906">
      <c r="A906" s="10"/>
      <c r="B906" s="10"/>
      <c r="C906" s="48"/>
      <c r="D906" s="10"/>
    </row>
    <row r="907">
      <c r="A907" s="10"/>
      <c r="B907" s="10"/>
      <c r="C907" s="48"/>
      <c r="D907" s="10"/>
    </row>
    <row r="908">
      <c r="A908" s="10"/>
      <c r="B908" s="10"/>
      <c r="C908" s="48"/>
      <c r="D908" s="10"/>
    </row>
    <row r="909">
      <c r="A909" s="10"/>
      <c r="B909" s="10"/>
      <c r="C909" s="48"/>
      <c r="D909" s="10"/>
    </row>
    <row r="910">
      <c r="A910" s="10"/>
      <c r="B910" s="10"/>
      <c r="C910" s="48"/>
      <c r="D910" s="10"/>
    </row>
    <row r="911">
      <c r="A911" s="10"/>
      <c r="B911" s="10"/>
      <c r="C911" s="48"/>
      <c r="D911" s="10"/>
    </row>
    <row r="912">
      <c r="A912" s="10"/>
      <c r="B912" s="10"/>
      <c r="C912" s="48"/>
      <c r="D912" s="10"/>
    </row>
    <row r="913">
      <c r="A913" s="10"/>
      <c r="B913" s="10"/>
      <c r="C913" s="48"/>
      <c r="D913" s="10"/>
    </row>
    <row r="914">
      <c r="A914" s="10"/>
      <c r="B914" s="10"/>
      <c r="C914" s="48"/>
      <c r="D914" s="10"/>
    </row>
    <row r="915">
      <c r="A915" s="10"/>
      <c r="B915" s="10"/>
      <c r="C915" s="48"/>
      <c r="D915" s="10"/>
    </row>
    <row r="916">
      <c r="A916" s="10"/>
      <c r="B916" s="10"/>
      <c r="C916" s="48"/>
      <c r="D916" s="10"/>
    </row>
    <row r="917">
      <c r="A917" s="10"/>
      <c r="B917" s="10"/>
      <c r="C917" s="48"/>
      <c r="D917" s="10"/>
    </row>
    <row r="918">
      <c r="A918" s="10"/>
      <c r="B918" s="10"/>
      <c r="C918" s="48"/>
      <c r="D918" s="10"/>
    </row>
    <row r="919">
      <c r="A919" s="10"/>
      <c r="B919" s="10"/>
      <c r="C919" s="48"/>
      <c r="D919" s="10"/>
    </row>
    <row r="920">
      <c r="A920" s="10"/>
      <c r="B920" s="10"/>
      <c r="C920" s="48"/>
      <c r="D920" s="10"/>
    </row>
    <row r="921">
      <c r="A921" s="10"/>
      <c r="B921" s="10"/>
      <c r="C921" s="48"/>
      <c r="D921" s="10"/>
    </row>
    <row r="922">
      <c r="A922" s="10"/>
      <c r="B922" s="10"/>
      <c r="C922" s="48"/>
      <c r="D922" s="10"/>
    </row>
    <row r="923">
      <c r="A923" s="10"/>
      <c r="B923" s="10"/>
      <c r="C923" s="48"/>
      <c r="D923" s="10"/>
    </row>
    <row r="924">
      <c r="A924" s="10"/>
      <c r="B924" s="10"/>
      <c r="C924" s="48"/>
      <c r="D924" s="10"/>
    </row>
    <row r="925">
      <c r="A925" s="10"/>
      <c r="B925" s="10"/>
      <c r="C925" s="48"/>
      <c r="D925" s="10"/>
    </row>
    <row r="926">
      <c r="A926" s="10"/>
      <c r="B926" s="10"/>
      <c r="C926" s="48"/>
      <c r="D926" s="10"/>
    </row>
    <row r="927">
      <c r="A927" s="10"/>
      <c r="B927" s="10"/>
      <c r="C927" s="48"/>
      <c r="D927" s="10"/>
    </row>
    <row r="928">
      <c r="A928" s="10"/>
      <c r="B928" s="10"/>
      <c r="C928" s="48"/>
      <c r="D928" s="10"/>
    </row>
    <row r="929">
      <c r="A929" s="10"/>
      <c r="B929" s="10"/>
      <c r="C929" s="48"/>
      <c r="D929" s="10"/>
    </row>
    <row r="930">
      <c r="A930" s="10"/>
      <c r="B930" s="10"/>
      <c r="C930" s="48"/>
      <c r="D930" s="10"/>
    </row>
    <row r="931">
      <c r="A931" s="10"/>
      <c r="B931" s="10"/>
      <c r="C931" s="48"/>
      <c r="D931" s="10"/>
    </row>
    <row r="932">
      <c r="A932" s="10"/>
      <c r="B932" s="10"/>
      <c r="C932" s="48"/>
      <c r="D932" s="10"/>
    </row>
    <row r="933">
      <c r="A933" s="10"/>
      <c r="B933" s="10"/>
      <c r="C933" s="48"/>
      <c r="D933" s="10"/>
    </row>
    <row r="934">
      <c r="A934" s="10"/>
      <c r="B934" s="10"/>
      <c r="C934" s="48"/>
      <c r="D934" s="10"/>
    </row>
    <row r="935">
      <c r="A935" s="10"/>
      <c r="B935" s="10"/>
      <c r="C935" s="48"/>
      <c r="D935" s="10"/>
    </row>
    <row r="936">
      <c r="A936" s="10"/>
      <c r="B936" s="10"/>
      <c r="C936" s="48"/>
      <c r="D936" s="10"/>
    </row>
    <row r="937">
      <c r="A937" s="10"/>
      <c r="B937" s="10"/>
      <c r="C937" s="48"/>
      <c r="D937" s="10"/>
    </row>
    <row r="938">
      <c r="A938" s="10"/>
      <c r="B938" s="10"/>
      <c r="C938" s="48"/>
      <c r="D938" s="10"/>
    </row>
    <row r="939">
      <c r="A939" s="10"/>
      <c r="B939" s="10"/>
      <c r="C939" s="48"/>
      <c r="D939" s="10"/>
    </row>
    <row r="940">
      <c r="A940" s="10"/>
      <c r="B940" s="10"/>
      <c r="C940" s="48"/>
      <c r="D940" s="10"/>
    </row>
    <row r="941">
      <c r="A941" s="10"/>
      <c r="B941" s="10"/>
      <c r="C941" s="48"/>
      <c r="D941" s="10"/>
    </row>
    <row r="942">
      <c r="A942" s="10"/>
      <c r="B942" s="10"/>
      <c r="C942" s="48"/>
      <c r="D942" s="10"/>
    </row>
    <row r="943">
      <c r="A943" s="10"/>
      <c r="B943" s="10"/>
      <c r="C943" s="48"/>
      <c r="D943" s="10"/>
    </row>
    <row r="944">
      <c r="A944" s="10"/>
      <c r="B944" s="10"/>
      <c r="C944" s="48"/>
      <c r="D944" s="10"/>
    </row>
    <row r="945">
      <c r="A945" s="10"/>
      <c r="B945" s="10"/>
      <c r="C945" s="48"/>
      <c r="D945" s="10"/>
    </row>
    <row r="946">
      <c r="A946" s="10"/>
      <c r="B946" s="10"/>
      <c r="C946" s="48"/>
      <c r="D946" s="10"/>
    </row>
    <row r="947">
      <c r="A947" s="10"/>
      <c r="B947" s="10"/>
      <c r="C947" s="48"/>
      <c r="D947" s="10"/>
    </row>
    <row r="948">
      <c r="A948" s="10"/>
      <c r="B948" s="10"/>
      <c r="C948" s="48"/>
      <c r="D948" s="10"/>
    </row>
    <row r="949">
      <c r="A949" s="10"/>
      <c r="B949" s="10"/>
      <c r="C949" s="48"/>
      <c r="D949" s="10"/>
    </row>
    <row r="950">
      <c r="A950" s="10"/>
      <c r="B950" s="10"/>
      <c r="C950" s="48"/>
      <c r="D950" s="10"/>
    </row>
    <row r="951">
      <c r="A951" s="10"/>
      <c r="B951" s="10"/>
      <c r="C951" s="48"/>
      <c r="D951" s="10"/>
    </row>
    <row r="952">
      <c r="A952" s="10"/>
      <c r="B952" s="10"/>
      <c r="C952" s="48"/>
      <c r="D952" s="10"/>
    </row>
    <row r="953">
      <c r="A953" s="10"/>
      <c r="B953" s="10"/>
      <c r="C953" s="48"/>
      <c r="D953" s="10"/>
    </row>
    <row r="954">
      <c r="A954" s="10"/>
      <c r="B954" s="10"/>
      <c r="C954" s="48"/>
      <c r="D954" s="10"/>
    </row>
    <row r="955">
      <c r="A955" s="10"/>
      <c r="B955" s="10"/>
      <c r="C955" s="48"/>
      <c r="D955" s="10"/>
    </row>
    <row r="956">
      <c r="A956" s="10"/>
      <c r="B956" s="10"/>
      <c r="C956" s="48"/>
      <c r="D956" s="10"/>
    </row>
    <row r="957">
      <c r="A957" s="10"/>
      <c r="B957" s="10"/>
      <c r="C957" s="48"/>
      <c r="D957" s="10"/>
    </row>
    <row r="958">
      <c r="A958" s="10"/>
      <c r="B958" s="10"/>
      <c r="C958" s="48"/>
      <c r="D958" s="10"/>
    </row>
    <row r="959">
      <c r="A959" s="10"/>
      <c r="B959" s="10"/>
      <c r="C959" s="48"/>
      <c r="D959" s="10"/>
    </row>
    <row r="960">
      <c r="A960" s="10"/>
      <c r="B960" s="10"/>
      <c r="C960" s="48"/>
      <c r="D960" s="10"/>
    </row>
    <row r="961">
      <c r="A961" s="10"/>
      <c r="B961" s="10"/>
      <c r="C961" s="48"/>
      <c r="D961" s="10"/>
    </row>
    <row r="962">
      <c r="A962" s="10"/>
      <c r="B962" s="10"/>
      <c r="C962" s="48"/>
      <c r="D962" s="10"/>
    </row>
    <row r="963">
      <c r="A963" s="10"/>
      <c r="B963" s="10"/>
      <c r="C963" s="48"/>
      <c r="D963" s="10"/>
    </row>
    <row r="964">
      <c r="A964" s="10"/>
      <c r="B964" s="10"/>
      <c r="C964" s="48"/>
      <c r="D964" s="10"/>
    </row>
    <row r="965">
      <c r="A965" s="10"/>
      <c r="B965" s="10"/>
      <c r="C965" s="48"/>
      <c r="D965" s="10"/>
    </row>
    <row r="966">
      <c r="A966" s="10"/>
      <c r="B966" s="10"/>
      <c r="C966" s="48"/>
      <c r="D966" s="10"/>
    </row>
    <row r="967">
      <c r="A967" s="10"/>
      <c r="B967" s="10"/>
      <c r="C967" s="48"/>
      <c r="D967" s="10"/>
    </row>
    <row r="968">
      <c r="A968" s="10"/>
      <c r="B968" s="10"/>
      <c r="C968" s="48"/>
      <c r="D968" s="10"/>
    </row>
    <row r="969">
      <c r="A969" s="10"/>
      <c r="B969" s="10"/>
      <c r="C969" s="48"/>
      <c r="D969" s="10"/>
    </row>
    <row r="970">
      <c r="A970" s="10"/>
      <c r="B970" s="10"/>
      <c r="C970" s="48"/>
      <c r="D970" s="10"/>
    </row>
    <row r="971">
      <c r="A971" s="10"/>
      <c r="B971" s="10"/>
      <c r="C971" s="48"/>
      <c r="D971" s="10"/>
    </row>
    <row r="972">
      <c r="A972" s="10"/>
      <c r="B972" s="10"/>
      <c r="C972" s="48"/>
      <c r="D972" s="10"/>
    </row>
    <row r="973">
      <c r="A973" s="10"/>
      <c r="B973" s="10"/>
      <c r="C973" s="48"/>
      <c r="D973" s="10"/>
    </row>
    <row r="974">
      <c r="A974" s="10"/>
      <c r="B974" s="10"/>
      <c r="C974" s="48"/>
      <c r="D974" s="10"/>
    </row>
    <row r="975">
      <c r="A975" s="10"/>
      <c r="B975" s="10"/>
      <c r="C975" s="48"/>
      <c r="D975" s="10"/>
    </row>
    <row r="976">
      <c r="A976" s="10"/>
      <c r="B976" s="10"/>
      <c r="C976" s="48"/>
      <c r="D976" s="10"/>
    </row>
    <row r="977">
      <c r="A977" s="10"/>
      <c r="B977" s="10"/>
      <c r="C977" s="48"/>
      <c r="D977" s="10"/>
    </row>
    <row r="978">
      <c r="A978" s="10"/>
      <c r="B978" s="10"/>
      <c r="C978" s="48"/>
      <c r="D978" s="10"/>
    </row>
    <row r="979">
      <c r="A979" s="10"/>
      <c r="B979" s="10"/>
      <c r="C979" s="48"/>
      <c r="D979" s="10"/>
    </row>
    <row r="980">
      <c r="A980" s="10"/>
      <c r="B980" s="10"/>
      <c r="C980" s="48"/>
      <c r="D980" s="10"/>
    </row>
    <row r="981">
      <c r="A981" s="10"/>
      <c r="B981" s="10"/>
      <c r="C981" s="48"/>
      <c r="D981" s="10"/>
    </row>
    <row r="982">
      <c r="A982" s="10"/>
      <c r="B982" s="10"/>
      <c r="C982" s="48"/>
      <c r="D982" s="10"/>
    </row>
    <row r="983">
      <c r="A983" s="10"/>
      <c r="B983" s="10"/>
      <c r="C983" s="48"/>
      <c r="D983" s="10"/>
    </row>
    <row r="984">
      <c r="A984" s="10"/>
      <c r="B984" s="10"/>
      <c r="C984" s="48"/>
      <c r="D984" s="10"/>
    </row>
    <row r="985">
      <c r="A985" s="10"/>
      <c r="B985" s="10"/>
      <c r="C985" s="48"/>
      <c r="D985" s="10"/>
    </row>
    <row r="986">
      <c r="A986" s="10"/>
      <c r="B986" s="10"/>
      <c r="C986" s="48"/>
      <c r="D986" s="10"/>
    </row>
    <row r="987">
      <c r="A987" s="10"/>
      <c r="B987" s="10"/>
      <c r="C987" s="48"/>
      <c r="D987" s="10"/>
    </row>
    <row r="988">
      <c r="A988" s="10"/>
      <c r="B988" s="10"/>
      <c r="C988" s="48"/>
      <c r="D988" s="10"/>
    </row>
    <row r="989">
      <c r="A989" s="10"/>
      <c r="B989" s="10"/>
      <c r="C989" s="48"/>
      <c r="D989" s="10"/>
    </row>
    <row r="990">
      <c r="A990" s="10"/>
      <c r="B990" s="10"/>
      <c r="C990" s="48"/>
      <c r="D990" s="10"/>
    </row>
    <row r="991">
      <c r="A991" s="10"/>
      <c r="B991" s="10"/>
      <c r="C991" s="48"/>
      <c r="D991" s="10"/>
    </row>
    <row r="992">
      <c r="A992" s="10"/>
      <c r="B992" s="10"/>
      <c r="C992" s="48"/>
      <c r="D992" s="10"/>
    </row>
    <row r="993">
      <c r="A993" s="10"/>
      <c r="B993" s="10"/>
      <c r="C993" s="48"/>
      <c r="D993" s="10"/>
    </row>
    <row r="994">
      <c r="A994" s="10"/>
      <c r="B994" s="10"/>
      <c r="C994" s="48"/>
      <c r="D994" s="10"/>
    </row>
    <row r="995">
      <c r="A995" s="10"/>
      <c r="B995" s="10"/>
      <c r="C995" s="48"/>
      <c r="D995" s="10"/>
    </row>
    <row r="996">
      <c r="A996" s="10"/>
      <c r="B996" s="10"/>
      <c r="C996" s="48"/>
      <c r="D996" s="10"/>
    </row>
    <row r="997">
      <c r="A997" s="10"/>
      <c r="B997" s="10"/>
      <c r="C997" s="48"/>
      <c r="D997" s="10"/>
    </row>
    <row r="998">
      <c r="A998" s="10"/>
      <c r="B998" s="10"/>
      <c r="C998" s="48"/>
      <c r="D998" s="10"/>
    </row>
    <row r="999">
      <c r="A999" s="10"/>
      <c r="B999" s="10"/>
      <c r="C999" s="48"/>
      <c r="D999" s="10"/>
    </row>
    <row r="1000">
      <c r="A1000" s="10"/>
      <c r="B1000" s="10"/>
      <c r="C1000" s="48"/>
      <c r="D1000" s="10"/>
    </row>
    <row r="1001">
      <c r="A1001" s="10"/>
      <c r="B1001" s="10"/>
      <c r="C1001" s="48"/>
      <c r="D1001" s="10"/>
    </row>
    <row r="1002">
      <c r="A1002" s="10"/>
      <c r="B1002" s="10"/>
      <c r="C1002" s="48"/>
      <c r="D1002" s="10"/>
    </row>
    <row r="1003">
      <c r="A1003" s="10"/>
      <c r="B1003" s="10"/>
      <c r="C1003" s="48"/>
      <c r="D1003" s="10"/>
    </row>
    <row r="1004">
      <c r="A1004" s="10"/>
      <c r="B1004" s="10"/>
      <c r="C1004" s="48"/>
      <c r="D1004" s="10"/>
    </row>
    <row r="1005">
      <c r="A1005" s="10"/>
      <c r="B1005" s="10"/>
      <c r="C1005" s="48"/>
      <c r="D1005" s="10"/>
    </row>
    <row r="1006">
      <c r="A1006" s="10"/>
      <c r="B1006" s="10"/>
      <c r="C1006" s="48"/>
      <c r="D1006" s="10"/>
    </row>
    <row r="1007">
      <c r="A1007" s="10"/>
      <c r="B1007" s="10"/>
      <c r="C1007" s="48"/>
      <c r="D1007" s="10"/>
    </row>
    <row r="1008">
      <c r="A1008" s="10"/>
      <c r="B1008" s="10"/>
      <c r="C1008" s="48"/>
      <c r="D1008" s="10"/>
    </row>
  </sheetData>
  <mergeCells count="11">
    <mergeCell ref="A64:D64"/>
    <mergeCell ref="A74:D74"/>
    <mergeCell ref="A82:D82"/>
    <mergeCell ref="A91:D91"/>
    <mergeCell ref="A1:D1"/>
    <mergeCell ref="E1:I1"/>
    <mergeCell ref="A3:D3"/>
    <mergeCell ref="A17:D17"/>
    <mergeCell ref="A23:D23"/>
    <mergeCell ref="A32:D32"/>
    <mergeCell ref="A49:D49"/>
  </mergeCells>
  <hyperlinks>
    <hyperlink r:id="rId1" ref="E1"/>
    <hyperlink r:id="rId2" ref="C4"/>
    <hyperlink r:id="rId3" location="gid=825093966" ref="C5"/>
    <hyperlink r:id="rId4" ref="C6"/>
    <hyperlink r:id="rId5" ref="C7"/>
    <hyperlink r:id="rId6" location="slide=id.p1" ref="C8"/>
    <hyperlink r:id="rId7" ref="C9"/>
    <hyperlink r:id="rId8" ref="C10"/>
    <hyperlink r:id="rId9" ref="C11"/>
    <hyperlink r:id="rId10" ref="C12"/>
    <hyperlink r:id="rId11" ref="C13"/>
    <hyperlink r:id="rId12" ref="C14"/>
    <hyperlink r:id="rId13" ref="C18"/>
    <hyperlink r:id="rId14" location="gid=1282276168" ref="C19"/>
    <hyperlink r:id="rId15" location="gid=1123319909" ref="C20"/>
    <hyperlink r:id="rId16" ref="C24"/>
    <hyperlink r:id="rId17" ref="C25"/>
    <hyperlink r:id="rId18" ref="C26"/>
    <hyperlink r:id="rId19" ref="C27"/>
    <hyperlink r:id="rId20" ref="C28"/>
    <hyperlink r:id="rId21" ref="C29"/>
    <hyperlink r:id="rId22" ref="C33"/>
    <hyperlink r:id="rId23" ref="C34"/>
    <hyperlink r:id="rId24" ref="C35"/>
    <hyperlink r:id="rId25" ref="C36"/>
    <hyperlink r:id="rId26" ref="C37"/>
    <hyperlink r:id="rId27" ref="C38"/>
    <hyperlink r:id="rId28" ref="C39"/>
    <hyperlink r:id="rId29" ref="C40"/>
    <hyperlink r:id="rId30" location="gid=0" ref="C41"/>
    <hyperlink r:id="rId31" ref="C42"/>
    <hyperlink r:id="rId32" location="gid=2001375830" ref="C43"/>
    <hyperlink r:id="rId33" ref="C44"/>
    <hyperlink r:id="rId34" ref="C45"/>
    <hyperlink r:id="rId35" ref="C46"/>
    <hyperlink r:id="rId36" ref="C50"/>
    <hyperlink r:id="rId37" ref="C51"/>
    <hyperlink r:id="rId38" ref="C52"/>
    <hyperlink r:id="rId39" ref="C53"/>
    <hyperlink r:id="rId40" ref="C54"/>
    <hyperlink r:id="rId41" ref="C55"/>
    <hyperlink r:id="rId42" ref="C56"/>
    <hyperlink r:id="rId43" ref="C57"/>
    <hyperlink r:id="rId44" ref="C58"/>
    <hyperlink r:id="rId45" ref="C59"/>
    <hyperlink r:id="rId46" ref="C60"/>
    <hyperlink r:id="rId47" ref="C61"/>
    <hyperlink r:id="rId48" ref="C65"/>
    <hyperlink r:id="rId49" ref="C66"/>
    <hyperlink r:id="rId50" ref="C67"/>
    <hyperlink r:id="rId51" ref="C68"/>
    <hyperlink r:id="rId52" ref="C69"/>
    <hyperlink r:id="rId53" ref="C70"/>
    <hyperlink r:id="rId54" ref="C71"/>
    <hyperlink r:id="rId55" ref="C75"/>
    <hyperlink r:id="rId56" ref="C76"/>
    <hyperlink r:id="rId57" ref="C77"/>
    <hyperlink r:id="rId58" ref="C78"/>
    <hyperlink r:id="rId59" ref="C79"/>
    <hyperlink r:id="rId60" ref="C83"/>
    <hyperlink r:id="rId61" ref="C84"/>
    <hyperlink r:id="rId62" ref="C85"/>
    <hyperlink r:id="rId63" location="gid=1769344180" ref="C86"/>
    <hyperlink r:id="rId64" ref="C87"/>
    <hyperlink r:id="rId65" ref="C88"/>
    <hyperlink r:id="rId66" ref="C92"/>
    <hyperlink r:id="rId67" ref="C93"/>
    <hyperlink r:id="rId68" ref="C94"/>
  </hyperlinks>
  <drawing r:id="rId6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23.5"/>
    <col customWidth="1" min="3" max="3" width="26.5"/>
    <col customWidth="1" min="4" max="4" width="32.63"/>
    <col customWidth="1" min="5" max="5" width="19.5"/>
  </cols>
  <sheetData>
    <row r="1">
      <c r="A1" s="47" t="s">
        <v>104</v>
      </c>
      <c r="B1" s="47" t="s">
        <v>1297</v>
      </c>
      <c r="C1" s="47" t="s">
        <v>1298</v>
      </c>
      <c r="D1" s="47" t="s">
        <v>1299</v>
      </c>
      <c r="E1" s="47" t="s">
        <v>836</v>
      </c>
    </row>
    <row r="2" ht="58.5" customHeight="1">
      <c r="A2" s="24" t="s">
        <v>31</v>
      </c>
      <c r="B2" s="24" t="s">
        <v>1300</v>
      </c>
      <c r="C2" s="24" t="s">
        <v>1301</v>
      </c>
      <c r="D2" s="24" t="s">
        <v>1302</v>
      </c>
      <c r="E2" s="24" t="s">
        <v>1303</v>
      </c>
    </row>
    <row r="3" ht="53.25" customHeight="1">
      <c r="B3" s="24" t="s">
        <v>1304</v>
      </c>
      <c r="C3" s="24" t="s">
        <v>1305</v>
      </c>
    </row>
    <row r="4" ht="39.0" customHeight="1">
      <c r="A4" s="24" t="s">
        <v>592</v>
      </c>
      <c r="B4" s="24" t="s">
        <v>1306</v>
      </c>
      <c r="C4" s="24" t="s">
        <v>1307</v>
      </c>
      <c r="D4" s="24" t="s">
        <v>1308</v>
      </c>
      <c r="E4" s="24" t="s">
        <v>1309</v>
      </c>
    </row>
    <row r="5" ht="39.75" customHeight="1">
      <c r="B5" s="24" t="s">
        <v>1310</v>
      </c>
      <c r="C5" s="24" t="s">
        <v>1311</v>
      </c>
    </row>
    <row r="6">
      <c r="A6" s="24" t="s">
        <v>255</v>
      </c>
      <c r="B6" s="24" t="s">
        <v>1312</v>
      </c>
      <c r="C6" s="24" t="s">
        <v>1313</v>
      </c>
      <c r="D6" s="24" t="s">
        <v>1314</v>
      </c>
      <c r="E6" s="24" t="s">
        <v>1315</v>
      </c>
    </row>
    <row r="7">
      <c r="A7" s="24" t="s">
        <v>656</v>
      </c>
      <c r="B7" s="24" t="s">
        <v>1316</v>
      </c>
      <c r="C7" s="24" t="s">
        <v>1317</v>
      </c>
      <c r="D7" s="24" t="s">
        <v>1318</v>
      </c>
      <c r="E7" s="24" t="s">
        <v>1315</v>
      </c>
    </row>
    <row r="8">
      <c r="A8" s="25"/>
      <c r="B8" s="25"/>
      <c r="C8" s="25"/>
      <c r="D8" s="25"/>
      <c r="E8" s="25"/>
    </row>
    <row r="9">
      <c r="A9" s="25"/>
      <c r="B9" s="25"/>
      <c r="C9" s="25"/>
      <c r="D9" s="25"/>
      <c r="E9" s="25"/>
    </row>
    <row r="10">
      <c r="A10" s="25"/>
      <c r="B10" s="25"/>
      <c r="C10" s="25"/>
      <c r="D10" s="25"/>
      <c r="E10" s="25"/>
    </row>
    <row r="11">
      <c r="A11" s="25"/>
      <c r="B11" s="25"/>
      <c r="C11" s="25"/>
      <c r="D11" s="25"/>
      <c r="E11" s="25"/>
    </row>
    <row r="12">
      <c r="A12" s="25"/>
      <c r="B12" s="25"/>
      <c r="C12" s="25"/>
      <c r="D12" s="25"/>
      <c r="E12" s="25"/>
    </row>
    <row r="13">
      <c r="A13" s="25"/>
      <c r="B13" s="25"/>
      <c r="C13" s="25"/>
      <c r="D13" s="25"/>
      <c r="E13" s="25"/>
    </row>
    <row r="14">
      <c r="A14" s="25"/>
      <c r="B14" s="25"/>
      <c r="C14" s="25"/>
      <c r="D14" s="25"/>
      <c r="E14" s="25"/>
    </row>
    <row r="15">
      <c r="A15" s="25"/>
      <c r="B15" s="25"/>
      <c r="C15" s="25"/>
      <c r="D15" s="25"/>
      <c r="E15" s="25"/>
    </row>
    <row r="16">
      <c r="A16" s="25"/>
      <c r="B16" s="25"/>
      <c r="C16" s="25"/>
      <c r="D16" s="25"/>
      <c r="E16" s="25"/>
    </row>
    <row r="17">
      <c r="A17" s="25"/>
      <c r="B17" s="25"/>
      <c r="C17" s="25"/>
      <c r="D17" s="25"/>
      <c r="E17" s="25"/>
    </row>
    <row r="18">
      <c r="A18" s="25"/>
      <c r="B18" s="25"/>
      <c r="C18" s="25"/>
      <c r="D18" s="25"/>
      <c r="E18" s="25"/>
    </row>
    <row r="19">
      <c r="A19" s="25"/>
      <c r="B19" s="25"/>
      <c r="C19" s="25"/>
      <c r="D19" s="25"/>
      <c r="E19" s="25"/>
    </row>
    <row r="20">
      <c r="A20" s="25"/>
      <c r="B20" s="25"/>
      <c r="C20" s="25"/>
      <c r="D20" s="25"/>
      <c r="E20" s="25"/>
    </row>
    <row r="21">
      <c r="A21" s="25"/>
      <c r="B21" s="25"/>
      <c r="C21" s="25"/>
      <c r="D21" s="25"/>
      <c r="E21" s="25"/>
    </row>
    <row r="22">
      <c r="A22" s="25"/>
      <c r="B22" s="25"/>
      <c r="C22" s="25"/>
      <c r="D22" s="25"/>
      <c r="E22" s="25"/>
    </row>
    <row r="23">
      <c r="A23" s="25"/>
      <c r="B23" s="25"/>
      <c r="C23" s="25"/>
      <c r="D23" s="25"/>
      <c r="E23" s="25"/>
    </row>
    <row r="24">
      <c r="A24" s="25"/>
      <c r="B24" s="25"/>
      <c r="C24" s="25"/>
      <c r="D24" s="25"/>
      <c r="E24" s="25"/>
    </row>
    <row r="25">
      <c r="A25" s="25"/>
      <c r="B25" s="25"/>
      <c r="C25" s="25"/>
      <c r="D25" s="25"/>
      <c r="E25" s="25"/>
    </row>
    <row r="26">
      <c r="A26" s="25"/>
      <c r="B26" s="25"/>
      <c r="C26" s="25"/>
      <c r="D26" s="25"/>
      <c r="E26" s="25"/>
    </row>
    <row r="27">
      <c r="A27" s="25"/>
      <c r="B27" s="25"/>
      <c r="C27" s="25"/>
      <c r="D27" s="25"/>
      <c r="E27" s="25"/>
    </row>
    <row r="28">
      <c r="A28" s="25"/>
      <c r="B28" s="25"/>
      <c r="C28" s="25"/>
      <c r="D28" s="25"/>
      <c r="E28" s="25"/>
    </row>
    <row r="29">
      <c r="A29" s="25"/>
      <c r="B29" s="25"/>
      <c r="C29" s="25"/>
      <c r="D29" s="25"/>
      <c r="E29" s="25"/>
    </row>
    <row r="30">
      <c r="A30" s="25"/>
      <c r="B30" s="25"/>
      <c r="C30" s="25"/>
      <c r="D30" s="25"/>
      <c r="E30" s="25"/>
    </row>
    <row r="31">
      <c r="A31" s="25"/>
      <c r="B31" s="25"/>
      <c r="C31" s="25"/>
      <c r="D31" s="25"/>
      <c r="E31" s="25"/>
    </row>
    <row r="32">
      <c r="A32" s="25"/>
      <c r="B32" s="25"/>
      <c r="C32" s="25"/>
      <c r="D32" s="25"/>
      <c r="E32" s="25"/>
    </row>
    <row r="33">
      <c r="A33" s="25"/>
      <c r="B33" s="25"/>
      <c r="C33" s="25"/>
      <c r="D33" s="25"/>
      <c r="E33" s="25"/>
    </row>
    <row r="34">
      <c r="A34" s="25"/>
      <c r="B34" s="25"/>
      <c r="C34" s="25"/>
      <c r="D34" s="25"/>
      <c r="E34" s="25"/>
    </row>
    <row r="35">
      <c r="A35" s="25"/>
      <c r="B35" s="25"/>
      <c r="C35" s="25"/>
      <c r="D35" s="25"/>
      <c r="E35" s="25"/>
    </row>
    <row r="36">
      <c r="A36" s="25"/>
      <c r="B36" s="25"/>
      <c r="C36" s="25"/>
      <c r="D36" s="25"/>
      <c r="E36" s="25"/>
    </row>
    <row r="37">
      <c r="A37" s="25"/>
      <c r="B37" s="25"/>
      <c r="C37" s="25"/>
      <c r="D37" s="25"/>
      <c r="E37" s="25"/>
    </row>
    <row r="38">
      <c r="A38" s="25"/>
      <c r="B38" s="25"/>
      <c r="C38" s="25"/>
      <c r="D38" s="25"/>
      <c r="E38" s="25"/>
    </row>
    <row r="39">
      <c r="A39" s="25"/>
      <c r="B39" s="25"/>
      <c r="C39" s="25"/>
      <c r="D39" s="25"/>
      <c r="E39" s="25"/>
    </row>
    <row r="40">
      <c r="A40" s="25"/>
      <c r="B40" s="25"/>
      <c r="C40" s="25"/>
      <c r="D40" s="25"/>
      <c r="E40" s="25"/>
    </row>
    <row r="41">
      <c r="A41" s="25"/>
      <c r="B41" s="25"/>
      <c r="C41" s="25"/>
      <c r="D41" s="25"/>
      <c r="E41" s="25"/>
    </row>
    <row r="42">
      <c r="A42" s="25"/>
      <c r="B42" s="25"/>
      <c r="C42" s="25"/>
      <c r="D42" s="25"/>
      <c r="E42" s="25"/>
    </row>
    <row r="43">
      <c r="A43" s="25"/>
      <c r="B43" s="25"/>
      <c r="C43" s="25"/>
      <c r="D43" s="25"/>
      <c r="E43" s="25"/>
    </row>
    <row r="44">
      <c r="A44" s="25"/>
      <c r="B44" s="25"/>
      <c r="C44" s="25"/>
      <c r="D44" s="25"/>
      <c r="E44" s="25"/>
    </row>
    <row r="45">
      <c r="A45" s="25"/>
      <c r="B45" s="25"/>
      <c r="C45" s="25"/>
      <c r="D45" s="25"/>
      <c r="E45" s="25"/>
    </row>
    <row r="46">
      <c r="A46" s="25"/>
      <c r="B46" s="25"/>
      <c r="C46" s="25"/>
      <c r="D46" s="25"/>
      <c r="E46" s="25"/>
    </row>
    <row r="47">
      <c r="A47" s="25"/>
      <c r="B47" s="25"/>
      <c r="C47" s="25"/>
      <c r="D47" s="25"/>
      <c r="E47" s="25"/>
    </row>
    <row r="48">
      <c r="A48" s="25"/>
      <c r="B48" s="25"/>
      <c r="C48" s="25"/>
      <c r="D48" s="25"/>
      <c r="E48" s="25"/>
    </row>
    <row r="49">
      <c r="A49" s="25"/>
      <c r="B49" s="25"/>
      <c r="C49" s="25"/>
      <c r="D49" s="25"/>
      <c r="E49" s="25"/>
    </row>
    <row r="50">
      <c r="A50" s="25"/>
      <c r="B50" s="25"/>
      <c r="C50" s="25"/>
      <c r="D50" s="25"/>
      <c r="E50" s="25"/>
    </row>
    <row r="51">
      <c r="A51" s="25"/>
      <c r="B51" s="25"/>
      <c r="C51" s="25"/>
      <c r="D51" s="25"/>
      <c r="E51" s="25"/>
    </row>
    <row r="52">
      <c r="A52" s="25"/>
      <c r="B52" s="25"/>
      <c r="C52" s="25"/>
      <c r="D52" s="25"/>
      <c r="E52" s="25"/>
    </row>
    <row r="53">
      <c r="A53" s="25"/>
      <c r="B53" s="25"/>
      <c r="C53" s="25"/>
      <c r="D53" s="25"/>
      <c r="E53" s="25"/>
    </row>
    <row r="54">
      <c r="A54" s="25"/>
      <c r="B54" s="25"/>
      <c r="C54" s="25"/>
      <c r="D54" s="25"/>
      <c r="E54" s="25"/>
    </row>
    <row r="55">
      <c r="A55" s="25"/>
      <c r="B55" s="25"/>
      <c r="C55" s="25"/>
      <c r="D55" s="25"/>
      <c r="E55" s="25"/>
    </row>
    <row r="56">
      <c r="A56" s="25"/>
      <c r="B56" s="25"/>
      <c r="C56" s="25"/>
      <c r="D56" s="25"/>
      <c r="E56" s="25"/>
    </row>
    <row r="57">
      <c r="A57" s="25"/>
      <c r="B57" s="25"/>
      <c r="C57" s="25"/>
      <c r="D57" s="25"/>
      <c r="E57" s="25"/>
    </row>
    <row r="58">
      <c r="A58" s="25"/>
      <c r="B58" s="25"/>
      <c r="C58" s="25"/>
      <c r="D58" s="25"/>
      <c r="E58" s="25"/>
    </row>
    <row r="59">
      <c r="A59" s="25"/>
      <c r="B59" s="25"/>
      <c r="C59" s="25"/>
      <c r="D59" s="25"/>
      <c r="E59" s="25"/>
    </row>
    <row r="60">
      <c r="A60" s="25"/>
      <c r="B60" s="25"/>
      <c r="C60" s="25"/>
      <c r="D60" s="25"/>
      <c r="E60" s="25"/>
    </row>
    <row r="61">
      <c r="A61" s="25"/>
      <c r="B61" s="25"/>
      <c r="C61" s="25"/>
      <c r="D61" s="25"/>
      <c r="E61" s="25"/>
    </row>
    <row r="62">
      <c r="A62" s="25"/>
      <c r="B62" s="25"/>
      <c r="C62" s="25"/>
      <c r="D62" s="25"/>
      <c r="E62" s="25"/>
    </row>
    <row r="63">
      <c r="A63" s="25"/>
      <c r="B63" s="25"/>
      <c r="C63" s="25"/>
      <c r="D63" s="25"/>
      <c r="E63" s="25"/>
    </row>
    <row r="64">
      <c r="A64" s="25"/>
      <c r="B64" s="25"/>
      <c r="C64" s="25"/>
      <c r="D64" s="25"/>
      <c r="E64" s="25"/>
    </row>
    <row r="65">
      <c r="A65" s="25"/>
      <c r="B65" s="25"/>
      <c r="C65" s="25"/>
      <c r="D65" s="25"/>
      <c r="E65" s="25"/>
    </row>
    <row r="66">
      <c r="A66" s="25"/>
      <c r="B66" s="25"/>
      <c r="C66" s="25"/>
      <c r="D66" s="25"/>
      <c r="E66" s="25"/>
    </row>
    <row r="67">
      <c r="A67" s="25"/>
      <c r="B67" s="25"/>
      <c r="C67" s="25"/>
      <c r="D67" s="25"/>
      <c r="E67" s="25"/>
    </row>
    <row r="68">
      <c r="A68" s="25"/>
      <c r="B68" s="25"/>
      <c r="C68" s="25"/>
      <c r="D68" s="25"/>
      <c r="E68" s="25"/>
    </row>
    <row r="69">
      <c r="A69" s="25"/>
      <c r="B69" s="25"/>
      <c r="C69" s="25"/>
      <c r="D69" s="25"/>
      <c r="E69" s="25"/>
    </row>
    <row r="70">
      <c r="A70" s="25"/>
      <c r="B70" s="25"/>
      <c r="C70" s="25"/>
      <c r="D70" s="25"/>
      <c r="E70" s="25"/>
    </row>
    <row r="71">
      <c r="A71" s="25"/>
      <c r="B71" s="25"/>
      <c r="C71" s="25"/>
      <c r="D71" s="25"/>
      <c r="E71" s="25"/>
    </row>
    <row r="72">
      <c r="A72" s="25"/>
      <c r="B72" s="25"/>
      <c r="C72" s="25"/>
      <c r="D72" s="25"/>
      <c r="E72" s="25"/>
    </row>
    <row r="73">
      <c r="A73" s="25"/>
      <c r="B73" s="25"/>
      <c r="C73" s="25"/>
      <c r="D73" s="25"/>
      <c r="E73" s="25"/>
    </row>
    <row r="74">
      <c r="A74" s="25"/>
      <c r="B74" s="25"/>
      <c r="C74" s="25"/>
      <c r="D74" s="25"/>
      <c r="E74" s="25"/>
    </row>
    <row r="75">
      <c r="A75" s="25"/>
      <c r="B75" s="25"/>
      <c r="C75" s="25"/>
      <c r="D75" s="25"/>
      <c r="E75" s="25"/>
    </row>
    <row r="76">
      <c r="A76" s="25"/>
      <c r="B76" s="25"/>
      <c r="C76" s="25"/>
      <c r="D76" s="25"/>
      <c r="E76" s="25"/>
    </row>
    <row r="77">
      <c r="A77" s="25"/>
      <c r="B77" s="25"/>
      <c r="C77" s="25"/>
      <c r="D77" s="25"/>
      <c r="E77" s="25"/>
    </row>
    <row r="78">
      <c r="A78" s="25"/>
      <c r="B78" s="25"/>
      <c r="C78" s="25"/>
      <c r="D78" s="25"/>
      <c r="E78" s="25"/>
    </row>
    <row r="79">
      <c r="A79" s="25"/>
      <c r="B79" s="25"/>
      <c r="C79" s="25"/>
      <c r="D79" s="25"/>
      <c r="E79" s="25"/>
    </row>
    <row r="80">
      <c r="A80" s="25"/>
      <c r="B80" s="25"/>
      <c r="C80" s="25"/>
      <c r="D80" s="25"/>
      <c r="E80" s="25"/>
    </row>
    <row r="81">
      <c r="A81" s="25"/>
      <c r="B81" s="25"/>
      <c r="C81" s="25"/>
      <c r="D81" s="25"/>
      <c r="E81" s="25"/>
    </row>
    <row r="82">
      <c r="A82" s="25"/>
      <c r="B82" s="25"/>
      <c r="C82" s="25"/>
      <c r="D82" s="25"/>
      <c r="E82" s="25"/>
    </row>
    <row r="83">
      <c r="A83" s="25"/>
      <c r="B83" s="25"/>
      <c r="C83" s="25"/>
      <c r="D83" s="25"/>
      <c r="E83" s="25"/>
    </row>
    <row r="84">
      <c r="A84" s="25"/>
      <c r="B84" s="25"/>
      <c r="C84" s="25"/>
      <c r="D84" s="25"/>
      <c r="E84" s="25"/>
    </row>
    <row r="85">
      <c r="A85" s="25"/>
      <c r="B85" s="25"/>
      <c r="C85" s="25"/>
      <c r="D85" s="25"/>
      <c r="E85" s="25"/>
    </row>
    <row r="86">
      <c r="A86" s="25"/>
      <c r="B86" s="25"/>
      <c r="C86" s="25"/>
      <c r="D86" s="25"/>
      <c r="E86" s="25"/>
    </row>
    <row r="87">
      <c r="A87" s="25"/>
      <c r="B87" s="25"/>
      <c r="C87" s="25"/>
      <c r="D87" s="25"/>
      <c r="E87" s="25"/>
    </row>
    <row r="88">
      <c r="A88" s="25"/>
      <c r="B88" s="25"/>
      <c r="C88" s="25"/>
      <c r="D88" s="25"/>
      <c r="E88" s="25"/>
    </row>
    <row r="89">
      <c r="A89" s="25"/>
      <c r="B89" s="25"/>
      <c r="C89" s="25"/>
      <c r="D89" s="25"/>
      <c r="E89" s="25"/>
    </row>
    <row r="90">
      <c r="A90" s="25"/>
      <c r="B90" s="25"/>
      <c r="C90" s="25"/>
      <c r="D90" s="25"/>
      <c r="E90" s="25"/>
    </row>
    <row r="91">
      <c r="A91" s="25"/>
      <c r="B91" s="25"/>
      <c r="C91" s="25"/>
      <c r="D91" s="25"/>
      <c r="E91" s="25"/>
    </row>
    <row r="92">
      <c r="A92" s="25"/>
      <c r="B92" s="25"/>
      <c r="C92" s="25"/>
      <c r="D92" s="25"/>
      <c r="E92" s="25"/>
    </row>
    <row r="93">
      <c r="A93" s="25"/>
      <c r="B93" s="25"/>
      <c r="C93" s="25"/>
      <c r="D93" s="25"/>
      <c r="E93" s="25"/>
    </row>
    <row r="94">
      <c r="A94" s="25"/>
      <c r="B94" s="25"/>
      <c r="C94" s="25"/>
      <c r="D94" s="25"/>
      <c r="E94" s="25"/>
    </row>
    <row r="95">
      <c r="A95" s="25"/>
      <c r="B95" s="25"/>
      <c r="C95" s="25"/>
      <c r="D95" s="25"/>
      <c r="E95" s="25"/>
    </row>
    <row r="96">
      <c r="A96" s="25"/>
      <c r="B96" s="25"/>
      <c r="C96" s="25"/>
      <c r="D96" s="25"/>
      <c r="E96" s="25"/>
    </row>
    <row r="97">
      <c r="A97" s="25"/>
      <c r="B97" s="25"/>
      <c r="C97" s="25"/>
      <c r="D97" s="25"/>
      <c r="E97" s="25"/>
    </row>
    <row r="98">
      <c r="A98" s="25"/>
      <c r="B98" s="25"/>
      <c r="C98" s="25"/>
      <c r="D98" s="25"/>
      <c r="E98" s="25"/>
    </row>
    <row r="99">
      <c r="A99" s="25"/>
      <c r="B99" s="25"/>
      <c r="C99" s="25"/>
      <c r="D99" s="25"/>
      <c r="E99" s="25"/>
    </row>
    <row r="100">
      <c r="A100" s="25"/>
      <c r="B100" s="25"/>
      <c r="C100" s="25"/>
      <c r="D100" s="25"/>
      <c r="E100" s="25"/>
    </row>
    <row r="101">
      <c r="A101" s="25"/>
      <c r="B101" s="25"/>
      <c r="C101" s="25"/>
      <c r="D101" s="25"/>
      <c r="E101" s="25"/>
    </row>
    <row r="102">
      <c r="A102" s="25"/>
      <c r="B102" s="25"/>
      <c r="C102" s="25"/>
      <c r="D102" s="25"/>
      <c r="E102" s="25"/>
    </row>
    <row r="103">
      <c r="A103" s="25"/>
      <c r="B103" s="25"/>
      <c r="C103" s="25"/>
      <c r="D103" s="25"/>
      <c r="E103" s="25"/>
    </row>
    <row r="104">
      <c r="A104" s="25"/>
      <c r="B104" s="25"/>
      <c r="C104" s="25"/>
      <c r="D104" s="25"/>
      <c r="E104" s="25"/>
    </row>
    <row r="105">
      <c r="A105" s="25"/>
      <c r="B105" s="25"/>
      <c r="C105" s="25"/>
      <c r="D105" s="25"/>
      <c r="E105" s="25"/>
    </row>
    <row r="106">
      <c r="A106" s="25"/>
      <c r="B106" s="25"/>
      <c r="C106" s="25"/>
      <c r="D106" s="25"/>
      <c r="E106" s="25"/>
    </row>
    <row r="107">
      <c r="A107" s="25"/>
      <c r="B107" s="25"/>
      <c r="C107" s="25"/>
      <c r="D107" s="25"/>
      <c r="E107" s="25"/>
    </row>
    <row r="108">
      <c r="A108" s="25"/>
      <c r="B108" s="25"/>
      <c r="C108" s="25"/>
      <c r="D108" s="25"/>
      <c r="E108" s="25"/>
    </row>
    <row r="109">
      <c r="A109" s="25"/>
      <c r="B109" s="25"/>
      <c r="C109" s="25"/>
      <c r="D109" s="25"/>
      <c r="E109" s="25"/>
    </row>
    <row r="110">
      <c r="A110" s="25"/>
      <c r="B110" s="25"/>
      <c r="C110" s="25"/>
      <c r="D110" s="25"/>
      <c r="E110" s="25"/>
    </row>
    <row r="111">
      <c r="A111" s="25"/>
      <c r="B111" s="25"/>
      <c r="C111" s="25"/>
      <c r="D111" s="25"/>
      <c r="E111" s="25"/>
    </row>
    <row r="112">
      <c r="A112" s="25"/>
      <c r="B112" s="25"/>
      <c r="C112" s="25"/>
      <c r="D112" s="25"/>
      <c r="E112" s="25"/>
    </row>
    <row r="113">
      <c r="A113" s="25"/>
      <c r="B113" s="25"/>
      <c r="C113" s="25"/>
      <c r="D113" s="25"/>
      <c r="E113" s="25"/>
    </row>
    <row r="114">
      <c r="A114" s="25"/>
      <c r="B114" s="25"/>
      <c r="C114" s="25"/>
      <c r="D114" s="25"/>
      <c r="E114" s="25"/>
    </row>
    <row r="115">
      <c r="A115" s="25"/>
      <c r="B115" s="25"/>
      <c r="C115" s="25"/>
      <c r="D115" s="25"/>
      <c r="E115" s="25"/>
    </row>
    <row r="116">
      <c r="A116" s="25"/>
      <c r="B116" s="25"/>
      <c r="C116" s="25"/>
      <c r="D116" s="25"/>
      <c r="E116" s="25"/>
    </row>
    <row r="117">
      <c r="A117" s="25"/>
      <c r="B117" s="25"/>
      <c r="C117" s="25"/>
      <c r="D117" s="25"/>
      <c r="E117" s="25"/>
    </row>
    <row r="118">
      <c r="A118" s="25"/>
      <c r="B118" s="25"/>
      <c r="C118" s="25"/>
      <c r="D118" s="25"/>
      <c r="E118" s="25"/>
    </row>
    <row r="119">
      <c r="A119" s="25"/>
      <c r="B119" s="25"/>
      <c r="C119" s="25"/>
      <c r="D119" s="25"/>
      <c r="E119" s="25"/>
    </row>
    <row r="120">
      <c r="A120" s="25"/>
      <c r="B120" s="25"/>
      <c r="C120" s="25"/>
      <c r="D120" s="25"/>
      <c r="E120" s="25"/>
    </row>
    <row r="121">
      <c r="A121" s="25"/>
      <c r="B121" s="25"/>
      <c r="C121" s="25"/>
      <c r="D121" s="25"/>
      <c r="E121" s="25"/>
    </row>
    <row r="122">
      <c r="A122" s="25"/>
      <c r="B122" s="25"/>
      <c r="C122" s="25"/>
      <c r="D122" s="25"/>
      <c r="E122" s="25"/>
    </row>
    <row r="123">
      <c r="A123" s="25"/>
      <c r="B123" s="25"/>
      <c r="C123" s="25"/>
      <c r="D123" s="25"/>
      <c r="E123" s="25"/>
    </row>
    <row r="124">
      <c r="A124" s="25"/>
      <c r="B124" s="25"/>
      <c r="C124" s="25"/>
      <c r="D124" s="25"/>
      <c r="E124" s="25"/>
    </row>
    <row r="125">
      <c r="A125" s="25"/>
      <c r="B125" s="25"/>
      <c r="C125" s="25"/>
      <c r="D125" s="25"/>
      <c r="E125" s="25"/>
    </row>
    <row r="126">
      <c r="A126" s="25"/>
      <c r="B126" s="25"/>
      <c r="C126" s="25"/>
      <c r="D126" s="25"/>
      <c r="E126" s="25"/>
    </row>
    <row r="127">
      <c r="A127" s="25"/>
      <c r="B127" s="25"/>
      <c r="C127" s="25"/>
      <c r="D127" s="25"/>
      <c r="E127" s="25"/>
    </row>
    <row r="128">
      <c r="A128" s="25"/>
      <c r="B128" s="25"/>
      <c r="C128" s="25"/>
      <c r="D128" s="25"/>
      <c r="E128" s="25"/>
    </row>
    <row r="129">
      <c r="A129" s="25"/>
      <c r="B129" s="25"/>
      <c r="C129" s="25"/>
      <c r="D129" s="25"/>
      <c r="E129" s="25"/>
    </row>
    <row r="130">
      <c r="A130" s="25"/>
      <c r="B130" s="25"/>
      <c r="C130" s="25"/>
      <c r="D130" s="25"/>
      <c r="E130" s="25"/>
    </row>
    <row r="131">
      <c r="A131" s="25"/>
      <c r="B131" s="25"/>
      <c r="C131" s="25"/>
      <c r="D131" s="25"/>
      <c r="E131" s="25"/>
    </row>
    <row r="132">
      <c r="A132" s="25"/>
      <c r="B132" s="25"/>
      <c r="C132" s="25"/>
      <c r="D132" s="25"/>
      <c r="E132" s="25"/>
    </row>
    <row r="133">
      <c r="A133" s="25"/>
      <c r="B133" s="25"/>
      <c r="C133" s="25"/>
      <c r="D133" s="25"/>
      <c r="E133" s="25"/>
    </row>
    <row r="134">
      <c r="A134" s="25"/>
      <c r="B134" s="25"/>
      <c r="C134" s="25"/>
      <c r="D134" s="25"/>
      <c r="E134" s="25"/>
    </row>
    <row r="135">
      <c r="A135" s="25"/>
      <c r="B135" s="25"/>
      <c r="C135" s="25"/>
      <c r="D135" s="25"/>
      <c r="E135" s="25"/>
    </row>
    <row r="136">
      <c r="A136" s="25"/>
      <c r="B136" s="25"/>
      <c r="C136" s="25"/>
      <c r="D136" s="25"/>
      <c r="E136" s="25"/>
    </row>
    <row r="137">
      <c r="A137" s="25"/>
      <c r="B137" s="25"/>
      <c r="C137" s="25"/>
      <c r="D137" s="25"/>
      <c r="E137" s="25"/>
    </row>
    <row r="138">
      <c r="A138" s="25"/>
      <c r="B138" s="25"/>
      <c r="C138" s="25"/>
      <c r="D138" s="25"/>
      <c r="E138" s="25"/>
    </row>
    <row r="139">
      <c r="A139" s="25"/>
      <c r="B139" s="25"/>
      <c r="C139" s="25"/>
      <c r="D139" s="25"/>
      <c r="E139" s="25"/>
    </row>
    <row r="140">
      <c r="A140" s="25"/>
      <c r="B140" s="25"/>
      <c r="C140" s="25"/>
      <c r="D140" s="25"/>
      <c r="E140" s="25"/>
    </row>
    <row r="141">
      <c r="A141" s="25"/>
      <c r="B141" s="25"/>
      <c r="C141" s="25"/>
      <c r="D141" s="25"/>
      <c r="E141" s="25"/>
    </row>
    <row r="142">
      <c r="A142" s="25"/>
      <c r="B142" s="25"/>
      <c r="C142" s="25"/>
      <c r="D142" s="25"/>
      <c r="E142" s="25"/>
    </row>
    <row r="143">
      <c r="A143" s="25"/>
      <c r="B143" s="25"/>
      <c r="C143" s="25"/>
      <c r="D143" s="25"/>
      <c r="E143" s="25"/>
    </row>
    <row r="144">
      <c r="A144" s="25"/>
      <c r="B144" s="25"/>
      <c r="C144" s="25"/>
      <c r="D144" s="25"/>
      <c r="E144" s="25"/>
    </row>
    <row r="145">
      <c r="A145" s="25"/>
      <c r="B145" s="25"/>
      <c r="C145" s="25"/>
      <c r="D145" s="25"/>
      <c r="E145" s="25"/>
    </row>
    <row r="146">
      <c r="A146" s="25"/>
      <c r="B146" s="25"/>
      <c r="C146" s="25"/>
      <c r="D146" s="25"/>
      <c r="E146" s="25"/>
    </row>
    <row r="147">
      <c r="A147" s="25"/>
      <c r="B147" s="25"/>
      <c r="C147" s="25"/>
      <c r="D147" s="25"/>
      <c r="E147" s="25"/>
    </row>
    <row r="148">
      <c r="A148" s="25"/>
      <c r="B148" s="25"/>
      <c r="C148" s="25"/>
      <c r="D148" s="25"/>
      <c r="E148" s="25"/>
    </row>
    <row r="149">
      <c r="A149" s="25"/>
      <c r="B149" s="25"/>
      <c r="C149" s="25"/>
      <c r="D149" s="25"/>
      <c r="E149" s="25"/>
    </row>
    <row r="150">
      <c r="A150" s="25"/>
      <c r="B150" s="25"/>
      <c r="C150" s="25"/>
      <c r="D150" s="25"/>
      <c r="E150" s="25"/>
    </row>
    <row r="151">
      <c r="A151" s="25"/>
      <c r="B151" s="25"/>
      <c r="C151" s="25"/>
      <c r="D151" s="25"/>
      <c r="E151" s="25"/>
    </row>
    <row r="152">
      <c r="A152" s="25"/>
      <c r="B152" s="25"/>
      <c r="C152" s="25"/>
      <c r="D152" s="25"/>
      <c r="E152" s="25"/>
    </row>
    <row r="153">
      <c r="A153" s="25"/>
      <c r="B153" s="25"/>
      <c r="C153" s="25"/>
      <c r="D153" s="25"/>
      <c r="E153" s="25"/>
    </row>
    <row r="154">
      <c r="A154" s="25"/>
      <c r="B154" s="25"/>
      <c r="C154" s="25"/>
      <c r="D154" s="25"/>
      <c r="E154" s="25"/>
    </row>
    <row r="155">
      <c r="A155" s="25"/>
      <c r="B155" s="25"/>
      <c r="C155" s="25"/>
      <c r="D155" s="25"/>
      <c r="E155" s="25"/>
    </row>
    <row r="156">
      <c r="A156" s="25"/>
      <c r="B156" s="25"/>
      <c r="C156" s="25"/>
      <c r="D156" s="25"/>
      <c r="E156" s="25"/>
    </row>
    <row r="157">
      <c r="A157" s="25"/>
      <c r="B157" s="25"/>
      <c r="C157" s="25"/>
      <c r="D157" s="25"/>
      <c r="E157" s="25"/>
    </row>
    <row r="158">
      <c r="A158" s="25"/>
      <c r="B158" s="25"/>
      <c r="C158" s="25"/>
      <c r="D158" s="25"/>
      <c r="E158" s="25"/>
    </row>
    <row r="159">
      <c r="A159" s="25"/>
      <c r="B159" s="25"/>
      <c r="C159" s="25"/>
      <c r="D159" s="25"/>
      <c r="E159" s="25"/>
    </row>
    <row r="160">
      <c r="A160" s="25"/>
      <c r="B160" s="25"/>
      <c r="C160" s="25"/>
      <c r="D160" s="25"/>
      <c r="E160" s="25"/>
    </row>
    <row r="161">
      <c r="A161" s="25"/>
      <c r="B161" s="25"/>
      <c r="C161" s="25"/>
      <c r="D161" s="25"/>
      <c r="E161" s="25"/>
    </row>
    <row r="162">
      <c r="A162" s="25"/>
      <c r="B162" s="25"/>
      <c r="C162" s="25"/>
      <c r="D162" s="25"/>
      <c r="E162" s="25"/>
    </row>
    <row r="163">
      <c r="A163" s="25"/>
      <c r="B163" s="25"/>
      <c r="C163" s="25"/>
      <c r="D163" s="25"/>
      <c r="E163" s="25"/>
    </row>
    <row r="164">
      <c r="A164" s="25"/>
      <c r="B164" s="25"/>
      <c r="C164" s="25"/>
      <c r="D164" s="25"/>
      <c r="E164" s="25"/>
    </row>
    <row r="165">
      <c r="A165" s="25"/>
      <c r="B165" s="25"/>
      <c r="C165" s="25"/>
      <c r="D165" s="25"/>
      <c r="E165" s="25"/>
    </row>
    <row r="166">
      <c r="A166" s="25"/>
      <c r="B166" s="25"/>
      <c r="C166" s="25"/>
      <c r="D166" s="25"/>
      <c r="E166" s="25"/>
    </row>
    <row r="167">
      <c r="A167" s="25"/>
      <c r="B167" s="25"/>
      <c r="C167" s="25"/>
      <c r="D167" s="25"/>
      <c r="E167" s="25"/>
    </row>
    <row r="168">
      <c r="A168" s="25"/>
      <c r="B168" s="25"/>
      <c r="C168" s="25"/>
      <c r="D168" s="25"/>
      <c r="E168" s="25"/>
    </row>
    <row r="169">
      <c r="A169" s="25"/>
      <c r="B169" s="25"/>
      <c r="C169" s="25"/>
      <c r="D169" s="25"/>
      <c r="E169" s="25"/>
    </row>
    <row r="170">
      <c r="A170" s="25"/>
      <c r="B170" s="25"/>
      <c r="C170" s="25"/>
      <c r="D170" s="25"/>
      <c r="E170" s="25"/>
    </row>
    <row r="171">
      <c r="A171" s="25"/>
      <c r="B171" s="25"/>
      <c r="C171" s="25"/>
      <c r="D171" s="25"/>
      <c r="E171" s="25"/>
    </row>
    <row r="172">
      <c r="A172" s="25"/>
      <c r="B172" s="25"/>
      <c r="C172" s="25"/>
      <c r="D172" s="25"/>
      <c r="E172" s="25"/>
    </row>
    <row r="173">
      <c r="A173" s="25"/>
      <c r="B173" s="25"/>
      <c r="C173" s="25"/>
      <c r="D173" s="25"/>
      <c r="E173" s="25"/>
    </row>
    <row r="174">
      <c r="A174" s="25"/>
      <c r="B174" s="25"/>
      <c r="C174" s="25"/>
      <c r="D174" s="25"/>
      <c r="E174" s="25"/>
    </row>
    <row r="175">
      <c r="A175" s="25"/>
      <c r="B175" s="25"/>
      <c r="C175" s="25"/>
      <c r="D175" s="25"/>
      <c r="E175" s="25"/>
    </row>
    <row r="176">
      <c r="A176" s="25"/>
      <c r="B176" s="25"/>
      <c r="C176" s="25"/>
      <c r="D176" s="25"/>
      <c r="E176" s="25"/>
    </row>
    <row r="177">
      <c r="A177" s="25"/>
      <c r="B177" s="25"/>
      <c r="C177" s="25"/>
      <c r="D177" s="25"/>
      <c r="E177" s="25"/>
    </row>
    <row r="178">
      <c r="A178" s="25"/>
      <c r="B178" s="25"/>
      <c r="C178" s="25"/>
      <c r="D178" s="25"/>
      <c r="E178" s="25"/>
    </row>
    <row r="179">
      <c r="A179" s="25"/>
      <c r="B179" s="25"/>
      <c r="C179" s="25"/>
      <c r="D179" s="25"/>
      <c r="E179" s="25"/>
    </row>
    <row r="180">
      <c r="A180" s="25"/>
      <c r="B180" s="25"/>
      <c r="C180" s="25"/>
      <c r="D180" s="25"/>
      <c r="E180" s="25"/>
    </row>
    <row r="181">
      <c r="A181" s="25"/>
      <c r="B181" s="25"/>
      <c r="C181" s="25"/>
      <c r="D181" s="25"/>
      <c r="E181" s="25"/>
    </row>
    <row r="182">
      <c r="A182" s="25"/>
      <c r="B182" s="25"/>
      <c r="C182" s="25"/>
      <c r="D182" s="25"/>
      <c r="E182" s="25"/>
    </row>
    <row r="183">
      <c r="A183" s="25"/>
      <c r="B183" s="25"/>
      <c r="C183" s="25"/>
      <c r="D183" s="25"/>
      <c r="E183" s="25"/>
    </row>
    <row r="184">
      <c r="A184" s="25"/>
      <c r="B184" s="25"/>
      <c r="C184" s="25"/>
      <c r="D184" s="25"/>
      <c r="E184" s="25"/>
    </row>
    <row r="185">
      <c r="A185" s="25"/>
      <c r="B185" s="25"/>
      <c r="C185" s="25"/>
      <c r="D185" s="25"/>
      <c r="E185" s="25"/>
    </row>
    <row r="186">
      <c r="A186" s="25"/>
      <c r="B186" s="25"/>
      <c r="C186" s="25"/>
      <c r="D186" s="25"/>
      <c r="E186" s="25"/>
    </row>
    <row r="187">
      <c r="A187" s="25"/>
      <c r="B187" s="25"/>
      <c r="C187" s="25"/>
      <c r="D187" s="25"/>
      <c r="E187" s="25"/>
    </row>
    <row r="188">
      <c r="A188" s="25"/>
      <c r="B188" s="25"/>
      <c r="C188" s="25"/>
      <c r="D188" s="25"/>
      <c r="E188" s="25"/>
    </row>
    <row r="189">
      <c r="A189" s="25"/>
      <c r="B189" s="25"/>
      <c r="C189" s="25"/>
      <c r="D189" s="25"/>
      <c r="E189" s="25"/>
    </row>
    <row r="190">
      <c r="A190" s="25"/>
      <c r="B190" s="25"/>
      <c r="C190" s="25"/>
      <c r="D190" s="25"/>
      <c r="E190" s="25"/>
    </row>
    <row r="191">
      <c r="A191" s="25"/>
      <c r="B191" s="25"/>
      <c r="C191" s="25"/>
      <c r="D191" s="25"/>
      <c r="E191" s="25"/>
    </row>
    <row r="192">
      <c r="A192" s="25"/>
      <c r="B192" s="25"/>
      <c r="C192" s="25"/>
      <c r="D192" s="25"/>
      <c r="E192" s="25"/>
    </row>
    <row r="193">
      <c r="A193" s="25"/>
      <c r="B193" s="25"/>
      <c r="C193" s="25"/>
      <c r="D193" s="25"/>
      <c r="E193" s="25"/>
    </row>
    <row r="194">
      <c r="A194" s="25"/>
      <c r="B194" s="25"/>
      <c r="C194" s="25"/>
      <c r="D194" s="25"/>
      <c r="E194" s="25"/>
    </row>
    <row r="195">
      <c r="A195" s="25"/>
      <c r="B195" s="25"/>
      <c r="C195" s="25"/>
      <c r="D195" s="25"/>
      <c r="E195" s="25"/>
    </row>
    <row r="196">
      <c r="A196" s="25"/>
      <c r="B196" s="25"/>
      <c r="C196" s="25"/>
      <c r="D196" s="25"/>
      <c r="E196" s="25"/>
    </row>
    <row r="197">
      <c r="A197" s="25"/>
      <c r="B197" s="25"/>
      <c r="C197" s="25"/>
      <c r="D197" s="25"/>
      <c r="E197" s="25"/>
    </row>
    <row r="198">
      <c r="A198" s="25"/>
      <c r="B198" s="25"/>
      <c r="C198" s="25"/>
      <c r="D198" s="25"/>
      <c r="E198" s="25"/>
    </row>
    <row r="199">
      <c r="A199" s="25"/>
      <c r="B199" s="25"/>
      <c r="C199" s="25"/>
      <c r="D199" s="25"/>
      <c r="E199" s="25"/>
    </row>
    <row r="200">
      <c r="A200" s="25"/>
      <c r="B200" s="25"/>
      <c r="C200" s="25"/>
      <c r="D200" s="25"/>
      <c r="E200" s="25"/>
    </row>
    <row r="201">
      <c r="A201" s="25"/>
      <c r="B201" s="25"/>
      <c r="C201" s="25"/>
      <c r="D201" s="25"/>
      <c r="E201" s="25"/>
    </row>
    <row r="202">
      <c r="A202" s="25"/>
      <c r="B202" s="25"/>
      <c r="C202" s="25"/>
      <c r="D202" s="25"/>
      <c r="E202" s="25"/>
    </row>
    <row r="203">
      <c r="A203" s="25"/>
      <c r="B203" s="25"/>
      <c r="C203" s="25"/>
      <c r="D203" s="25"/>
      <c r="E203" s="25"/>
    </row>
    <row r="204">
      <c r="A204" s="25"/>
      <c r="B204" s="25"/>
      <c r="C204" s="25"/>
      <c r="D204" s="25"/>
      <c r="E204" s="25"/>
    </row>
    <row r="205">
      <c r="A205" s="25"/>
      <c r="B205" s="25"/>
      <c r="C205" s="25"/>
      <c r="D205" s="25"/>
      <c r="E205" s="25"/>
    </row>
    <row r="206">
      <c r="A206" s="25"/>
      <c r="B206" s="25"/>
      <c r="C206" s="25"/>
      <c r="D206" s="25"/>
      <c r="E206" s="25"/>
    </row>
    <row r="207">
      <c r="A207" s="25"/>
      <c r="B207" s="25"/>
      <c r="C207" s="25"/>
      <c r="D207" s="25"/>
      <c r="E207" s="25"/>
    </row>
    <row r="208">
      <c r="A208" s="25"/>
      <c r="B208" s="25"/>
      <c r="C208" s="25"/>
      <c r="D208" s="25"/>
      <c r="E208" s="25"/>
    </row>
    <row r="209">
      <c r="A209" s="25"/>
      <c r="B209" s="25"/>
      <c r="C209" s="25"/>
      <c r="D209" s="25"/>
      <c r="E209" s="25"/>
    </row>
    <row r="210">
      <c r="A210" s="25"/>
      <c r="B210" s="25"/>
      <c r="C210" s="25"/>
      <c r="D210" s="25"/>
      <c r="E210" s="25"/>
    </row>
    <row r="211">
      <c r="A211" s="25"/>
      <c r="B211" s="25"/>
      <c r="C211" s="25"/>
      <c r="D211" s="25"/>
      <c r="E211" s="25"/>
    </row>
    <row r="212">
      <c r="A212" s="25"/>
      <c r="B212" s="25"/>
      <c r="C212" s="25"/>
      <c r="D212" s="25"/>
      <c r="E212" s="25"/>
    </row>
    <row r="213">
      <c r="A213" s="25"/>
      <c r="B213" s="25"/>
      <c r="C213" s="25"/>
      <c r="D213" s="25"/>
      <c r="E213" s="25"/>
    </row>
    <row r="214">
      <c r="A214" s="25"/>
      <c r="B214" s="25"/>
      <c r="C214" s="25"/>
      <c r="D214" s="25"/>
      <c r="E214" s="25"/>
    </row>
    <row r="215">
      <c r="A215" s="25"/>
      <c r="B215" s="25"/>
      <c r="C215" s="25"/>
      <c r="D215" s="25"/>
      <c r="E215" s="25"/>
    </row>
    <row r="216">
      <c r="A216" s="25"/>
      <c r="B216" s="25"/>
      <c r="C216" s="25"/>
      <c r="D216" s="25"/>
      <c r="E216" s="25"/>
    </row>
    <row r="217">
      <c r="A217" s="25"/>
      <c r="B217" s="25"/>
      <c r="C217" s="25"/>
      <c r="D217" s="25"/>
      <c r="E217" s="25"/>
    </row>
    <row r="218">
      <c r="A218" s="25"/>
      <c r="B218" s="25"/>
      <c r="C218" s="25"/>
      <c r="D218" s="25"/>
      <c r="E218" s="25"/>
    </row>
    <row r="219">
      <c r="A219" s="25"/>
      <c r="B219" s="25"/>
      <c r="C219" s="25"/>
      <c r="D219" s="25"/>
      <c r="E219" s="25"/>
    </row>
    <row r="220">
      <c r="A220" s="25"/>
      <c r="B220" s="25"/>
      <c r="C220" s="25"/>
      <c r="D220" s="25"/>
      <c r="E220" s="25"/>
    </row>
    <row r="221">
      <c r="A221" s="25"/>
      <c r="B221" s="25"/>
      <c r="C221" s="25"/>
      <c r="D221" s="25"/>
      <c r="E221" s="25"/>
    </row>
    <row r="222">
      <c r="A222" s="25"/>
      <c r="B222" s="25"/>
      <c r="C222" s="25"/>
      <c r="D222" s="25"/>
      <c r="E222" s="25"/>
    </row>
    <row r="223">
      <c r="A223" s="25"/>
      <c r="B223" s="25"/>
      <c r="C223" s="25"/>
      <c r="D223" s="25"/>
      <c r="E223" s="25"/>
    </row>
    <row r="224">
      <c r="A224" s="25"/>
      <c r="B224" s="25"/>
      <c r="C224" s="25"/>
      <c r="D224" s="25"/>
      <c r="E224" s="25"/>
    </row>
    <row r="225">
      <c r="A225" s="25"/>
      <c r="B225" s="25"/>
      <c r="C225" s="25"/>
      <c r="D225" s="25"/>
      <c r="E225" s="25"/>
    </row>
    <row r="226">
      <c r="A226" s="25"/>
      <c r="B226" s="25"/>
      <c r="C226" s="25"/>
      <c r="D226" s="25"/>
      <c r="E226" s="25"/>
    </row>
    <row r="227">
      <c r="A227" s="25"/>
      <c r="B227" s="25"/>
      <c r="C227" s="25"/>
      <c r="D227" s="25"/>
      <c r="E227" s="25"/>
    </row>
    <row r="228">
      <c r="A228" s="25"/>
      <c r="B228" s="25"/>
      <c r="C228" s="25"/>
      <c r="D228" s="25"/>
      <c r="E228" s="25"/>
    </row>
    <row r="229">
      <c r="A229" s="25"/>
      <c r="B229" s="25"/>
      <c r="C229" s="25"/>
      <c r="D229" s="25"/>
      <c r="E229" s="25"/>
    </row>
    <row r="230">
      <c r="A230" s="25"/>
      <c r="B230" s="25"/>
      <c r="C230" s="25"/>
      <c r="D230" s="25"/>
      <c r="E230" s="25"/>
    </row>
    <row r="231">
      <c r="A231" s="25"/>
      <c r="B231" s="25"/>
      <c r="C231" s="25"/>
      <c r="D231" s="25"/>
      <c r="E231" s="25"/>
    </row>
    <row r="232">
      <c r="A232" s="25"/>
      <c r="B232" s="25"/>
      <c r="C232" s="25"/>
      <c r="D232" s="25"/>
      <c r="E232" s="25"/>
    </row>
    <row r="233">
      <c r="A233" s="25"/>
      <c r="B233" s="25"/>
      <c r="C233" s="25"/>
      <c r="D233" s="25"/>
      <c r="E233" s="25"/>
    </row>
    <row r="234">
      <c r="A234" s="25"/>
      <c r="B234" s="25"/>
      <c r="C234" s="25"/>
      <c r="D234" s="25"/>
      <c r="E234" s="25"/>
    </row>
    <row r="235">
      <c r="A235" s="25"/>
      <c r="B235" s="25"/>
      <c r="C235" s="25"/>
      <c r="D235" s="25"/>
      <c r="E235" s="25"/>
    </row>
    <row r="236">
      <c r="A236" s="25"/>
      <c r="B236" s="25"/>
      <c r="C236" s="25"/>
      <c r="D236" s="25"/>
      <c r="E236" s="25"/>
    </row>
    <row r="237">
      <c r="A237" s="25"/>
      <c r="B237" s="25"/>
      <c r="C237" s="25"/>
      <c r="D237" s="25"/>
      <c r="E237" s="25"/>
    </row>
    <row r="238">
      <c r="A238" s="25"/>
      <c r="B238" s="25"/>
      <c r="C238" s="25"/>
      <c r="D238" s="25"/>
      <c r="E238" s="25"/>
    </row>
    <row r="239">
      <c r="A239" s="25"/>
      <c r="B239" s="25"/>
      <c r="C239" s="25"/>
      <c r="D239" s="25"/>
      <c r="E239" s="25"/>
    </row>
    <row r="240">
      <c r="A240" s="25"/>
      <c r="B240" s="25"/>
      <c r="C240" s="25"/>
      <c r="D240" s="25"/>
      <c r="E240" s="25"/>
    </row>
    <row r="241">
      <c r="A241" s="25"/>
      <c r="B241" s="25"/>
      <c r="C241" s="25"/>
      <c r="D241" s="25"/>
      <c r="E241" s="25"/>
    </row>
    <row r="242">
      <c r="A242" s="25"/>
      <c r="B242" s="25"/>
      <c r="C242" s="25"/>
      <c r="D242" s="25"/>
      <c r="E242" s="25"/>
    </row>
    <row r="243">
      <c r="A243" s="25"/>
      <c r="B243" s="25"/>
      <c r="C243" s="25"/>
      <c r="D243" s="25"/>
      <c r="E243" s="25"/>
    </row>
    <row r="244">
      <c r="A244" s="25"/>
      <c r="B244" s="25"/>
      <c r="C244" s="25"/>
      <c r="D244" s="25"/>
      <c r="E244" s="25"/>
    </row>
    <row r="245">
      <c r="A245" s="25"/>
      <c r="B245" s="25"/>
      <c r="C245" s="25"/>
      <c r="D245" s="25"/>
      <c r="E245" s="25"/>
    </row>
    <row r="246">
      <c r="A246" s="25"/>
      <c r="B246" s="25"/>
      <c r="C246" s="25"/>
      <c r="D246" s="25"/>
      <c r="E246" s="25"/>
    </row>
    <row r="247">
      <c r="A247" s="25"/>
      <c r="B247" s="25"/>
      <c r="C247" s="25"/>
      <c r="D247" s="25"/>
      <c r="E247" s="25"/>
    </row>
    <row r="248">
      <c r="A248" s="25"/>
      <c r="B248" s="25"/>
      <c r="C248" s="25"/>
      <c r="D248" s="25"/>
      <c r="E248" s="25"/>
    </row>
    <row r="249">
      <c r="A249" s="25"/>
      <c r="B249" s="25"/>
      <c r="C249" s="25"/>
      <c r="D249" s="25"/>
      <c r="E249" s="25"/>
    </row>
    <row r="250">
      <c r="A250" s="25"/>
      <c r="B250" s="25"/>
      <c r="C250" s="25"/>
      <c r="D250" s="25"/>
      <c r="E250" s="25"/>
    </row>
    <row r="251">
      <c r="A251" s="25"/>
      <c r="B251" s="25"/>
      <c r="C251" s="25"/>
      <c r="D251" s="25"/>
      <c r="E251" s="25"/>
    </row>
    <row r="252">
      <c r="A252" s="25"/>
      <c r="B252" s="25"/>
      <c r="C252" s="25"/>
      <c r="D252" s="25"/>
      <c r="E252" s="25"/>
    </row>
    <row r="253">
      <c r="A253" s="25"/>
      <c r="B253" s="25"/>
      <c r="C253" s="25"/>
      <c r="D253" s="25"/>
      <c r="E253" s="25"/>
    </row>
    <row r="254">
      <c r="A254" s="25"/>
      <c r="B254" s="25"/>
      <c r="C254" s="25"/>
      <c r="D254" s="25"/>
      <c r="E254" s="25"/>
    </row>
    <row r="255">
      <c r="A255" s="25"/>
      <c r="B255" s="25"/>
      <c r="C255" s="25"/>
      <c r="D255" s="25"/>
      <c r="E255" s="25"/>
    </row>
    <row r="256">
      <c r="A256" s="25"/>
      <c r="B256" s="25"/>
      <c r="C256" s="25"/>
      <c r="D256" s="25"/>
      <c r="E256" s="25"/>
    </row>
    <row r="257">
      <c r="A257" s="25"/>
      <c r="B257" s="25"/>
      <c r="C257" s="25"/>
      <c r="D257" s="25"/>
      <c r="E257" s="25"/>
    </row>
    <row r="258">
      <c r="A258" s="25"/>
      <c r="B258" s="25"/>
      <c r="C258" s="25"/>
      <c r="D258" s="25"/>
      <c r="E258" s="25"/>
    </row>
    <row r="259">
      <c r="A259" s="25"/>
      <c r="B259" s="25"/>
      <c r="C259" s="25"/>
      <c r="D259" s="25"/>
      <c r="E259" s="25"/>
    </row>
    <row r="260">
      <c r="A260" s="25"/>
      <c r="B260" s="25"/>
      <c r="C260" s="25"/>
      <c r="D260" s="25"/>
      <c r="E260" s="25"/>
    </row>
    <row r="261">
      <c r="A261" s="25"/>
      <c r="B261" s="25"/>
      <c r="C261" s="25"/>
      <c r="D261" s="25"/>
      <c r="E261" s="25"/>
    </row>
    <row r="262">
      <c r="A262" s="25"/>
      <c r="B262" s="25"/>
      <c r="C262" s="25"/>
      <c r="D262" s="25"/>
      <c r="E262" s="25"/>
    </row>
    <row r="263">
      <c r="A263" s="25"/>
      <c r="B263" s="25"/>
      <c r="C263" s="25"/>
      <c r="D263" s="25"/>
      <c r="E263" s="25"/>
    </row>
    <row r="264">
      <c r="A264" s="25"/>
      <c r="B264" s="25"/>
      <c r="C264" s="25"/>
      <c r="D264" s="25"/>
      <c r="E264" s="25"/>
    </row>
    <row r="265">
      <c r="A265" s="25"/>
      <c r="B265" s="25"/>
      <c r="C265" s="25"/>
      <c r="D265" s="25"/>
      <c r="E265" s="25"/>
    </row>
    <row r="266">
      <c r="A266" s="25"/>
      <c r="B266" s="25"/>
      <c r="C266" s="25"/>
      <c r="D266" s="25"/>
      <c r="E266" s="25"/>
    </row>
    <row r="267">
      <c r="A267" s="25"/>
      <c r="B267" s="25"/>
      <c r="C267" s="25"/>
      <c r="D267" s="25"/>
      <c r="E267" s="25"/>
    </row>
    <row r="268">
      <c r="A268" s="25"/>
      <c r="B268" s="25"/>
      <c r="C268" s="25"/>
      <c r="D268" s="25"/>
      <c r="E268" s="25"/>
    </row>
    <row r="269">
      <c r="A269" s="25"/>
      <c r="B269" s="25"/>
      <c r="C269" s="25"/>
      <c r="D269" s="25"/>
      <c r="E269" s="25"/>
    </row>
    <row r="270">
      <c r="A270" s="25"/>
      <c r="B270" s="25"/>
      <c r="C270" s="25"/>
      <c r="D270" s="25"/>
      <c r="E270" s="25"/>
    </row>
    <row r="271">
      <c r="A271" s="25"/>
      <c r="B271" s="25"/>
      <c r="C271" s="25"/>
      <c r="D271" s="25"/>
      <c r="E271" s="25"/>
    </row>
    <row r="272">
      <c r="A272" s="25"/>
      <c r="B272" s="25"/>
      <c r="C272" s="25"/>
      <c r="D272" s="25"/>
      <c r="E272" s="25"/>
    </row>
    <row r="273">
      <c r="A273" s="25"/>
      <c r="B273" s="25"/>
      <c r="C273" s="25"/>
      <c r="D273" s="25"/>
      <c r="E273" s="25"/>
    </row>
    <row r="274">
      <c r="A274" s="25"/>
      <c r="B274" s="25"/>
      <c r="C274" s="25"/>
      <c r="D274" s="25"/>
      <c r="E274" s="25"/>
    </row>
    <row r="275">
      <c r="A275" s="25"/>
      <c r="B275" s="25"/>
      <c r="C275" s="25"/>
      <c r="D275" s="25"/>
      <c r="E275" s="25"/>
    </row>
    <row r="276">
      <c r="A276" s="25"/>
      <c r="B276" s="25"/>
      <c r="C276" s="25"/>
      <c r="D276" s="25"/>
      <c r="E276" s="25"/>
    </row>
    <row r="277">
      <c r="A277" s="25"/>
      <c r="B277" s="25"/>
      <c r="C277" s="25"/>
      <c r="D277" s="25"/>
      <c r="E277" s="25"/>
    </row>
    <row r="278">
      <c r="A278" s="25"/>
      <c r="B278" s="25"/>
      <c r="C278" s="25"/>
      <c r="D278" s="25"/>
      <c r="E278" s="25"/>
    </row>
    <row r="279">
      <c r="A279" s="25"/>
      <c r="B279" s="25"/>
      <c r="C279" s="25"/>
      <c r="D279" s="25"/>
      <c r="E279" s="25"/>
    </row>
    <row r="280">
      <c r="A280" s="25"/>
      <c r="B280" s="25"/>
      <c r="C280" s="25"/>
      <c r="D280" s="25"/>
      <c r="E280" s="25"/>
    </row>
    <row r="281">
      <c r="A281" s="25"/>
      <c r="B281" s="25"/>
      <c r="C281" s="25"/>
      <c r="D281" s="25"/>
      <c r="E281" s="25"/>
    </row>
    <row r="282">
      <c r="A282" s="25"/>
      <c r="B282" s="25"/>
      <c r="C282" s="25"/>
      <c r="D282" s="25"/>
      <c r="E282" s="25"/>
    </row>
    <row r="283">
      <c r="A283" s="25"/>
      <c r="B283" s="25"/>
      <c r="C283" s="25"/>
      <c r="D283" s="25"/>
      <c r="E283" s="25"/>
    </row>
    <row r="284">
      <c r="A284" s="25"/>
      <c r="B284" s="25"/>
      <c r="C284" s="25"/>
      <c r="D284" s="25"/>
      <c r="E284" s="25"/>
    </row>
    <row r="285">
      <c r="A285" s="25"/>
      <c r="B285" s="25"/>
      <c r="C285" s="25"/>
      <c r="D285" s="25"/>
      <c r="E285" s="25"/>
    </row>
    <row r="286">
      <c r="A286" s="25"/>
      <c r="B286" s="25"/>
      <c r="C286" s="25"/>
      <c r="D286" s="25"/>
      <c r="E286" s="25"/>
    </row>
    <row r="287">
      <c r="A287" s="25"/>
      <c r="B287" s="25"/>
      <c r="C287" s="25"/>
      <c r="D287" s="25"/>
      <c r="E287" s="25"/>
    </row>
    <row r="288">
      <c r="A288" s="25"/>
      <c r="B288" s="25"/>
      <c r="C288" s="25"/>
      <c r="D288" s="25"/>
      <c r="E288" s="25"/>
    </row>
    <row r="289">
      <c r="A289" s="25"/>
      <c r="B289" s="25"/>
      <c r="C289" s="25"/>
      <c r="D289" s="25"/>
      <c r="E289" s="25"/>
    </row>
    <row r="290">
      <c r="A290" s="25"/>
      <c r="B290" s="25"/>
      <c r="C290" s="25"/>
      <c r="D290" s="25"/>
      <c r="E290" s="25"/>
    </row>
    <row r="291">
      <c r="A291" s="25"/>
      <c r="B291" s="25"/>
      <c r="C291" s="25"/>
      <c r="D291" s="25"/>
      <c r="E291" s="25"/>
    </row>
    <row r="292">
      <c r="A292" s="25"/>
      <c r="B292" s="25"/>
      <c r="C292" s="25"/>
      <c r="D292" s="25"/>
      <c r="E292" s="25"/>
    </row>
    <row r="293">
      <c r="A293" s="25"/>
      <c r="B293" s="25"/>
      <c r="C293" s="25"/>
      <c r="D293" s="25"/>
      <c r="E293" s="25"/>
    </row>
    <row r="294">
      <c r="A294" s="25"/>
      <c r="B294" s="25"/>
      <c r="C294" s="25"/>
      <c r="D294" s="25"/>
      <c r="E294" s="25"/>
    </row>
    <row r="295">
      <c r="A295" s="25"/>
      <c r="B295" s="25"/>
      <c r="C295" s="25"/>
      <c r="D295" s="25"/>
      <c r="E295" s="25"/>
    </row>
    <row r="296">
      <c r="A296" s="25"/>
      <c r="B296" s="25"/>
      <c r="C296" s="25"/>
      <c r="D296" s="25"/>
      <c r="E296" s="25"/>
    </row>
    <row r="297">
      <c r="A297" s="25"/>
      <c r="B297" s="25"/>
      <c r="C297" s="25"/>
      <c r="D297" s="25"/>
      <c r="E297" s="25"/>
    </row>
    <row r="298">
      <c r="A298" s="25"/>
      <c r="B298" s="25"/>
      <c r="C298" s="25"/>
      <c r="D298" s="25"/>
      <c r="E298" s="25"/>
    </row>
    <row r="299">
      <c r="A299" s="25"/>
      <c r="B299" s="25"/>
      <c r="C299" s="25"/>
      <c r="D299" s="25"/>
      <c r="E299" s="25"/>
    </row>
    <row r="300">
      <c r="A300" s="25"/>
      <c r="B300" s="25"/>
      <c r="C300" s="25"/>
      <c r="D300" s="25"/>
      <c r="E300" s="25"/>
    </row>
    <row r="301">
      <c r="A301" s="25"/>
      <c r="B301" s="25"/>
      <c r="C301" s="25"/>
      <c r="D301" s="25"/>
      <c r="E301" s="25"/>
    </row>
    <row r="302">
      <c r="A302" s="25"/>
      <c r="B302" s="25"/>
      <c r="C302" s="25"/>
      <c r="D302" s="25"/>
      <c r="E302" s="25"/>
    </row>
    <row r="303">
      <c r="A303" s="25"/>
      <c r="B303" s="25"/>
      <c r="C303" s="25"/>
      <c r="D303" s="25"/>
      <c r="E303" s="25"/>
    </row>
    <row r="304">
      <c r="A304" s="25"/>
      <c r="B304" s="25"/>
      <c r="C304" s="25"/>
      <c r="D304" s="25"/>
      <c r="E304" s="25"/>
    </row>
    <row r="305">
      <c r="A305" s="25"/>
      <c r="B305" s="25"/>
      <c r="C305" s="25"/>
      <c r="D305" s="25"/>
      <c r="E305" s="25"/>
    </row>
    <row r="306">
      <c r="A306" s="25"/>
      <c r="B306" s="25"/>
      <c r="C306" s="25"/>
      <c r="D306" s="25"/>
      <c r="E306" s="25"/>
    </row>
    <row r="307">
      <c r="A307" s="25"/>
      <c r="B307" s="25"/>
      <c r="C307" s="25"/>
      <c r="D307" s="25"/>
      <c r="E307" s="25"/>
    </row>
    <row r="308">
      <c r="A308" s="25"/>
      <c r="B308" s="25"/>
      <c r="C308" s="25"/>
      <c r="D308" s="25"/>
      <c r="E308" s="25"/>
    </row>
    <row r="309">
      <c r="A309" s="25"/>
      <c r="B309" s="25"/>
      <c r="C309" s="25"/>
      <c r="D309" s="25"/>
      <c r="E309" s="25"/>
    </row>
    <row r="310">
      <c r="A310" s="25"/>
      <c r="B310" s="25"/>
      <c r="C310" s="25"/>
      <c r="D310" s="25"/>
      <c r="E310" s="25"/>
    </row>
    <row r="311">
      <c r="A311" s="25"/>
      <c r="B311" s="25"/>
      <c r="C311" s="25"/>
      <c r="D311" s="25"/>
      <c r="E311" s="25"/>
    </row>
    <row r="312">
      <c r="A312" s="25"/>
      <c r="B312" s="25"/>
      <c r="C312" s="25"/>
      <c r="D312" s="25"/>
      <c r="E312" s="25"/>
    </row>
    <row r="313">
      <c r="A313" s="25"/>
      <c r="B313" s="25"/>
      <c r="C313" s="25"/>
      <c r="D313" s="25"/>
      <c r="E313" s="25"/>
    </row>
    <row r="314">
      <c r="A314" s="25"/>
      <c r="B314" s="25"/>
      <c r="C314" s="25"/>
      <c r="D314" s="25"/>
      <c r="E314" s="25"/>
    </row>
    <row r="315">
      <c r="A315" s="25"/>
      <c r="B315" s="25"/>
      <c r="C315" s="25"/>
      <c r="D315" s="25"/>
      <c r="E315" s="25"/>
    </row>
    <row r="316">
      <c r="A316" s="25"/>
      <c r="B316" s="25"/>
      <c r="C316" s="25"/>
      <c r="D316" s="25"/>
      <c r="E316" s="25"/>
    </row>
    <row r="317">
      <c r="A317" s="25"/>
      <c r="B317" s="25"/>
      <c r="C317" s="25"/>
      <c r="D317" s="25"/>
      <c r="E317" s="25"/>
    </row>
    <row r="318">
      <c r="A318" s="25"/>
      <c r="B318" s="25"/>
      <c r="C318" s="25"/>
      <c r="D318" s="25"/>
      <c r="E318" s="25"/>
    </row>
    <row r="319">
      <c r="A319" s="25"/>
      <c r="B319" s="25"/>
      <c r="C319" s="25"/>
      <c r="D319" s="25"/>
      <c r="E319" s="25"/>
    </row>
    <row r="320">
      <c r="A320" s="25"/>
      <c r="B320" s="25"/>
      <c r="C320" s="25"/>
      <c r="D320" s="25"/>
      <c r="E320" s="25"/>
    </row>
    <row r="321">
      <c r="A321" s="25"/>
      <c r="B321" s="25"/>
      <c r="C321" s="25"/>
      <c r="D321" s="25"/>
      <c r="E321" s="25"/>
    </row>
    <row r="322">
      <c r="A322" s="25"/>
      <c r="B322" s="25"/>
      <c r="C322" s="25"/>
      <c r="D322" s="25"/>
      <c r="E322" s="25"/>
    </row>
    <row r="323">
      <c r="A323" s="25"/>
      <c r="B323" s="25"/>
      <c r="C323" s="25"/>
      <c r="D323" s="25"/>
      <c r="E323" s="25"/>
    </row>
    <row r="324">
      <c r="A324" s="25"/>
      <c r="B324" s="25"/>
      <c r="C324" s="25"/>
      <c r="D324" s="25"/>
      <c r="E324" s="25"/>
    </row>
    <row r="325">
      <c r="A325" s="25"/>
      <c r="B325" s="25"/>
      <c r="C325" s="25"/>
      <c r="D325" s="25"/>
      <c r="E325" s="25"/>
    </row>
    <row r="326">
      <c r="A326" s="25"/>
      <c r="B326" s="25"/>
      <c r="C326" s="25"/>
      <c r="D326" s="25"/>
      <c r="E326" s="25"/>
    </row>
    <row r="327">
      <c r="A327" s="25"/>
      <c r="B327" s="25"/>
      <c r="C327" s="25"/>
      <c r="D327" s="25"/>
      <c r="E327" s="25"/>
    </row>
    <row r="328">
      <c r="A328" s="25"/>
      <c r="B328" s="25"/>
      <c r="C328" s="25"/>
      <c r="D328" s="25"/>
      <c r="E328" s="25"/>
    </row>
    <row r="329">
      <c r="A329" s="25"/>
      <c r="B329" s="25"/>
      <c r="C329" s="25"/>
      <c r="D329" s="25"/>
      <c r="E329" s="25"/>
    </row>
    <row r="330">
      <c r="A330" s="25"/>
      <c r="B330" s="25"/>
      <c r="C330" s="25"/>
      <c r="D330" s="25"/>
      <c r="E330" s="25"/>
    </row>
    <row r="331">
      <c r="A331" s="25"/>
      <c r="B331" s="25"/>
      <c r="C331" s="25"/>
      <c r="D331" s="25"/>
      <c r="E331" s="25"/>
    </row>
    <row r="332">
      <c r="A332" s="25"/>
      <c r="B332" s="25"/>
      <c r="C332" s="25"/>
      <c r="D332" s="25"/>
      <c r="E332" s="25"/>
    </row>
    <row r="333">
      <c r="A333" s="25"/>
      <c r="B333" s="25"/>
      <c r="C333" s="25"/>
      <c r="D333" s="25"/>
      <c r="E333" s="25"/>
    </row>
    <row r="334">
      <c r="A334" s="25"/>
      <c r="B334" s="25"/>
      <c r="C334" s="25"/>
      <c r="D334" s="25"/>
      <c r="E334" s="25"/>
    </row>
    <row r="335">
      <c r="A335" s="25"/>
      <c r="B335" s="25"/>
      <c r="C335" s="25"/>
      <c r="D335" s="25"/>
      <c r="E335" s="25"/>
    </row>
    <row r="336">
      <c r="A336" s="25"/>
      <c r="B336" s="25"/>
      <c r="C336" s="25"/>
      <c r="D336" s="25"/>
      <c r="E336" s="25"/>
    </row>
    <row r="337">
      <c r="A337" s="25"/>
      <c r="B337" s="25"/>
      <c r="C337" s="25"/>
      <c r="D337" s="25"/>
      <c r="E337" s="25"/>
    </row>
    <row r="338">
      <c r="A338" s="25"/>
      <c r="B338" s="25"/>
      <c r="C338" s="25"/>
      <c r="D338" s="25"/>
      <c r="E338" s="25"/>
    </row>
    <row r="339">
      <c r="A339" s="25"/>
      <c r="B339" s="25"/>
      <c r="C339" s="25"/>
      <c r="D339" s="25"/>
      <c r="E339" s="25"/>
    </row>
    <row r="340">
      <c r="A340" s="25"/>
      <c r="B340" s="25"/>
      <c r="C340" s="25"/>
      <c r="D340" s="25"/>
      <c r="E340" s="25"/>
    </row>
    <row r="341">
      <c r="A341" s="25"/>
      <c r="B341" s="25"/>
      <c r="C341" s="25"/>
      <c r="D341" s="25"/>
      <c r="E341" s="25"/>
    </row>
    <row r="342">
      <c r="A342" s="25"/>
      <c r="B342" s="25"/>
      <c r="C342" s="25"/>
      <c r="D342" s="25"/>
      <c r="E342" s="25"/>
    </row>
    <row r="343">
      <c r="A343" s="25"/>
      <c r="B343" s="25"/>
      <c r="C343" s="25"/>
      <c r="D343" s="25"/>
      <c r="E343" s="25"/>
    </row>
    <row r="344">
      <c r="A344" s="25"/>
      <c r="B344" s="25"/>
      <c r="C344" s="25"/>
      <c r="D344" s="25"/>
      <c r="E344" s="25"/>
    </row>
    <row r="345">
      <c r="A345" s="25"/>
      <c r="B345" s="25"/>
      <c r="C345" s="25"/>
      <c r="D345" s="25"/>
      <c r="E345" s="25"/>
    </row>
    <row r="346">
      <c r="A346" s="25"/>
      <c r="B346" s="25"/>
      <c r="C346" s="25"/>
      <c r="D346" s="25"/>
      <c r="E346" s="25"/>
    </row>
    <row r="347">
      <c r="A347" s="25"/>
      <c r="B347" s="25"/>
      <c r="C347" s="25"/>
      <c r="D347" s="25"/>
      <c r="E347" s="25"/>
    </row>
    <row r="348">
      <c r="A348" s="25"/>
      <c r="B348" s="25"/>
      <c r="C348" s="25"/>
      <c r="D348" s="25"/>
      <c r="E348" s="25"/>
    </row>
    <row r="349">
      <c r="A349" s="25"/>
      <c r="B349" s="25"/>
      <c r="C349" s="25"/>
      <c r="D349" s="25"/>
      <c r="E349" s="25"/>
    </row>
    <row r="350">
      <c r="A350" s="25"/>
      <c r="B350" s="25"/>
      <c r="C350" s="25"/>
      <c r="D350" s="25"/>
      <c r="E350" s="25"/>
    </row>
    <row r="351">
      <c r="A351" s="25"/>
      <c r="B351" s="25"/>
      <c r="C351" s="25"/>
      <c r="D351" s="25"/>
      <c r="E351" s="25"/>
    </row>
    <row r="352">
      <c r="A352" s="25"/>
      <c r="B352" s="25"/>
      <c r="C352" s="25"/>
      <c r="D352" s="25"/>
      <c r="E352" s="25"/>
    </row>
    <row r="353">
      <c r="A353" s="25"/>
      <c r="B353" s="25"/>
      <c r="C353" s="25"/>
      <c r="D353" s="25"/>
      <c r="E353" s="25"/>
    </row>
    <row r="354">
      <c r="A354" s="25"/>
      <c r="B354" s="25"/>
      <c r="C354" s="25"/>
      <c r="D354" s="25"/>
      <c r="E354" s="25"/>
    </row>
    <row r="355">
      <c r="A355" s="25"/>
      <c r="B355" s="25"/>
      <c r="C355" s="25"/>
      <c r="D355" s="25"/>
      <c r="E355" s="25"/>
    </row>
    <row r="356">
      <c r="A356" s="25"/>
      <c r="B356" s="25"/>
      <c r="C356" s="25"/>
      <c r="D356" s="25"/>
      <c r="E356" s="25"/>
    </row>
    <row r="357">
      <c r="A357" s="25"/>
      <c r="B357" s="25"/>
      <c r="C357" s="25"/>
      <c r="D357" s="25"/>
      <c r="E357" s="25"/>
    </row>
    <row r="358">
      <c r="A358" s="25"/>
      <c r="B358" s="25"/>
      <c r="C358" s="25"/>
      <c r="D358" s="25"/>
      <c r="E358" s="25"/>
    </row>
    <row r="359">
      <c r="A359" s="25"/>
      <c r="B359" s="25"/>
      <c r="C359" s="25"/>
      <c r="D359" s="25"/>
      <c r="E359" s="25"/>
    </row>
    <row r="360">
      <c r="A360" s="25"/>
      <c r="B360" s="25"/>
      <c r="C360" s="25"/>
      <c r="D360" s="25"/>
      <c r="E360" s="25"/>
    </row>
    <row r="361">
      <c r="A361" s="25"/>
      <c r="B361" s="25"/>
      <c r="C361" s="25"/>
      <c r="D361" s="25"/>
      <c r="E361" s="25"/>
    </row>
    <row r="362">
      <c r="A362" s="25"/>
      <c r="B362" s="25"/>
      <c r="C362" s="25"/>
      <c r="D362" s="25"/>
      <c r="E362" s="25"/>
    </row>
    <row r="363">
      <c r="A363" s="25"/>
      <c r="B363" s="25"/>
      <c r="C363" s="25"/>
      <c r="D363" s="25"/>
      <c r="E363" s="25"/>
    </row>
    <row r="364">
      <c r="A364" s="25"/>
      <c r="B364" s="25"/>
      <c r="C364" s="25"/>
      <c r="D364" s="25"/>
      <c r="E364" s="25"/>
    </row>
    <row r="365">
      <c r="A365" s="25"/>
      <c r="B365" s="25"/>
      <c r="C365" s="25"/>
      <c r="D365" s="25"/>
      <c r="E365" s="25"/>
    </row>
    <row r="366">
      <c r="A366" s="25"/>
      <c r="B366" s="25"/>
      <c r="C366" s="25"/>
      <c r="D366" s="25"/>
      <c r="E366" s="25"/>
    </row>
    <row r="367">
      <c r="A367" s="25"/>
      <c r="B367" s="25"/>
      <c r="C367" s="25"/>
      <c r="D367" s="25"/>
      <c r="E367" s="25"/>
    </row>
    <row r="368">
      <c r="A368" s="25"/>
      <c r="B368" s="25"/>
      <c r="C368" s="25"/>
      <c r="D368" s="25"/>
      <c r="E368" s="25"/>
    </row>
    <row r="369">
      <c r="A369" s="25"/>
      <c r="B369" s="25"/>
      <c r="C369" s="25"/>
      <c r="D369" s="25"/>
      <c r="E369" s="25"/>
    </row>
    <row r="370">
      <c r="A370" s="25"/>
      <c r="B370" s="25"/>
      <c r="C370" s="25"/>
      <c r="D370" s="25"/>
      <c r="E370" s="25"/>
    </row>
    <row r="371">
      <c r="A371" s="25"/>
      <c r="B371" s="25"/>
      <c r="C371" s="25"/>
      <c r="D371" s="25"/>
      <c r="E371" s="25"/>
    </row>
    <row r="372">
      <c r="A372" s="25"/>
      <c r="B372" s="25"/>
      <c r="C372" s="25"/>
      <c r="D372" s="25"/>
      <c r="E372" s="25"/>
    </row>
    <row r="373">
      <c r="A373" s="25"/>
      <c r="B373" s="25"/>
      <c r="C373" s="25"/>
      <c r="D373" s="25"/>
      <c r="E373" s="25"/>
    </row>
    <row r="374">
      <c r="A374" s="25"/>
      <c r="B374" s="25"/>
      <c r="C374" s="25"/>
      <c r="D374" s="25"/>
      <c r="E374" s="25"/>
    </row>
    <row r="375">
      <c r="A375" s="25"/>
      <c r="B375" s="25"/>
      <c r="C375" s="25"/>
      <c r="D375" s="25"/>
      <c r="E375" s="25"/>
    </row>
    <row r="376">
      <c r="A376" s="25"/>
      <c r="B376" s="25"/>
      <c r="C376" s="25"/>
      <c r="D376" s="25"/>
      <c r="E376" s="25"/>
    </row>
    <row r="377">
      <c r="A377" s="25"/>
      <c r="B377" s="25"/>
      <c r="C377" s="25"/>
      <c r="D377" s="25"/>
      <c r="E377" s="25"/>
    </row>
    <row r="378">
      <c r="A378" s="25"/>
      <c r="B378" s="25"/>
      <c r="C378" s="25"/>
      <c r="D378" s="25"/>
      <c r="E378" s="25"/>
    </row>
    <row r="379">
      <c r="A379" s="25"/>
      <c r="B379" s="25"/>
      <c r="C379" s="25"/>
      <c r="D379" s="25"/>
      <c r="E379" s="25"/>
    </row>
    <row r="380">
      <c r="A380" s="25"/>
      <c r="B380" s="25"/>
      <c r="C380" s="25"/>
      <c r="D380" s="25"/>
      <c r="E380" s="25"/>
    </row>
    <row r="381">
      <c r="A381" s="25"/>
      <c r="B381" s="25"/>
      <c r="C381" s="25"/>
      <c r="D381" s="25"/>
      <c r="E381" s="25"/>
    </row>
    <row r="382">
      <c r="A382" s="25"/>
      <c r="B382" s="25"/>
      <c r="C382" s="25"/>
      <c r="D382" s="25"/>
      <c r="E382" s="25"/>
    </row>
    <row r="383">
      <c r="A383" s="25"/>
      <c r="B383" s="25"/>
      <c r="C383" s="25"/>
      <c r="D383" s="25"/>
      <c r="E383" s="25"/>
    </row>
    <row r="384">
      <c r="A384" s="25"/>
      <c r="B384" s="25"/>
      <c r="C384" s="25"/>
      <c r="D384" s="25"/>
      <c r="E384" s="25"/>
    </row>
    <row r="385">
      <c r="A385" s="25"/>
      <c r="B385" s="25"/>
      <c r="C385" s="25"/>
      <c r="D385" s="25"/>
      <c r="E385" s="25"/>
    </row>
    <row r="386">
      <c r="A386" s="25"/>
      <c r="B386" s="25"/>
      <c r="C386" s="25"/>
      <c r="D386" s="25"/>
      <c r="E386" s="25"/>
    </row>
    <row r="387">
      <c r="A387" s="25"/>
      <c r="B387" s="25"/>
      <c r="C387" s="25"/>
      <c r="D387" s="25"/>
      <c r="E387" s="25"/>
    </row>
    <row r="388">
      <c r="A388" s="25"/>
      <c r="B388" s="25"/>
      <c r="C388" s="25"/>
      <c r="D388" s="25"/>
      <c r="E388" s="25"/>
    </row>
    <row r="389">
      <c r="A389" s="25"/>
      <c r="B389" s="25"/>
      <c r="C389" s="25"/>
      <c r="D389" s="25"/>
      <c r="E389" s="25"/>
    </row>
    <row r="390">
      <c r="A390" s="25"/>
      <c r="B390" s="25"/>
      <c r="C390" s="25"/>
      <c r="D390" s="25"/>
      <c r="E390" s="25"/>
    </row>
    <row r="391">
      <c r="A391" s="25"/>
      <c r="B391" s="25"/>
      <c r="C391" s="25"/>
      <c r="D391" s="25"/>
      <c r="E391" s="25"/>
    </row>
    <row r="392">
      <c r="A392" s="25"/>
      <c r="B392" s="25"/>
      <c r="C392" s="25"/>
      <c r="D392" s="25"/>
      <c r="E392" s="25"/>
    </row>
    <row r="393">
      <c r="A393" s="25"/>
      <c r="B393" s="25"/>
      <c r="C393" s="25"/>
      <c r="D393" s="25"/>
      <c r="E393" s="25"/>
    </row>
    <row r="394">
      <c r="A394" s="25"/>
      <c r="B394" s="25"/>
      <c r="C394" s="25"/>
      <c r="D394" s="25"/>
      <c r="E394" s="25"/>
    </row>
    <row r="395">
      <c r="A395" s="25"/>
      <c r="B395" s="25"/>
      <c r="C395" s="25"/>
      <c r="D395" s="25"/>
      <c r="E395" s="25"/>
    </row>
    <row r="396">
      <c r="A396" s="25"/>
      <c r="B396" s="25"/>
      <c r="C396" s="25"/>
      <c r="D396" s="25"/>
      <c r="E396" s="25"/>
    </row>
    <row r="397">
      <c r="A397" s="25"/>
      <c r="B397" s="25"/>
      <c r="C397" s="25"/>
      <c r="D397" s="25"/>
      <c r="E397" s="25"/>
    </row>
    <row r="398">
      <c r="A398" s="25"/>
      <c r="B398" s="25"/>
      <c r="C398" s="25"/>
      <c r="D398" s="25"/>
      <c r="E398" s="25"/>
    </row>
    <row r="399">
      <c r="A399" s="25"/>
      <c r="B399" s="25"/>
      <c r="C399" s="25"/>
      <c r="D399" s="25"/>
      <c r="E399" s="25"/>
    </row>
    <row r="400">
      <c r="A400" s="25"/>
      <c r="B400" s="25"/>
      <c r="C400" s="25"/>
      <c r="D400" s="25"/>
      <c r="E400" s="25"/>
    </row>
    <row r="401">
      <c r="A401" s="25"/>
      <c r="B401" s="25"/>
      <c r="C401" s="25"/>
      <c r="D401" s="25"/>
      <c r="E401" s="25"/>
    </row>
    <row r="402">
      <c r="A402" s="25"/>
      <c r="B402" s="25"/>
      <c r="C402" s="25"/>
      <c r="D402" s="25"/>
      <c r="E402" s="25"/>
    </row>
    <row r="403">
      <c r="A403" s="25"/>
      <c r="B403" s="25"/>
      <c r="C403" s="25"/>
      <c r="D403" s="25"/>
      <c r="E403" s="25"/>
    </row>
    <row r="404">
      <c r="A404" s="25"/>
      <c r="B404" s="25"/>
      <c r="C404" s="25"/>
      <c r="D404" s="25"/>
      <c r="E404" s="25"/>
    </row>
    <row r="405">
      <c r="A405" s="25"/>
      <c r="B405" s="25"/>
      <c r="C405" s="25"/>
      <c r="D405" s="25"/>
      <c r="E405" s="25"/>
    </row>
    <row r="406">
      <c r="A406" s="25"/>
      <c r="B406" s="25"/>
      <c r="C406" s="25"/>
      <c r="D406" s="25"/>
      <c r="E406" s="25"/>
    </row>
    <row r="407">
      <c r="A407" s="25"/>
      <c r="B407" s="25"/>
      <c r="C407" s="25"/>
      <c r="D407" s="25"/>
      <c r="E407" s="25"/>
    </row>
    <row r="408">
      <c r="A408" s="25"/>
      <c r="B408" s="25"/>
      <c r="C408" s="25"/>
      <c r="D408" s="25"/>
      <c r="E408" s="25"/>
    </row>
    <row r="409">
      <c r="A409" s="25"/>
      <c r="B409" s="25"/>
      <c r="C409" s="25"/>
      <c r="D409" s="25"/>
      <c r="E409" s="25"/>
    </row>
    <row r="410">
      <c r="A410" s="25"/>
      <c r="B410" s="25"/>
      <c r="C410" s="25"/>
      <c r="D410" s="25"/>
      <c r="E410" s="25"/>
    </row>
    <row r="411">
      <c r="A411" s="25"/>
      <c r="B411" s="25"/>
      <c r="C411" s="25"/>
      <c r="D411" s="25"/>
      <c r="E411" s="25"/>
    </row>
    <row r="412">
      <c r="A412" s="25"/>
      <c r="B412" s="25"/>
      <c r="C412" s="25"/>
      <c r="D412" s="25"/>
      <c r="E412" s="25"/>
    </row>
    <row r="413">
      <c r="A413" s="25"/>
      <c r="B413" s="25"/>
      <c r="C413" s="25"/>
      <c r="D413" s="25"/>
      <c r="E413" s="25"/>
    </row>
    <row r="414">
      <c r="A414" s="25"/>
      <c r="B414" s="25"/>
      <c r="C414" s="25"/>
      <c r="D414" s="25"/>
      <c r="E414" s="25"/>
    </row>
    <row r="415">
      <c r="A415" s="25"/>
      <c r="B415" s="25"/>
      <c r="C415" s="25"/>
      <c r="D415" s="25"/>
      <c r="E415" s="25"/>
    </row>
    <row r="416">
      <c r="A416" s="25"/>
      <c r="B416" s="25"/>
      <c r="C416" s="25"/>
      <c r="D416" s="25"/>
      <c r="E416" s="25"/>
    </row>
    <row r="417">
      <c r="A417" s="25"/>
      <c r="B417" s="25"/>
      <c r="C417" s="25"/>
      <c r="D417" s="25"/>
      <c r="E417" s="25"/>
    </row>
    <row r="418">
      <c r="A418" s="25"/>
      <c r="B418" s="25"/>
      <c r="C418" s="25"/>
      <c r="D418" s="25"/>
      <c r="E418" s="25"/>
    </row>
    <row r="419">
      <c r="A419" s="25"/>
      <c r="B419" s="25"/>
      <c r="C419" s="25"/>
      <c r="D419" s="25"/>
      <c r="E419" s="25"/>
    </row>
    <row r="420">
      <c r="A420" s="25"/>
      <c r="B420" s="25"/>
      <c r="C420" s="25"/>
      <c r="D420" s="25"/>
      <c r="E420" s="25"/>
    </row>
    <row r="421">
      <c r="A421" s="25"/>
      <c r="B421" s="25"/>
      <c r="C421" s="25"/>
      <c r="D421" s="25"/>
      <c r="E421" s="25"/>
    </row>
    <row r="422">
      <c r="A422" s="25"/>
      <c r="B422" s="25"/>
      <c r="C422" s="25"/>
      <c r="D422" s="25"/>
      <c r="E422" s="25"/>
    </row>
    <row r="423">
      <c r="A423" s="25"/>
      <c r="B423" s="25"/>
      <c r="C423" s="25"/>
      <c r="D423" s="25"/>
      <c r="E423" s="25"/>
    </row>
    <row r="424">
      <c r="A424" s="25"/>
      <c r="B424" s="25"/>
      <c r="C424" s="25"/>
      <c r="D424" s="25"/>
      <c r="E424" s="25"/>
    </row>
    <row r="425">
      <c r="A425" s="25"/>
      <c r="B425" s="25"/>
      <c r="C425" s="25"/>
      <c r="D425" s="25"/>
      <c r="E425" s="25"/>
    </row>
    <row r="426">
      <c r="A426" s="25"/>
      <c r="B426" s="25"/>
      <c r="C426" s="25"/>
      <c r="D426" s="25"/>
      <c r="E426" s="25"/>
    </row>
    <row r="427">
      <c r="A427" s="25"/>
      <c r="B427" s="25"/>
      <c r="C427" s="25"/>
      <c r="D427" s="25"/>
      <c r="E427" s="25"/>
    </row>
    <row r="428">
      <c r="A428" s="25"/>
      <c r="B428" s="25"/>
      <c r="C428" s="25"/>
      <c r="D428" s="25"/>
      <c r="E428" s="25"/>
    </row>
    <row r="429">
      <c r="A429" s="25"/>
      <c r="B429" s="25"/>
      <c r="C429" s="25"/>
      <c r="D429" s="25"/>
      <c r="E429" s="25"/>
    </row>
    <row r="430">
      <c r="A430" s="25"/>
      <c r="B430" s="25"/>
      <c r="C430" s="25"/>
      <c r="D430" s="25"/>
      <c r="E430" s="25"/>
    </row>
    <row r="431">
      <c r="A431" s="25"/>
      <c r="B431" s="25"/>
      <c r="C431" s="25"/>
      <c r="D431" s="25"/>
      <c r="E431" s="25"/>
    </row>
    <row r="432">
      <c r="A432" s="25"/>
      <c r="B432" s="25"/>
      <c r="C432" s="25"/>
      <c r="D432" s="25"/>
      <c r="E432" s="25"/>
    </row>
    <row r="433">
      <c r="A433" s="25"/>
      <c r="B433" s="25"/>
      <c r="C433" s="25"/>
      <c r="D433" s="25"/>
      <c r="E433" s="25"/>
    </row>
    <row r="434">
      <c r="A434" s="25"/>
      <c r="B434" s="25"/>
      <c r="C434" s="25"/>
      <c r="D434" s="25"/>
      <c r="E434" s="25"/>
    </row>
    <row r="435">
      <c r="A435" s="25"/>
      <c r="B435" s="25"/>
      <c r="C435" s="25"/>
      <c r="D435" s="25"/>
      <c r="E435" s="25"/>
    </row>
    <row r="436">
      <c r="A436" s="25"/>
      <c r="B436" s="25"/>
      <c r="C436" s="25"/>
      <c r="D436" s="25"/>
      <c r="E436" s="25"/>
    </row>
    <row r="437">
      <c r="A437" s="25"/>
      <c r="B437" s="25"/>
      <c r="C437" s="25"/>
      <c r="D437" s="25"/>
      <c r="E437" s="25"/>
    </row>
    <row r="438">
      <c r="A438" s="25"/>
      <c r="B438" s="25"/>
      <c r="C438" s="25"/>
      <c r="D438" s="25"/>
      <c r="E438" s="25"/>
    </row>
    <row r="439">
      <c r="A439" s="25"/>
      <c r="B439" s="25"/>
      <c r="C439" s="25"/>
      <c r="D439" s="25"/>
      <c r="E439" s="25"/>
    </row>
    <row r="440">
      <c r="A440" s="25"/>
      <c r="B440" s="25"/>
      <c r="C440" s="25"/>
      <c r="D440" s="25"/>
      <c r="E440" s="25"/>
    </row>
    <row r="441">
      <c r="A441" s="25"/>
      <c r="B441" s="25"/>
      <c r="C441" s="25"/>
      <c r="D441" s="25"/>
      <c r="E441" s="25"/>
    </row>
    <row r="442">
      <c r="A442" s="25"/>
      <c r="B442" s="25"/>
      <c r="C442" s="25"/>
      <c r="D442" s="25"/>
      <c r="E442" s="25"/>
    </row>
    <row r="443">
      <c r="A443" s="25"/>
      <c r="B443" s="25"/>
      <c r="C443" s="25"/>
      <c r="D443" s="25"/>
      <c r="E443" s="25"/>
    </row>
    <row r="444">
      <c r="A444" s="25"/>
      <c r="B444" s="25"/>
      <c r="C444" s="25"/>
      <c r="D444" s="25"/>
      <c r="E444" s="25"/>
    </row>
    <row r="445">
      <c r="A445" s="25"/>
      <c r="B445" s="25"/>
      <c r="C445" s="25"/>
      <c r="D445" s="25"/>
      <c r="E445" s="25"/>
    </row>
    <row r="446">
      <c r="A446" s="25"/>
      <c r="B446" s="25"/>
      <c r="C446" s="25"/>
      <c r="D446" s="25"/>
      <c r="E446" s="25"/>
    </row>
    <row r="447">
      <c r="A447" s="25"/>
      <c r="B447" s="25"/>
      <c r="C447" s="25"/>
      <c r="D447" s="25"/>
      <c r="E447" s="25"/>
    </row>
    <row r="448">
      <c r="A448" s="25"/>
      <c r="B448" s="25"/>
      <c r="C448" s="25"/>
      <c r="D448" s="25"/>
      <c r="E448" s="25"/>
    </row>
    <row r="449">
      <c r="A449" s="25"/>
      <c r="B449" s="25"/>
      <c r="C449" s="25"/>
      <c r="D449" s="25"/>
      <c r="E449" s="25"/>
    </row>
    <row r="450">
      <c r="A450" s="25"/>
      <c r="B450" s="25"/>
      <c r="C450" s="25"/>
      <c r="D450" s="25"/>
      <c r="E450" s="25"/>
    </row>
    <row r="451">
      <c r="A451" s="25"/>
      <c r="B451" s="25"/>
      <c r="C451" s="25"/>
      <c r="D451" s="25"/>
      <c r="E451" s="25"/>
    </row>
    <row r="452">
      <c r="A452" s="25"/>
      <c r="B452" s="25"/>
      <c r="C452" s="25"/>
      <c r="D452" s="25"/>
      <c r="E452" s="25"/>
    </row>
    <row r="453">
      <c r="A453" s="25"/>
      <c r="B453" s="25"/>
      <c r="C453" s="25"/>
      <c r="D453" s="25"/>
      <c r="E453" s="25"/>
    </row>
    <row r="454">
      <c r="A454" s="25"/>
      <c r="B454" s="25"/>
      <c r="C454" s="25"/>
      <c r="D454" s="25"/>
      <c r="E454" s="25"/>
    </row>
    <row r="455">
      <c r="A455" s="25"/>
      <c r="B455" s="25"/>
      <c r="C455" s="25"/>
      <c r="D455" s="25"/>
      <c r="E455" s="25"/>
    </row>
    <row r="456">
      <c r="A456" s="25"/>
      <c r="B456" s="25"/>
      <c r="C456" s="25"/>
      <c r="D456" s="25"/>
      <c r="E456" s="25"/>
    </row>
    <row r="457">
      <c r="A457" s="25"/>
      <c r="B457" s="25"/>
      <c r="C457" s="25"/>
      <c r="D457" s="25"/>
      <c r="E457" s="25"/>
    </row>
    <row r="458">
      <c r="A458" s="25"/>
      <c r="B458" s="25"/>
      <c r="C458" s="25"/>
      <c r="D458" s="25"/>
      <c r="E458" s="25"/>
    </row>
    <row r="459">
      <c r="A459" s="25"/>
      <c r="B459" s="25"/>
      <c r="C459" s="25"/>
      <c r="D459" s="25"/>
      <c r="E459" s="25"/>
    </row>
    <row r="460">
      <c r="A460" s="25"/>
      <c r="B460" s="25"/>
      <c r="C460" s="25"/>
      <c r="D460" s="25"/>
      <c r="E460" s="25"/>
    </row>
    <row r="461">
      <c r="A461" s="25"/>
      <c r="B461" s="25"/>
      <c r="C461" s="25"/>
      <c r="D461" s="25"/>
      <c r="E461" s="25"/>
    </row>
    <row r="462">
      <c r="A462" s="25"/>
      <c r="B462" s="25"/>
      <c r="C462" s="25"/>
      <c r="D462" s="25"/>
      <c r="E462" s="25"/>
    </row>
    <row r="463">
      <c r="A463" s="25"/>
      <c r="B463" s="25"/>
      <c r="C463" s="25"/>
      <c r="D463" s="25"/>
      <c r="E463" s="25"/>
    </row>
    <row r="464">
      <c r="A464" s="25"/>
      <c r="B464" s="25"/>
      <c r="C464" s="25"/>
      <c r="D464" s="25"/>
      <c r="E464" s="25"/>
    </row>
    <row r="465">
      <c r="A465" s="25"/>
      <c r="B465" s="25"/>
      <c r="C465" s="25"/>
      <c r="D465" s="25"/>
      <c r="E465" s="25"/>
    </row>
    <row r="466">
      <c r="A466" s="25"/>
      <c r="B466" s="25"/>
      <c r="C466" s="25"/>
      <c r="D466" s="25"/>
      <c r="E466" s="25"/>
    </row>
    <row r="467">
      <c r="A467" s="25"/>
      <c r="B467" s="25"/>
      <c r="C467" s="25"/>
      <c r="D467" s="25"/>
      <c r="E467" s="25"/>
    </row>
    <row r="468">
      <c r="A468" s="25"/>
      <c r="B468" s="25"/>
      <c r="C468" s="25"/>
      <c r="D468" s="25"/>
      <c r="E468" s="25"/>
    </row>
    <row r="469">
      <c r="A469" s="25"/>
      <c r="B469" s="25"/>
      <c r="C469" s="25"/>
      <c r="D469" s="25"/>
      <c r="E469" s="25"/>
    </row>
    <row r="470">
      <c r="A470" s="25"/>
      <c r="B470" s="25"/>
      <c r="C470" s="25"/>
      <c r="D470" s="25"/>
      <c r="E470" s="25"/>
    </row>
    <row r="471">
      <c r="A471" s="25"/>
      <c r="B471" s="25"/>
      <c r="C471" s="25"/>
      <c r="D471" s="25"/>
      <c r="E471" s="25"/>
    </row>
    <row r="472">
      <c r="A472" s="25"/>
      <c r="B472" s="25"/>
      <c r="C472" s="25"/>
      <c r="D472" s="25"/>
      <c r="E472" s="25"/>
    </row>
    <row r="473">
      <c r="A473" s="25"/>
      <c r="B473" s="25"/>
      <c r="C473" s="25"/>
      <c r="D473" s="25"/>
      <c r="E473" s="25"/>
    </row>
    <row r="474">
      <c r="A474" s="25"/>
      <c r="B474" s="25"/>
      <c r="C474" s="25"/>
      <c r="D474" s="25"/>
      <c r="E474" s="25"/>
    </row>
    <row r="475">
      <c r="A475" s="25"/>
      <c r="B475" s="25"/>
      <c r="C475" s="25"/>
      <c r="D475" s="25"/>
      <c r="E475" s="25"/>
    </row>
    <row r="476">
      <c r="A476" s="25"/>
      <c r="B476" s="25"/>
      <c r="C476" s="25"/>
      <c r="D476" s="25"/>
      <c r="E476" s="25"/>
    </row>
    <row r="477">
      <c r="A477" s="25"/>
      <c r="B477" s="25"/>
      <c r="C477" s="25"/>
      <c r="D477" s="25"/>
      <c r="E477" s="25"/>
    </row>
    <row r="478">
      <c r="A478" s="25"/>
      <c r="B478" s="25"/>
      <c r="C478" s="25"/>
      <c r="D478" s="25"/>
      <c r="E478" s="25"/>
    </row>
    <row r="479">
      <c r="A479" s="25"/>
      <c r="B479" s="25"/>
      <c r="C479" s="25"/>
      <c r="D479" s="25"/>
      <c r="E479" s="25"/>
    </row>
    <row r="480">
      <c r="A480" s="25"/>
      <c r="B480" s="25"/>
      <c r="C480" s="25"/>
      <c r="D480" s="25"/>
      <c r="E480" s="25"/>
    </row>
    <row r="481">
      <c r="A481" s="25"/>
      <c r="B481" s="25"/>
      <c r="C481" s="25"/>
      <c r="D481" s="25"/>
      <c r="E481" s="25"/>
    </row>
    <row r="482">
      <c r="A482" s="25"/>
      <c r="B482" s="25"/>
      <c r="C482" s="25"/>
      <c r="D482" s="25"/>
      <c r="E482" s="25"/>
    </row>
    <row r="483">
      <c r="A483" s="25"/>
      <c r="B483" s="25"/>
      <c r="C483" s="25"/>
      <c r="D483" s="25"/>
      <c r="E483" s="25"/>
    </row>
    <row r="484">
      <c r="A484" s="25"/>
      <c r="B484" s="25"/>
      <c r="C484" s="25"/>
      <c r="D484" s="25"/>
      <c r="E484" s="25"/>
    </row>
    <row r="485">
      <c r="A485" s="25"/>
      <c r="B485" s="25"/>
      <c r="C485" s="25"/>
      <c r="D485" s="25"/>
      <c r="E485" s="25"/>
    </row>
    <row r="486">
      <c r="A486" s="25"/>
      <c r="B486" s="25"/>
      <c r="C486" s="25"/>
      <c r="D486" s="25"/>
      <c r="E486" s="25"/>
    </row>
    <row r="487">
      <c r="A487" s="25"/>
      <c r="B487" s="25"/>
      <c r="C487" s="25"/>
      <c r="D487" s="25"/>
      <c r="E487" s="25"/>
    </row>
    <row r="488">
      <c r="A488" s="25"/>
      <c r="B488" s="25"/>
      <c r="C488" s="25"/>
      <c r="D488" s="25"/>
      <c r="E488" s="25"/>
    </row>
    <row r="489">
      <c r="A489" s="25"/>
      <c r="B489" s="25"/>
      <c r="C489" s="25"/>
      <c r="D489" s="25"/>
      <c r="E489" s="25"/>
    </row>
    <row r="490">
      <c r="A490" s="25"/>
      <c r="B490" s="25"/>
      <c r="C490" s="25"/>
      <c r="D490" s="25"/>
      <c r="E490" s="25"/>
    </row>
    <row r="491">
      <c r="A491" s="25"/>
      <c r="B491" s="25"/>
      <c r="C491" s="25"/>
      <c r="D491" s="25"/>
      <c r="E491" s="25"/>
    </row>
    <row r="492">
      <c r="A492" s="25"/>
      <c r="B492" s="25"/>
      <c r="C492" s="25"/>
      <c r="D492" s="25"/>
      <c r="E492" s="25"/>
    </row>
    <row r="493">
      <c r="A493" s="25"/>
      <c r="B493" s="25"/>
      <c r="C493" s="25"/>
      <c r="D493" s="25"/>
      <c r="E493" s="25"/>
    </row>
    <row r="494">
      <c r="A494" s="25"/>
      <c r="B494" s="25"/>
      <c r="C494" s="25"/>
      <c r="D494" s="25"/>
      <c r="E494" s="25"/>
    </row>
    <row r="495">
      <c r="A495" s="25"/>
      <c r="B495" s="25"/>
      <c r="C495" s="25"/>
      <c r="D495" s="25"/>
      <c r="E495" s="25"/>
    </row>
    <row r="496">
      <c r="A496" s="25"/>
      <c r="B496" s="25"/>
      <c r="C496" s="25"/>
      <c r="D496" s="25"/>
      <c r="E496" s="25"/>
    </row>
    <row r="497">
      <c r="A497" s="25"/>
      <c r="B497" s="25"/>
      <c r="C497" s="25"/>
      <c r="D497" s="25"/>
      <c r="E497" s="25"/>
    </row>
    <row r="498">
      <c r="A498" s="25"/>
      <c r="B498" s="25"/>
      <c r="C498" s="25"/>
      <c r="D498" s="25"/>
      <c r="E498" s="25"/>
    </row>
    <row r="499">
      <c r="A499" s="25"/>
      <c r="B499" s="25"/>
      <c r="C499" s="25"/>
      <c r="D499" s="25"/>
      <c r="E499" s="25"/>
    </row>
    <row r="500">
      <c r="A500" s="25"/>
      <c r="B500" s="25"/>
      <c r="C500" s="25"/>
      <c r="D500" s="25"/>
      <c r="E500" s="25"/>
    </row>
    <row r="501">
      <c r="A501" s="25"/>
      <c r="B501" s="25"/>
      <c r="C501" s="25"/>
      <c r="D501" s="25"/>
      <c r="E501" s="25"/>
    </row>
    <row r="502">
      <c r="A502" s="25"/>
      <c r="B502" s="25"/>
      <c r="C502" s="25"/>
      <c r="D502" s="25"/>
      <c r="E502" s="25"/>
    </row>
    <row r="503">
      <c r="A503" s="25"/>
      <c r="B503" s="25"/>
      <c r="C503" s="25"/>
      <c r="D503" s="25"/>
      <c r="E503" s="25"/>
    </row>
    <row r="504">
      <c r="A504" s="25"/>
      <c r="B504" s="25"/>
      <c r="C504" s="25"/>
      <c r="D504" s="25"/>
      <c r="E504" s="25"/>
    </row>
    <row r="505">
      <c r="A505" s="25"/>
      <c r="B505" s="25"/>
      <c r="C505" s="25"/>
      <c r="D505" s="25"/>
      <c r="E505" s="25"/>
    </row>
    <row r="506">
      <c r="A506" s="25"/>
      <c r="B506" s="25"/>
      <c r="C506" s="25"/>
      <c r="D506" s="25"/>
      <c r="E506" s="25"/>
    </row>
    <row r="507">
      <c r="A507" s="25"/>
      <c r="B507" s="25"/>
      <c r="C507" s="25"/>
      <c r="D507" s="25"/>
      <c r="E507" s="25"/>
    </row>
    <row r="508">
      <c r="A508" s="25"/>
      <c r="B508" s="25"/>
      <c r="C508" s="25"/>
      <c r="D508" s="25"/>
      <c r="E508" s="25"/>
    </row>
    <row r="509">
      <c r="A509" s="25"/>
      <c r="B509" s="25"/>
      <c r="C509" s="25"/>
      <c r="D509" s="25"/>
      <c r="E509" s="25"/>
    </row>
    <row r="510">
      <c r="A510" s="25"/>
      <c r="B510" s="25"/>
      <c r="C510" s="25"/>
      <c r="D510" s="25"/>
      <c r="E510" s="25"/>
    </row>
    <row r="511">
      <c r="A511" s="25"/>
      <c r="B511" s="25"/>
      <c r="C511" s="25"/>
      <c r="D511" s="25"/>
      <c r="E511" s="25"/>
    </row>
    <row r="512">
      <c r="A512" s="25"/>
      <c r="B512" s="25"/>
      <c r="C512" s="25"/>
      <c r="D512" s="25"/>
      <c r="E512" s="25"/>
    </row>
    <row r="513">
      <c r="A513" s="25"/>
      <c r="B513" s="25"/>
      <c r="C513" s="25"/>
      <c r="D513" s="25"/>
      <c r="E513" s="25"/>
    </row>
    <row r="514">
      <c r="A514" s="25"/>
      <c r="B514" s="25"/>
      <c r="C514" s="25"/>
      <c r="D514" s="25"/>
      <c r="E514" s="25"/>
    </row>
    <row r="515">
      <c r="A515" s="25"/>
      <c r="B515" s="25"/>
      <c r="C515" s="25"/>
      <c r="D515" s="25"/>
      <c r="E515" s="25"/>
    </row>
    <row r="516">
      <c r="A516" s="25"/>
      <c r="B516" s="25"/>
      <c r="C516" s="25"/>
      <c r="D516" s="25"/>
      <c r="E516" s="25"/>
    </row>
    <row r="517">
      <c r="A517" s="25"/>
      <c r="B517" s="25"/>
      <c r="C517" s="25"/>
      <c r="D517" s="25"/>
      <c r="E517" s="25"/>
    </row>
    <row r="518">
      <c r="A518" s="25"/>
      <c r="B518" s="25"/>
      <c r="C518" s="25"/>
      <c r="D518" s="25"/>
      <c r="E518" s="25"/>
    </row>
    <row r="519">
      <c r="A519" s="25"/>
      <c r="B519" s="25"/>
      <c r="C519" s="25"/>
      <c r="D519" s="25"/>
      <c r="E519" s="25"/>
    </row>
    <row r="520">
      <c r="A520" s="25"/>
      <c r="B520" s="25"/>
      <c r="C520" s="25"/>
      <c r="D520" s="25"/>
      <c r="E520" s="25"/>
    </row>
    <row r="521">
      <c r="A521" s="25"/>
      <c r="B521" s="25"/>
      <c r="C521" s="25"/>
      <c r="D521" s="25"/>
      <c r="E521" s="25"/>
    </row>
    <row r="522">
      <c r="A522" s="25"/>
      <c r="B522" s="25"/>
      <c r="C522" s="25"/>
      <c r="D522" s="25"/>
      <c r="E522" s="25"/>
    </row>
    <row r="523">
      <c r="A523" s="25"/>
      <c r="B523" s="25"/>
      <c r="C523" s="25"/>
      <c r="D523" s="25"/>
      <c r="E523" s="25"/>
    </row>
    <row r="524">
      <c r="A524" s="25"/>
      <c r="B524" s="25"/>
      <c r="C524" s="25"/>
      <c r="D524" s="25"/>
      <c r="E524" s="25"/>
    </row>
    <row r="525">
      <c r="A525" s="25"/>
      <c r="B525" s="25"/>
      <c r="C525" s="25"/>
      <c r="D525" s="25"/>
      <c r="E525" s="25"/>
    </row>
    <row r="526">
      <c r="A526" s="25"/>
      <c r="B526" s="25"/>
      <c r="C526" s="25"/>
      <c r="D526" s="25"/>
      <c r="E526" s="25"/>
    </row>
    <row r="527">
      <c r="A527" s="25"/>
      <c r="B527" s="25"/>
      <c r="C527" s="25"/>
      <c r="D527" s="25"/>
      <c r="E527" s="25"/>
    </row>
    <row r="528">
      <c r="A528" s="25"/>
      <c r="B528" s="25"/>
      <c r="C528" s="25"/>
      <c r="D528" s="25"/>
      <c r="E528" s="25"/>
    </row>
    <row r="529">
      <c r="A529" s="25"/>
      <c r="B529" s="25"/>
      <c r="C529" s="25"/>
      <c r="D529" s="25"/>
      <c r="E529" s="25"/>
    </row>
    <row r="530">
      <c r="A530" s="25"/>
      <c r="B530" s="25"/>
      <c r="C530" s="25"/>
      <c r="D530" s="25"/>
      <c r="E530" s="25"/>
    </row>
    <row r="531">
      <c r="A531" s="25"/>
      <c r="B531" s="25"/>
      <c r="C531" s="25"/>
      <c r="D531" s="25"/>
      <c r="E531" s="25"/>
    </row>
    <row r="532">
      <c r="A532" s="25"/>
      <c r="B532" s="25"/>
      <c r="C532" s="25"/>
      <c r="D532" s="25"/>
      <c r="E532" s="25"/>
    </row>
    <row r="533">
      <c r="A533" s="25"/>
      <c r="B533" s="25"/>
      <c r="C533" s="25"/>
      <c r="D533" s="25"/>
      <c r="E533" s="25"/>
    </row>
    <row r="534">
      <c r="A534" s="25"/>
      <c r="B534" s="25"/>
      <c r="C534" s="25"/>
      <c r="D534" s="25"/>
      <c r="E534" s="25"/>
    </row>
    <row r="535">
      <c r="A535" s="25"/>
      <c r="B535" s="25"/>
      <c r="C535" s="25"/>
      <c r="D535" s="25"/>
      <c r="E535" s="25"/>
    </row>
    <row r="536">
      <c r="A536" s="25"/>
      <c r="B536" s="25"/>
      <c r="C536" s="25"/>
      <c r="D536" s="25"/>
      <c r="E536" s="25"/>
    </row>
    <row r="537">
      <c r="A537" s="25"/>
      <c r="B537" s="25"/>
      <c r="C537" s="25"/>
      <c r="D537" s="25"/>
      <c r="E537" s="25"/>
    </row>
    <row r="538">
      <c r="A538" s="25"/>
      <c r="B538" s="25"/>
      <c r="C538" s="25"/>
      <c r="D538" s="25"/>
      <c r="E538" s="25"/>
    </row>
    <row r="539">
      <c r="A539" s="25"/>
      <c r="B539" s="25"/>
      <c r="C539" s="25"/>
      <c r="D539" s="25"/>
      <c r="E539" s="25"/>
    </row>
    <row r="540">
      <c r="A540" s="25"/>
      <c r="B540" s="25"/>
      <c r="C540" s="25"/>
      <c r="D540" s="25"/>
      <c r="E540" s="25"/>
    </row>
    <row r="541">
      <c r="A541" s="25"/>
      <c r="B541" s="25"/>
      <c r="C541" s="25"/>
      <c r="D541" s="25"/>
      <c r="E541" s="25"/>
    </row>
    <row r="542">
      <c r="A542" s="25"/>
      <c r="B542" s="25"/>
      <c r="C542" s="25"/>
      <c r="D542" s="25"/>
      <c r="E542" s="25"/>
    </row>
    <row r="543">
      <c r="A543" s="25"/>
      <c r="B543" s="25"/>
      <c r="C543" s="25"/>
      <c r="D543" s="25"/>
      <c r="E543" s="25"/>
    </row>
    <row r="544">
      <c r="A544" s="25"/>
      <c r="B544" s="25"/>
      <c r="C544" s="25"/>
      <c r="D544" s="25"/>
      <c r="E544" s="25"/>
    </row>
    <row r="545">
      <c r="A545" s="25"/>
      <c r="B545" s="25"/>
      <c r="C545" s="25"/>
      <c r="D545" s="25"/>
      <c r="E545" s="25"/>
    </row>
    <row r="546">
      <c r="A546" s="25"/>
      <c r="B546" s="25"/>
      <c r="C546" s="25"/>
      <c r="D546" s="25"/>
      <c r="E546" s="25"/>
    </row>
    <row r="547">
      <c r="A547" s="25"/>
      <c r="B547" s="25"/>
      <c r="C547" s="25"/>
      <c r="D547" s="25"/>
      <c r="E547" s="25"/>
    </row>
    <row r="548">
      <c r="A548" s="25"/>
      <c r="B548" s="25"/>
      <c r="C548" s="25"/>
      <c r="D548" s="25"/>
      <c r="E548" s="25"/>
    </row>
    <row r="549">
      <c r="A549" s="25"/>
      <c r="B549" s="25"/>
      <c r="C549" s="25"/>
      <c r="D549" s="25"/>
      <c r="E549" s="25"/>
    </row>
    <row r="550">
      <c r="A550" s="25"/>
      <c r="B550" s="25"/>
      <c r="C550" s="25"/>
      <c r="D550" s="25"/>
      <c r="E550" s="25"/>
    </row>
    <row r="551">
      <c r="A551" s="25"/>
      <c r="B551" s="25"/>
      <c r="C551" s="25"/>
      <c r="D551" s="25"/>
      <c r="E551" s="25"/>
    </row>
    <row r="552">
      <c r="A552" s="25"/>
      <c r="B552" s="25"/>
      <c r="C552" s="25"/>
      <c r="D552" s="25"/>
      <c r="E552" s="25"/>
    </row>
    <row r="553">
      <c r="A553" s="25"/>
      <c r="B553" s="25"/>
      <c r="C553" s="25"/>
      <c r="D553" s="25"/>
      <c r="E553" s="25"/>
    </row>
    <row r="554">
      <c r="A554" s="25"/>
      <c r="B554" s="25"/>
      <c r="C554" s="25"/>
      <c r="D554" s="25"/>
      <c r="E554" s="25"/>
    </row>
    <row r="555">
      <c r="A555" s="25"/>
      <c r="B555" s="25"/>
      <c r="C555" s="25"/>
      <c r="D555" s="25"/>
      <c r="E555" s="25"/>
    </row>
    <row r="556">
      <c r="A556" s="25"/>
      <c r="B556" s="25"/>
      <c r="C556" s="25"/>
      <c r="D556" s="25"/>
      <c r="E556" s="25"/>
    </row>
    <row r="557">
      <c r="A557" s="25"/>
      <c r="B557" s="25"/>
      <c r="C557" s="25"/>
      <c r="D557" s="25"/>
      <c r="E557" s="25"/>
    </row>
    <row r="558">
      <c r="A558" s="25"/>
      <c r="B558" s="25"/>
      <c r="C558" s="25"/>
      <c r="D558" s="25"/>
      <c r="E558" s="25"/>
    </row>
    <row r="559">
      <c r="A559" s="25"/>
      <c r="B559" s="25"/>
      <c r="C559" s="25"/>
      <c r="D559" s="25"/>
      <c r="E559" s="25"/>
    </row>
    <row r="560">
      <c r="A560" s="25"/>
      <c r="B560" s="25"/>
      <c r="C560" s="25"/>
      <c r="D560" s="25"/>
      <c r="E560" s="25"/>
    </row>
    <row r="561">
      <c r="A561" s="25"/>
      <c r="B561" s="25"/>
      <c r="C561" s="25"/>
      <c r="D561" s="25"/>
      <c r="E561" s="25"/>
    </row>
    <row r="562">
      <c r="A562" s="25"/>
      <c r="B562" s="25"/>
      <c r="C562" s="25"/>
      <c r="D562" s="25"/>
      <c r="E562" s="25"/>
    </row>
    <row r="563">
      <c r="A563" s="25"/>
      <c r="B563" s="25"/>
      <c r="C563" s="25"/>
      <c r="D563" s="25"/>
      <c r="E563" s="25"/>
    </row>
    <row r="564">
      <c r="A564" s="25"/>
      <c r="B564" s="25"/>
      <c r="C564" s="25"/>
      <c r="D564" s="25"/>
      <c r="E564" s="25"/>
    </row>
    <row r="565">
      <c r="A565" s="25"/>
      <c r="B565" s="25"/>
      <c r="C565" s="25"/>
      <c r="D565" s="25"/>
      <c r="E565" s="25"/>
    </row>
    <row r="566">
      <c r="A566" s="25"/>
      <c r="B566" s="25"/>
      <c r="C566" s="25"/>
      <c r="D566" s="25"/>
      <c r="E566" s="25"/>
    </row>
    <row r="567">
      <c r="A567" s="25"/>
      <c r="B567" s="25"/>
      <c r="C567" s="25"/>
      <c r="D567" s="25"/>
      <c r="E567" s="25"/>
    </row>
    <row r="568">
      <c r="A568" s="25"/>
      <c r="B568" s="25"/>
      <c r="C568" s="25"/>
      <c r="D568" s="25"/>
      <c r="E568" s="25"/>
    </row>
    <row r="569">
      <c r="A569" s="25"/>
      <c r="B569" s="25"/>
      <c r="C569" s="25"/>
      <c r="D569" s="25"/>
      <c r="E569" s="25"/>
    </row>
    <row r="570">
      <c r="A570" s="25"/>
      <c r="B570" s="25"/>
      <c r="C570" s="25"/>
      <c r="D570" s="25"/>
      <c r="E570" s="25"/>
    </row>
    <row r="571">
      <c r="A571" s="25"/>
      <c r="B571" s="25"/>
      <c r="C571" s="25"/>
      <c r="D571" s="25"/>
      <c r="E571" s="25"/>
    </row>
    <row r="572">
      <c r="A572" s="25"/>
      <c r="B572" s="25"/>
      <c r="C572" s="25"/>
      <c r="D572" s="25"/>
      <c r="E572" s="25"/>
    </row>
    <row r="573">
      <c r="A573" s="25"/>
      <c r="B573" s="25"/>
      <c r="C573" s="25"/>
      <c r="D573" s="25"/>
      <c r="E573" s="25"/>
    </row>
    <row r="574">
      <c r="A574" s="25"/>
      <c r="B574" s="25"/>
      <c r="C574" s="25"/>
      <c r="D574" s="25"/>
      <c r="E574" s="25"/>
    </row>
    <row r="575">
      <c r="A575" s="25"/>
      <c r="B575" s="25"/>
      <c r="C575" s="25"/>
      <c r="D575" s="25"/>
      <c r="E575" s="25"/>
    </row>
    <row r="576">
      <c r="A576" s="25"/>
      <c r="B576" s="25"/>
      <c r="C576" s="25"/>
      <c r="D576" s="25"/>
      <c r="E576" s="25"/>
    </row>
    <row r="577">
      <c r="A577" s="25"/>
      <c r="B577" s="25"/>
      <c r="C577" s="25"/>
      <c r="D577" s="25"/>
      <c r="E577" s="25"/>
    </row>
    <row r="578">
      <c r="A578" s="25"/>
      <c r="B578" s="25"/>
      <c r="C578" s="25"/>
      <c r="D578" s="25"/>
      <c r="E578" s="25"/>
    </row>
    <row r="579">
      <c r="A579" s="25"/>
      <c r="B579" s="25"/>
      <c r="C579" s="25"/>
      <c r="D579" s="25"/>
      <c r="E579" s="25"/>
    </row>
    <row r="580">
      <c r="A580" s="25"/>
      <c r="B580" s="25"/>
      <c r="C580" s="25"/>
      <c r="D580" s="25"/>
      <c r="E580" s="25"/>
    </row>
    <row r="581">
      <c r="A581" s="25"/>
      <c r="B581" s="25"/>
      <c r="C581" s="25"/>
      <c r="D581" s="25"/>
      <c r="E581" s="25"/>
    </row>
    <row r="582">
      <c r="A582" s="25"/>
      <c r="B582" s="25"/>
      <c r="C582" s="25"/>
      <c r="D582" s="25"/>
      <c r="E582" s="25"/>
    </row>
    <row r="583">
      <c r="A583" s="25"/>
      <c r="B583" s="25"/>
      <c r="C583" s="25"/>
      <c r="D583" s="25"/>
      <c r="E583" s="25"/>
    </row>
    <row r="584">
      <c r="A584" s="25"/>
      <c r="B584" s="25"/>
      <c r="C584" s="25"/>
      <c r="D584" s="25"/>
      <c r="E584" s="25"/>
    </row>
    <row r="585">
      <c r="A585" s="25"/>
      <c r="B585" s="25"/>
      <c r="C585" s="25"/>
      <c r="D585" s="25"/>
      <c r="E585" s="25"/>
    </row>
    <row r="586">
      <c r="A586" s="25"/>
      <c r="B586" s="25"/>
      <c r="C586" s="25"/>
      <c r="D586" s="25"/>
      <c r="E586" s="25"/>
    </row>
    <row r="587">
      <c r="A587" s="25"/>
      <c r="B587" s="25"/>
      <c r="C587" s="25"/>
      <c r="D587" s="25"/>
      <c r="E587" s="25"/>
    </row>
    <row r="588">
      <c r="A588" s="25"/>
      <c r="B588" s="25"/>
      <c r="C588" s="25"/>
      <c r="D588" s="25"/>
      <c r="E588" s="25"/>
    </row>
    <row r="589">
      <c r="A589" s="25"/>
      <c r="B589" s="25"/>
      <c r="C589" s="25"/>
      <c r="D589" s="25"/>
      <c r="E589" s="25"/>
    </row>
    <row r="590">
      <c r="A590" s="25"/>
      <c r="B590" s="25"/>
      <c r="C590" s="25"/>
      <c r="D590" s="25"/>
      <c r="E590" s="25"/>
    </row>
    <row r="591">
      <c r="A591" s="25"/>
      <c r="B591" s="25"/>
      <c r="C591" s="25"/>
      <c r="D591" s="25"/>
      <c r="E591" s="25"/>
    </row>
    <row r="592">
      <c r="A592" s="25"/>
      <c r="B592" s="25"/>
      <c r="C592" s="25"/>
      <c r="D592" s="25"/>
      <c r="E592" s="25"/>
    </row>
    <row r="593">
      <c r="A593" s="25"/>
      <c r="B593" s="25"/>
      <c r="C593" s="25"/>
      <c r="D593" s="25"/>
      <c r="E593" s="25"/>
    </row>
    <row r="594">
      <c r="A594" s="25"/>
      <c r="B594" s="25"/>
      <c r="C594" s="25"/>
      <c r="D594" s="25"/>
      <c r="E594" s="25"/>
    </row>
    <row r="595">
      <c r="A595" s="25"/>
      <c r="B595" s="25"/>
      <c r="C595" s="25"/>
      <c r="D595" s="25"/>
      <c r="E595" s="25"/>
    </row>
    <row r="596">
      <c r="A596" s="25"/>
      <c r="B596" s="25"/>
      <c r="C596" s="25"/>
      <c r="D596" s="25"/>
      <c r="E596" s="25"/>
    </row>
    <row r="597">
      <c r="A597" s="25"/>
      <c r="B597" s="25"/>
      <c r="C597" s="25"/>
      <c r="D597" s="25"/>
      <c r="E597" s="25"/>
    </row>
    <row r="598">
      <c r="A598" s="25"/>
      <c r="B598" s="25"/>
      <c r="C598" s="25"/>
      <c r="D598" s="25"/>
      <c r="E598" s="25"/>
    </row>
    <row r="599">
      <c r="A599" s="25"/>
      <c r="B599" s="25"/>
      <c r="C599" s="25"/>
      <c r="D599" s="25"/>
      <c r="E599" s="25"/>
    </row>
    <row r="600">
      <c r="A600" s="25"/>
      <c r="B600" s="25"/>
      <c r="C600" s="25"/>
      <c r="D600" s="25"/>
      <c r="E600" s="25"/>
    </row>
    <row r="601">
      <c r="A601" s="25"/>
      <c r="B601" s="25"/>
      <c r="C601" s="25"/>
      <c r="D601" s="25"/>
      <c r="E601" s="25"/>
    </row>
    <row r="602">
      <c r="A602" s="25"/>
      <c r="B602" s="25"/>
      <c r="C602" s="25"/>
      <c r="D602" s="25"/>
      <c r="E602" s="25"/>
    </row>
    <row r="603">
      <c r="A603" s="25"/>
      <c r="B603" s="25"/>
      <c r="C603" s="25"/>
      <c r="D603" s="25"/>
      <c r="E603" s="25"/>
    </row>
    <row r="604">
      <c r="A604" s="25"/>
      <c r="B604" s="25"/>
      <c r="C604" s="25"/>
      <c r="D604" s="25"/>
      <c r="E604" s="25"/>
    </row>
    <row r="605">
      <c r="A605" s="25"/>
      <c r="B605" s="25"/>
      <c r="C605" s="25"/>
      <c r="D605" s="25"/>
      <c r="E605" s="25"/>
    </row>
    <row r="606">
      <c r="A606" s="25"/>
      <c r="B606" s="25"/>
      <c r="C606" s="25"/>
      <c r="D606" s="25"/>
      <c r="E606" s="25"/>
    </row>
    <row r="607">
      <c r="A607" s="25"/>
      <c r="B607" s="25"/>
      <c r="C607" s="25"/>
      <c r="D607" s="25"/>
      <c r="E607" s="25"/>
    </row>
    <row r="608">
      <c r="A608" s="25"/>
      <c r="B608" s="25"/>
      <c r="C608" s="25"/>
      <c r="D608" s="25"/>
      <c r="E608" s="25"/>
    </row>
    <row r="609">
      <c r="A609" s="25"/>
      <c r="B609" s="25"/>
      <c r="C609" s="25"/>
      <c r="D609" s="25"/>
      <c r="E609" s="25"/>
    </row>
    <row r="610">
      <c r="A610" s="25"/>
      <c r="B610" s="25"/>
      <c r="C610" s="25"/>
      <c r="D610" s="25"/>
      <c r="E610" s="25"/>
    </row>
    <row r="611">
      <c r="A611" s="25"/>
      <c r="B611" s="25"/>
      <c r="C611" s="25"/>
      <c r="D611" s="25"/>
      <c r="E611" s="25"/>
    </row>
    <row r="612">
      <c r="A612" s="25"/>
      <c r="B612" s="25"/>
      <c r="C612" s="25"/>
      <c r="D612" s="25"/>
      <c r="E612" s="25"/>
    </row>
    <row r="613">
      <c r="A613" s="25"/>
      <c r="B613" s="25"/>
      <c r="C613" s="25"/>
      <c r="D613" s="25"/>
      <c r="E613" s="25"/>
    </row>
    <row r="614">
      <c r="A614" s="25"/>
      <c r="B614" s="25"/>
      <c r="C614" s="25"/>
      <c r="D614" s="25"/>
      <c r="E614" s="25"/>
    </row>
    <row r="615">
      <c r="A615" s="25"/>
      <c r="B615" s="25"/>
      <c r="C615" s="25"/>
      <c r="D615" s="25"/>
      <c r="E615" s="25"/>
    </row>
    <row r="616">
      <c r="A616" s="25"/>
      <c r="B616" s="25"/>
      <c r="C616" s="25"/>
      <c r="D616" s="25"/>
      <c r="E616" s="25"/>
    </row>
    <row r="617">
      <c r="A617" s="25"/>
      <c r="B617" s="25"/>
      <c r="C617" s="25"/>
      <c r="D617" s="25"/>
      <c r="E617" s="25"/>
    </row>
    <row r="618">
      <c r="A618" s="25"/>
      <c r="B618" s="25"/>
      <c r="C618" s="25"/>
      <c r="D618" s="25"/>
      <c r="E618" s="25"/>
    </row>
    <row r="619">
      <c r="A619" s="25"/>
      <c r="B619" s="25"/>
      <c r="C619" s="25"/>
      <c r="D619" s="25"/>
      <c r="E619" s="25"/>
    </row>
    <row r="620">
      <c r="A620" s="25"/>
      <c r="B620" s="25"/>
      <c r="C620" s="25"/>
      <c r="D620" s="25"/>
      <c r="E620" s="25"/>
    </row>
    <row r="621">
      <c r="A621" s="25"/>
      <c r="B621" s="25"/>
      <c r="C621" s="25"/>
      <c r="D621" s="25"/>
      <c r="E621" s="25"/>
    </row>
    <row r="622">
      <c r="A622" s="25"/>
      <c r="B622" s="25"/>
      <c r="C622" s="25"/>
      <c r="D622" s="25"/>
      <c r="E622" s="25"/>
    </row>
    <row r="623">
      <c r="A623" s="25"/>
      <c r="B623" s="25"/>
      <c r="C623" s="25"/>
      <c r="D623" s="25"/>
      <c r="E623" s="25"/>
    </row>
    <row r="624">
      <c r="A624" s="25"/>
      <c r="B624" s="25"/>
      <c r="C624" s="25"/>
      <c r="D624" s="25"/>
      <c r="E624" s="25"/>
    </row>
    <row r="625">
      <c r="A625" s="25"/>
      <c r="B625" s="25"/>
      <c r="C625" s="25"/>
      <c r="D625" s="25"/>
      <c r="E625" s="25"/>
    </row>
    <row r="626">
      <c r="A626" s="25"/>
      <c r="B626" s="25"/>
      <c r="C626" s="25"/>
      <c r="D626" s="25"/>
      <c r="E626" s="25"/>
    </row>
    <row r="627">
      <c r="A627" s="25"/>
      <c r="B627" s="25"/>
      <c r="C627" s="25"/>
      <c r="D627" s="25"/>
      <c r="E627" s="25"/>
    </row>
    <row r="628">
      <c r="A628" s="25"/>
      <c r="B628" s="25"/>
      <c r="C628" s="25"/>
      <c r="D628" s="25"/>
      <c r="E628" s="25"/>
    </row>
    <row r="629">
      <c r="A629" s="25"/>
      <c r="B629" s="25"/>
      <c r="C629" s="25"/>
      <c r="D629" s="25"/>
      <c r="E629" s="25"/>
    </row>
    <row r="630">
      <c r="A630" s="25"/>
      <c r="B630" s="25"/>
      <c r="C630" s="25"/>
      <c r="D630" s="25"/>
      <c r="E630" s="25"/>
    </row>
    <row r="631">
      <c r="A631" s="25"/>
      <c r="B631" s="25"/>
      <c r="C631" s="25"/>
      <c r="D631" s="25"/>
      <c r="E631" s="25"/>
    </row>
    <row r="632">
      <c r="A632" s="25"/>
      <c r="B632" s="25"/>
      <c r="C632" s="25"/>
      <c r="D632" s="25"/>
      <c r="E632" s="25"/>
    </row>
    <row r="633">
      <c r="A633" s="25"/>
      <c r="B633" s="25"/>
      <c r="C633" s="25"/>
      <c r="D633" s="25"/>
      <c r="E633" s="25"/>
    </row>
    <row r="634">
      <c r="A634" s="25"/>
      <c r="B634" s="25"/>
      <c r="C634" s="25"/>
      <c r="D634" s="25"/>
      <c r="E634" s="25"/>
    </row>
    <row r="635">
      <c r="A635" s="25"/>
      <c r="B635" s="25"/>
      <c r="C635" s="25"/>
      <c r="D635" s="25"/>
      <c r="E635" s="25"/>
    </row>
    <row r="636">
      <c r="A636" s="25"/>
      <c r="B636" s="25"/>
      <c r="C636" s="25"/>
      <c r="D636" s="25"/>
      <c r="E636" s="25"/>
    </row>
    <row r="637">
      <c r="A637" s="25"/>
      <c r="B637" s="25"/>
      <c r="C637" s="25"/>
      <c r="D637" s="25"/>
      <c r="E637" s="25"/>
    </row>
    <row r="638">
      <c r="A638" s="25"/>
      <c r="B638" s="25"/>
      <c r="C638" s="25"/>
      <c r="D638" s="25"/>
      <c r="E638" s="25"/>
    </row>
    <row r="639">
      <c r="A639" s="25"/>
      <c r="B639" s="25"/>
      <c r="C639" s="25"/>
      <c r="D639" s="25"/>
      <c r="E639" s="25"/>
    </row>
    <row r="640">
      <c r="A640" s="25"/>
      <c r="B640" s="25"/>
      <c r="C640" s="25"/>
      <c r="D640" s="25"/>
      <c r="E640" s="25"/>
    </row>
    <row r="641">
      <c r="A641" s="25"/>
      <c r="B641" s="25"/>
      <c r="C641" s="25"/>
      <c r="D641" s="25"/>
      <c r="E641" s="25"/>
    </row>
    <row r="642">
      <c r="A642" s="25"/>
      <c r="B642" s="25"/>
      <c r="C642" s="25"/>
      <c r="D642" s="25"/>
      <c r="E642" s="25"/>
    </row>
    <row r="643">
      <c r="A643" s="25"/>
      <c r="B643" s="25"/>
      <c r="C643" s="25"/>
      <c r="D643" s="25"/>
      <c r="E643" s="25"/>
    </row>
    <row r="644">
      <c r="A644" s="25"/>
      <c r="B644" s="25"/>
      <c r="C644" s="25"/>
      <c r="D644" s="25"/>
      <c r="E644" s="25"/>
    </row>
    <row r="645">
      <c r="A645" s="25"/>
      <c r="B645" s="25"/>
      <c r="C645" s="25"/>
      <c r="D645" s="25"/>
      <c r="E645" s="25"/>
    </row>
    <row r="646">
      <c r="A646" s="25"/>
      <c r="B646" s="25"/>
      <c r="C646" s="25"/>
      <c r="D646" s="25"/>
      <c r="E646" s="25"/>
    </row>
    <row r="647">
      <c r="A647" s="25"/>
      <c r="B647" s="25"/>
      <c r="C647" s="25"/>
      <c r="D647" s="25"/>
      <c r="E647" s="25"/>
    </row>
    <row r="648">
      <c r="A648" s="25"/>
      <c r="B648" s="25"/>
      <c r="C648" s="25"/>
      <c r="D648" s="25"/>
      <c r="E648" s="25"/>
    </row>
    <row r="649">
      <c r="A649" s="25"/>
      <c r="B649" s="25"/>
      <c r="C649" s="25"/>
      <c r="D649" s="25"/>
      <c r="E649" s="25"/>
    </row>
    <row r="650">
      <c r="A650" s="25"/>
      <c r="B650" s="25"/>
      <c r="C650" s="25"/>
      <c r="D650" s="25"/>
      <c r="E650" s="25"/>
    </row>
    <row r="651">
      <c r="A651" s="25"/>
      <c r="B651" s="25"/>
      <c r="C651" s="25"/>
      <c r="D651" s="25"/>
      <c r="E651" s="25"/>
    </row>
    <row r="652">
      <c r="A652" s="25"/>
      <c r="B652" s="25"/>
      <c r="C652" s="25"/>
      <c r="D652" s="25"/>
      <c r="E652" s="25"/>
    </row>
    <row r="653">
      <c r="A653" s="25"/>
      <c r="B653" s="25"/>
      <c r="C653" s="25"/>
      <c r="D653" s="25"/>
      <c r="E653" s="25"/>
    </row>
    <row r="654">
      <c r="A654" s="25"/>
      <c r="B654" s="25"/>
      <c r="C654" s="25"/>
      <c r="D654" s="25"/>
      <c r="E654" s="25"/>
    </row>
    <row r="655">
      <c r="A655" s="25"/>
      <c r="B655" s="25"/>
      <c r="C655" s="25"/>
      <c r="D655" s="25"/>
      <c r="E655" s="25"/>
    </row>
    <row r="656">
      <c r="A656" s="25"/>
      <c r="B656" s="25"/>
      <c r="C656" s="25"/>
      <c r="D656" s="25"/>
      <c r="E656" s="25"/>
    </row>
    <row r="657">
      <c r="A657" s="25"/>
      <c r="B657" s="25"/>
      <c r="C657" s="25"/>
      <c r="D657" s="25"/>
      <c r="E657" s="25"/>
    </row>
    <row r="658">
      <c r="A658" s="25"/>
      <c r="B658" s="25"/>
      <c r="C658" s="25"/>
      <c r="D658" s="25"/>
      <c r="E658" s="25"/>
    </row>
    <row r="659">
      <c r="A659" s="25"/>
      <c r="B659" s="25"/>
      <c r="C659" s="25"/>
      <c r="D659" s="25"/>
      <c r="E659" s="25"/>
    </row>
    <row r="660">
      <c r="A660" s="25"/>
      <c r="B660" s="25"/>
      <c r="C660" s="25"/>
      <c r="D660" s="25"/>
      <c r="E660" s="25"/>
    </row>
    <row r="661">
      <c r="A661" s="25"/>
      <c r="B661" s="25"/>
      <c r="C661" s="25"/>
      <c r="D661" s="25"/>
      <c r="E661" s="25"/>
    </row>
    <row r="662">
      <c r="A662" s="25"/>
      <c r="B662" s="25"/>
      <c r="C662" s="25"/>
      <c r="D662" s="25"/>
      <c r="E662" s="25"/>
    </row>
    <row r="663">
      <c r="A663" s="25"/>
      <c r="B663" s="25"/>
      <c r="C663" s="25"/>
      <c r="D663" s="25"/>
      <c r="E663" s="25"/>
    </row>
    <row r="664">
      <c r="A664" s="25"/>
      <c r="B664" s="25"/>
      <c r="C664" s="25"/>
      <c r="D664" s="25"/>
      <c r="E664" s="25"/>
    </row>
    <row r="665">
      <c r="A665" s="25"/>
      <c r="B665" s="25"/>
      <c r="C665" s="25"/>
      <c r="D665" s="25"/>
      <c r="E665" s="25"/>
    </row>
    <row r="666">
      <c r="A666" s="25"/>
      <c r="B666" s="25"/>
      <c r="C666" s="25"/>
      <c r="D666" s="25"/>
      <c r="E666" s="25"/>
    </row>
    <row r="667">
      <c r="A667" s="25"/>
      <c r="B667" s="25"/>
      <c r="C667" s="25"/>
      <c r="D667" s="25"/>
      <c r="E667" s="25"/>
    </row>
    <row r="668">
      <c r="A668" s="25"/>
      <c r="B668" s="25"/>
      <c r="C668" s="25"/>
      <c r="D668" s="25"/>
      <c r="E668" s="25"/>
    </row>
    <row r="669">
      <c r="A669" s="25"/>
      <c r="B669" s="25"/>
      <c r="C669" s="25"/>
      <c r="D669" s="25"/>
      <c r="E669" s="25"/>
    </row>
    <row r="670">
      <c r="A670" s="25"/>
      <c r="B670" s="25"/>
      <c r="C670" s="25"/>
      <c r="D670" s="25"/>
      <c r="E670" s="25"/>
    </row>
    <row r="671">
      <c r="A671" s="25"/>
      <c r="B671" s="25"/>
      <c r="C671" s="25"/>
      <c r="D671" s="25"/>
      <c r="E671" s="25"/>
    </row>
    <row r="672">
      <c r="A672" s="25"/>
      <c r="B672" s="25"/>
      <c r="C672" s="25"/>
      <c r="D672" s="25"/>
      <c r="E672" s="25"/>
    </row>
    <row r="673">
      <c r="A673" s="25"/>
      <c r="B673" s="25"/>
      <c r="C673" s="25"/>
      <c r="D673" s="25"/>
      <c r="E673" s="25"/>
    </row>
    <row r="674">
      <c r="A674" s="25"/>
      <c r="B674" s="25"/>
      <c r="C674" s="25"/>
      <c r="D674" s="25"/>
      <c r="E674" s="25"/>
    </row>
    <row r="675">
      <c r="A675" s="25"/>
      <c r="B675" s="25"/>
      <c r="C675" s="25"/>
      <c r="D675" s="25"/>
      <c r="E675" s="25"/>
    </row>
    <row r="676">
      <c r="A676" s="25"/>
      <c r="B676" s="25"/>
      <c r="C676" s="25"/>
      <c r="D676" s="25"/>
      <c r="E676" s="25"/>
    </row>
    <row r="677">
      <c r="A677" s="25"/>
      <c r="B677" s="25"/>
      <c r="C677" s="25"/>
      <c r="D677" s="25"/>
      <c r="E677" s="25"/>
    </row>
    <row r="678">
      <c r="A678" s="25"/>
      <c r="B678" s="25"/>
      <c r="C678" s="25"/>
      <c r="D678" s="25"/>
      <c r="E678" s="25"/>
    </row>
    <row r="679">
      <c r="A679" s="25"/>
      <c r="B679" s="25"/>
      <c r="C679" s="25"/>
      <c r="D679" s="25"/>
      <c r="E679" s="25"/>
    </row>
    <row r="680">
      <c r="A680" s="25"/>
      <c r="B680" s="25"/>
      <c r="C680" s="25"/>
      <c r="D680" s="25"/>
      <c r="E680" s="25"/>
    </row>
    <row r="681">
      <c r="A681" s="25"/>
      <c r="B681" s="25"/>
      <c r="C681" s="25"/>
      <c r="D681" s="25"/>
      <c r="E681" s="25"/>
    </row>
    <row r="682">
      <c r="A682" s="25"/>
      <c r="B682" s="25"/>
      <c r="C682" s="25"/>
      <c r="D682" s="25"/>
      <c r="E682" s="25"/>
    </row>
    <row r="683">
      <c r="A683" s="25"/>
      <c r="B683" s="25"/>
      <c r="C683" s="25"/>
      <c r="D683" s="25"/>
      <c r="E683" s="25"/>
    </row>
    <row r="684">
      <c r="A684" s="25"/>
      <c r="B684" s="25"/>
      <c r="C684" s="25"/>
      <c r="D684" s="25"/>
      <c r="E684" s="25"/>
    </row>
    <row r="685">
      <c r="A685" s="25"/>
      <c r="B685" s="25"/>
      <c r="C685" s="25"/>
      <c r="D685" s="25"/>
      <c r="E685" s="25"/>
    </row>
    <row r="686">
      <c r="A686" s="25"/>
      <c r="B686" s="25"/>
      <c r="C686" s="25"/>
      <c r="D686" s="25"/>
      <c r="E686" s="25"/>
    </row>
    <row r="687">
      <c r="A687" s="25"/>
      <c r="B687" s="25"/>
      <c r="C687" s="25"/>
      <c r="D687" s="25"/>
      <c r="E687" s="25"/>
    </row>
    <row r="688">
      <c r="A688" s="25"/>
      <c r="B688" s="25"/>
      <c r="C688" s="25"/>
      <c r="D688" s="25"/>
      <c r="E688" s="25"/>
    </row>
    <row r="689">
      <c r="A689" s="25"/>
      <c r="B689" s="25"/>
      <c r="C689" s="25"/>
      <c r="D689" s="25"/>
      <c r="E689" s="25"/>
    </row>
    <row r="690">
      <c r="A690" s="25"/>
      <c r="B690" s="25"/>
      <c r="C690" s="25"/>
      <c r="D690" s="25"/>
      <c r="E690" s="25"/>
    </row>
    <row r="691">
      <c r="A691" s="25"/>
      <c r="B691" s="25"/>
      <c r="C691" s="25"/>
      <c r="D691" s="25"/>
      <c r="E691" s="25"/>
    </row>
    <row r="692">
      <c r="A692" s="25"/>
      <c r="B692" s="25"/>
      <c r="C692" s="25"/>
      <c r="D692" s="25"/>
      <c r="E692" s="25"/>
    </row>
    <row r="693">
      <c r="A693" s="25"/>
      <c r="B693" s="25"/>
      <c r="C693" s="25"/>
      <c r="D693" s="25"/>
      <c r="E693" s="25"/>
    </row>
    <row r="694">
      <c r="A694" s="25"/>
      <c r="B694" s="25"/>
      <c r="C694" s="25"/>
      <c r="D694" s="25"/>
      <c r="E694" s="25"/>
    </row>
    <row r="695">
      <c r="A695" s="25"/>
      <c r="B695" s="25"/>
      <c r="C695" s="25"/>
      <c r="D695" s="25"/>
      <c r="E695" s="25"/>
    </row>
    <row r="696">
      <c r="A696" s="25"/>
      <c r="B696" s="25"/>
      <c r="C696" s="25"/>
      <c r="D696" s="25"/>
      <c r="E696" s="25"/>
    </row>
    <row r="697">
      <c r="A697" s="25"/>
      <c r="B697" s="25"/>
      <c r="C697" s="25"/>
      <c r="D697" s="25"/>
      <c r="E697" s="25"/>
    </row>
    <row r="698">
      <c r="A698" s="25"/>
      <c r="B698" s="25"/>
      <c r="C698" s="25"/>
      <c r="D698" s="25"/>
      <c r="E698" s="25"/>
    </row>
    <row r="699">
      <c r="A699" s="25"/>
      <c r="B699" s="25"/>
      <c r="C699" s="25"/>
      <c r="D699" s="25"/>
      <c r="E699" s="25"/>
    </row>
    <row r="700">
      <c r="A700" s="25"/>
      <c r="B700" s="25"/>
      <c r="C700" s="25"/>
      <c r="D700" s="25"/>
      <c r="E700" s="25"/>
    </row>
    <row r="701">
      <c r="A701" s="25"/>
      <c r="B701" s="25"/>
      <c r="C701" s="25"/>
      <c r="D701" s="25"/>
      <c r="E701" s="25"/>
    </row>
    <row r="702">
      <c r="A702" s="25"/>
      <c r="B702" s="25"/>
      <c r="C702" s="25"/>
      <c r="D702" s="25"/>
      <c r="E702" s="25"/>
    </row>
    <row r="703">
      <c r="A703" s="25"/>
      <c r="B703" s="25"/>
      <c r="C703" s="25"/>
      <c r="D703" s="25"/>
      <c r="E703" s="25"/>
    </row>
    <row r="704">
      <c r="A704" s="25"/>
      <c r="B704" s="25"/>
      <c r="C704" s="25"/>
      <c r="D704" s="25"/>
      <c r="E704" s="25"/>
    </row>
    <row r="705">
      <c r="A705" s="25"/>
      <c r="B705" s="25"/>
      <c r="C705" s="25"/>
      <c r="D705" s="25"/>
      <c r="E705" s="25"/>
    </row>
    <row r="706">
      <c r="A706" s="25"/>
      <c r="B706" s="25"/>
      <c r="C706" s="25"/>
      <c r="D706" s="25"/>
      <c r="E706" s="25"/>
    </row>
    <row r="707">
      <c r="A707" s="25"/>
      <c r="B707" s="25"/>
      <c r="C707" s="25"/>
      <c r="D707" s="25"/>
      <c r="E707" s="25"/>
    </row>
    <row r="708">
      <c r="A708" s="25"/>
      <c r="B708" s="25"/>
      <c r="C708" s="25"/>
      <c r="D708" s="25"/>
      <c r="E708" s="25"/>
    </row>
    <row r="709">
      <c r="A709" s="25"/>
      <c r="B709" s="25"/>
      <c r="C709" s="25"/>
      <c r="D709" s="25"/>
      <c r="E709" s="25"/>
    </row>
    <row r="710">
      <c r="A710" s="25"/>
      <c r="B710" s="25"/>
      <c r="C710" s="25"/>
      <c r="D710" s="25"/>
      <c r="E710" s="25"/>
    </row>
    <row r="711">
      <c r="A711" s="25"/>
      <c r="B711" s="25"/>
      <c r="C711" s="25"/>
      <c r="D711" s="25"/>
      <c r="E711" s="25"/>
    </row>
    <row r="712">
      <c r="A712" s="25"/>
      <c r="B712" s="25"/>
      <c r="C712" s="25"/>
      <c r="D712" s="25"/>
      <c r="E712" s="25"/>
    </row>
    <row r="713">
      <c r="A713" s="25"/>
      <c r="B713" s="25"/>
      <c r="C713" s="25"/>
      <c r="D713" s="25"/>
      <c r="E713" s="25"/>
    </row>
    <row r="714">
      <c r="A714" s="25"/>
      <c r="B714" s="25"/>
      <c r="C714" s="25"/>
      <c r="D714" s="25"/>
      <c r="E714" s="25"/>
    </row>
    <row r="715">
      <c r="A715" s="25"/>
      <c r="B715" s="25"/>
      <c r="C715" s="25"/>
      <c r="D715" s="25"/>
      <c r="E715" s="25"/>
    </row>
    <row r="716">
      <c r="A716" s="25"/>
      <c r="B716" s="25"/>
      <c r="C716" s="25"/>
      <c r="D716" s="25"/>
      <c r="E716" s="25"/>
    </row>
    <row r="717">
      <c r="A717" s="25"/>
      <c r="B717" s="25"/>
      <c r="C717" s="25"/>
      <c r="D717" s="25"/>
      <c r="E717" s="25"/>
    </row>
    <row r="718">
      <c r="A718" s="25"/>
      <c r="B718" s="25"/>
      <c r="C718" s="25"/>
      <c r="D718" s="25"/>
      <c r="E718" s="25"/>
    </row>
    <row r="719">
      <c r="A719" s="25"/>
      <c r="B719" s="25"/>
      <c r="C719" s="25"/>
      <c r="D719" s="25"/>
      <c r="E719" s="25"/>
    </row>
    <row r="720">
      <c r="A720" s="25"/>
      <c r="B720" s="25"/>
      <c r="C720" s="25"/>
      <c r="D720" s="25"/>
      <c r="E720" s="25"/>
    </row>
    <row r="721">
      <c r="A721" s="25"/>
      <c r="B721" s="25"/>
      <c r="C721" s="25"/>
      <c r="D721" s="25"/>
      <c r="E721" s="25"/>
    </row>
    <row r="722">
      <c r="A722" s="25"/>
      <c r="B722" s="25"/>
      <c r="C722" s="25"/>
      <c r="D722" s="25"/>
      <c r="E722" s="25"/>
    </row>
    <row r="723">
      <c r="A723" s="25"/>
      <c r="B723" s="25"/>
      <c r="C723" s="25"/>
      <c r="D723" s="25"/>
      <c r="E723" s="25"/>
    </row>
    <row r="724">
      <c r="A724" s="25"/>
      <c r="B724" s="25"/>
      <c r="C724" s="25"/>
      <c r="D724" s="25"/>
      <c r="E724" s="25"/>
    </row>
    <row r="725">
      <c r="A725" s="25"/>
      <c r="B725" s="25"/>
      <c r="C725" s="25"/>
      <c r="D725" s="25"/>
      <c r="E725" s="25"/>
    </row>
    <row r="726">
      <c r="A726" s="25"/>
      <c r="B726" s="25"/>
      <c r="C726" s="25"/>
      <c r="D726" s="25"/>
      <c r="E726" s="25"/>
    </row>
    <row r="727">
      <c r="A727" s="25"/>
      <c r="B727" s="25"/>
      <c r="C727" s="25"/>
      <c r="D727" s="25"/>
      <c r="E727" s="25"/>
    </row>
    <row r="728">
      <c r="A728" s="25"/>
      <c r="B728" s="25"/>
      <c r="C728" s="25"/>
      <c r="D728" s="25"/>
      <c r="E728" s="25"/>
    </row>
    <row r="729">
      <c r="A729" s="25"/>
      <c r="B729" s="25"/>
      <c r="C729" s="25"/>
      <c r="D729" s="25"/>
      <c r="E729" s="25"/>
    </row>
    <row r="730">
      <c r="A730" s="25"/>
      <c r="B730" s="25"/>
      <c r="C730" s="25"/>
      <c r="D730" s="25"/>
      <c r="E730" s="25"/>
    </row>
    <row r="731">
      <c r="A731" s="25"/>
      <c r="B731" s="25"/>
      <c r="C731" s="25"/>
      <c r="D731" s="25"/>
      <c r="E731" s="25"/>
    </row>
    <row r="732">
      <c r="A732" s="25"/>
      <c r="B732" s="25"/>
      <c r="C732" s="25"/>
      <c r="D732" s="25"/>
      <c r="E732" s="25"/>
    </row>
    <row r="733">
      <c r="A733" s="25"/>
      <c r="B733" s="25"/>
      <c r="C733" s="25"/>
      <c r="D733" s="25"/>
      <c r="E733" s="25"/>
    </row>
    <row r="734">
      <c r="A734" s="25"/>
      <c r="B734" s="25"/>
      <c r="C734" s="25"/>
      <c r="D734" s="25"/>
      <c r="E734" s="25"/>
    </row>
    <row r="735">
      <c r="A735" s="25"/>
      <c r="B735" s="25"/>
      <c r="C735" s="25"/>
      <c r="D735" s="25"/>
      <c r="E735" s="25"/>
    </row>
    <row r="736">
      <c r="A736" s="25"/>
      <c r="B736" s="25"/>
      <c r="C736" s="25"/>
      <c r="D736" s="25"/>
      <c r="E736" s="25"/>
    </row>
    <row r="737">
      <c r="A737" s="25"/>
      <c r="B737" s="25"/>
      <c r="C737" s="25"/>
      <c r="D737" s="25"/>
      <c r="E737" s="25"/>
    </row>
    <row r="738">
      <c r="A738" s="25"/>
      <c r="B738" s="25"/>
      <c r="C738" s="25"/>
      <c r="D738" s="25"/>
      <c r="E738" s="25"/>
    </row>
    <row r="739">
      <c r="A739" s="25"/>
      <c r="B739" s="25"/>
      <c r="C739" s="25"/>
      <c r="D739" s="25"/>
      <c r="E739" s="25"/>
    </row>
    <row r="740">
      <c r="A740" s="25"/>
      <c r="B740" s="25"/>
      <c r="C740" s="25"/>
      <c r="D740" s="25"/>
      <c r="E740" s="25"/>
    </row>
    <row r="741">
      <c r="A741" s="25"/>
      <c r="B741" s="25"/>
      <c r="C741" s="25"/>
      <c r="D741" s="25"/>
      <c r="E741" s="25"/>
    </row>
    <row r="742">
      <c r="A742" s="25"/>
      <c r="B742" s="25"/>
      <c r="C742" s="25"/>
      <c r="D742" s="25"/>
      <c r="E742" s="25"/>
    </row>
    <row r="743">
      <c r="A743" s="25"/>
      <c r="B743" s="25"/>
      <c r="C743" s="25"/>
      <c r="D743" s="25"/>
      <c r="E743" s="25"/>
    </row>
    <row r="744">
      <c r="A744" s="25"/>
      <c r="B744" s="25"/>
      <c r="C744" s="25"/>
      <c r="D744" s="25"/>
      <c r="E744" s="25"/>
    </row>
    <row r="745">
      <c r="A745" s="25"/>
      <c r="B745" s="25"/>
      <c r="C745" s="25"/>
      <c r="D745" s="25"/>
      <c r="E745" s="25"/>
    </row>
    <row r="746">
      <c r="A746" s="25"/>
      <c r="B746" s="25"/>
      <c r="C746" s="25"/>
      <c r="D746" s="25"/>
      <c r="E746" s="25"/>
    </row>
    <row r="747">
      <c r="A747" s="25"/>
      <c r="B747" s="25"/>
      <c r="C747" s="25"/>
      <c r="D747" s="25"/>
      <c r="E747" s="25"/>
    </row>
    <row r="748">
      <c r="A748" s="25"/>
      <c r="B748" s="25"/>
      <c r="C748" s="25"/>
      <c r="D748" s="25"/>
      <c r="E748" s="25"/>
    </row>
    <row r="749">
      <c r="A749" s="25"/>
      <c r="B749" s="25"/>
      <c r="C749" s="25"/>
      <c r="D749" s="25"/>
      <c r="E749" s="25"/>
    </row>
    <row r="750">
      <c r="A750" s="25"/>
      <c r="B750" s="25"/>
      <c r="C750" s="25"/>
      <c r="D750" s="25"/>
      <c r="E750" s="25"/>
    </row>
    <row r="751">
      <c r="A751" s="25"/>
      <c r="B751" s="25"/>
      <c r="C751" s="25"/>
      <c r="D751" s="25"/>
      <c r="E751" s="25"/>
    </row>
    <row r="752">
      <c r="A752" s="25"/>
      <c r="B752" s="25"/>
      <c r="C752" s="25"/>
      <c r="D752" s="25"/>
      <c r="E752" s="25"/>
    </row>
    <row r="753">
      <c r="A753" s="25"/>
      <c r="B753" s="25"/>
      <c r="C753" s="25"/>
      <c r="D753" s="25"/>
      <c r="E753" s="25"/>
    </row>
    <row r="754">
      <c r="A754" s="25"/>
      <c r="B754" s="25"/>
      <c r="C754" s="25"/>
      <c r="D754" s="25"/>
      <c r="E754" s="25"/>
    </row>
    <row r="755">
      <c r="A755" s="25"/>
      <c r="B755" s="25"/>
      <c r="C755" s="25"/>
      <c r="D755" s="25"/>
      <c r="E755" s="25"/>
    </row>
    <row r="756">
      <c r="A756" s="25"/>
      <c r="B756" s="25"/>
      <c r="C756" s="25"/>
      <c r="D756" s="25"/>
      <c r="E756" s="25"/>
    </row>
    <row r="757">
      <c r="A757" s="25"/>
      <c r="B757" s="25"/>
      <c r="C757" s="25"/>
      <c r="D757" s="25"/>
      <c r="E757" s="25"/>
    </row>
    <row r="758">
      <c r="A758" s="25"/>
      <c r="B758" s="25"/>
      <c r="C758" s="25"/>
      <c r="D758" s="25"/>
      <c r="E758" s="25"/>
    </row>
    <row r="759">
      <c r="A759" s="25"/>
      <c r="B759" s="25"/>
      <c r="C759" s="25"/>
      <c r="D759" s="25"/>
      <c r="E759" s="25"/>
    </row>
    <row r="760">
      <c r="A760" s="25"/>
      <c r="B760" s="25"/>
      <c r="C760" s="25"/>
      <c r="D760" s="25"/>
      <c r="E760" s="25"/>
    </row>
    <row r="761">
      <c r="A761" s="25"/>
      <c r="B761" s="25"/>
      <c r="C761" s="25"/>
      <c r="D761" s="25"/>
      <c r="E761" s="25"/>
    </row>
    <row r="762">
      <c r="A762" s="25"/>
      <c r="B762" s="25"/>
      <c r="C762" s="25"/>
      <c r="D762" s="25"/>
      <c r="E762" s="25"/>
    </row>
    <row r="763">
      <c r="A763" s="25"/>
      <c r="B763" s="25"/>
      <c r="C763" s="25"/>
      <c r="D763" s="25"/>
      <c r="E763" s="25"/>
    </row>
    <row r="764">
      <c r="A764" s="25"/>
      <c r="B764" s="25"/>
      <c r="C764" s="25"/>
      <c r="D764" s="25"/>
      <c r="E764" s="25"/>
    </row>
    <row r="765">
      <c r="A765" s="25"/>
      <c r="B765" s="25"/>
      <c r="C765" s="25"/>
      <c r="D765" s="25"/>
      <c r="E765" s="25"/>
    </row>
    <row r="766">
      <c r="A766" s="25"/>
      <c r="B766" s="25"/>
      <c r="C766" s="25"/>
      <c r="D766" s="25"/>
      <c r="E766" s="25"/>
    </row>
    <row r="767">
      <c r="A767" s="25"/>
      <c r="B767" s="25"/>
      <c r="C767" s="25"/>
      <c r="D767" s="25"/>
      <c r="E767" s="25"/>
    </row>
    <row r="768">
      <c r="A768" s="25"/>
      <c r="B768" s="25"/>
      <c r="C768" s="25"/>
      <c r="D768" s="25"/>
      <c r="E768" s="25"/>
    </row>
    <row r="769">
      <c r="A769" s="25"/>
      <c r="B769" s="25"/>
      <c r="C769" s="25"/>
      <c r="D769" s="25"/>
      <c r="E769" s="25"/>
    </row>
    <row r="770">
      <c r="A770" s="25"/>
      <c r="B770" s="25"/>
      <c r="C770" s="25"/>
      <c r="D770" s="25"/>
      <c r="E770" s="25"/>
    </row>
    <row r="771">
      <c r="A771" s="25"/>
      <c r="B771" s="25"/>
      <c r="C771" s="25"/>
      <c r="D771" s="25"/>
      <c r="E771" s="25"/>
    </row>
    <row r="772">
      <c r="A772" s="25"/>
      <c r="B772" s="25"/>
      <c r="C772" s="25"/>
      <c r="D772" s="25"/>
      <c r="E772" s="25"/>
    </row>
    <row r="773">
      <c r="A773" s="25"/>
      <c r="B773" s="25"/>
      <c r="C773" s="25"/>
      <c r="D773" s="25"/>
      <c r="E773" s="25"/>
    </row>
    <row r="774">
      <c r="A774" s="25"/>
      <c r="B774" s="25"/>
      <c r="C774" s="25"/>
      <c r="D774" s="25"/>
      <c r="E774" s="25"/>
    </row>
    <row r="775">
      <c r="A775" s="25"/>
      <c r="B775" s="25"/>
      <c r="C775" s="25"/>
      <c r="D775" s="25"/>
      <c r="E775" s="25"/>
    </row>
    <row r="776">
      <c r="A776" s="25"/>
      <c r="B776" s="25"/>
      <c r="C776" s="25"/>
      <c r="D776" s="25"/>
      <c r="E776" s="25"/>
    </row>
    <row r="777">
      <c r="A777" s="25"/>
      <c r="B777" s="25"/>
      <c r="C777" s="25"/>
      <c r="D777" s="25"/>
      <c r="E777" s="25"/>
    </row>
    <row r="778">
      <c r="A778" s="25"/>
      <c r="B778" s="25"/>
      <c r="C778" s="25"/>
      <c r="D778" s="25"/>
      <c r="E778" s="25"/>
    </row>
    <row r="779">
      <c r="A779" s="25"/>
      <c r="B779" s="25"/>
      <c r="C779" s="25"/>
      <c r="D779" s="25"/>
      <c r="E779" s="25"/>
    </row>
    <row r="780">
      <c r="A780" s="25"/>
      <c r="B780" s="25"/>
      <c r="C780" s="25"/>
      <c r="D780" s="25"/>
      <c r="E780" s="25"/>
    </row>
    <row r="781">
      <c r="A781" s="25"/>
      <c r="B781" s="25"/>
      <c r="C781" s="25"/>
      <c r="D781" s="25"/>
      <c r="E781" s="25"/>
    </row>
    <row r="782">
      <c r="A782" s="25"/>
      <c r="B782" s="25"/>
      <c r="C782" s="25"/>
      <c r="D782" s="25"/>
      <c r="E782" s="25"/>
    </row>
    <row r="783">
      <c r="A783" s="25"/>
      <c r="B783" s="25"/>
      <c r="C783" s="25"/>
      <c r="D783" s="25"/>
      <c r="E783" s="25"/>
    </row>
    <row r="784">
      <c r="A784" s="25"/>
      <c r="B784" s="25"/>
      <c r="C784" s="25"/>
      <c r="D784" s="25"/>
      <c r="E784" s="25"/>
    </row>
    <row r="785">
      <c r="A785" s="25"/>
      <c r="B785" s="25"/>
      <c r="C785" s="25"/>
      <c r="D785" s="25"/>
      <c r="E785" s="25"/>
    </row>
    <row r="786">
      <c r="A786" s="25"/>
      <c r="B786" s="25"/>
      <c r="C786" s="25"/>
      <c r="D786" s="25"/>
      <c r="E786" s="25"/>
    </row>
    <row r="787">
      <c r="A787" s="25"/>
      <c r="B787" s="25"/>
      <c r="C787" s="25"/>
      <c r="D787" s="25"/>
      <c r="E787" s="25"/>
    </row>
    <row r="788">
      <c r="A788" s="25"/>
      <c r="B788" s="25"/>
      <c r="C788" s="25"/>
      <c r="D788" s="25"/>
      <c r="E788" s="25"/>
    </row>
    <row r="789">
      <c r="A789" s="25"/>
      <c r="B789" s="25"/>
      <c r="C789" s="25"/>
      <c r="D789" s="25"/>
      <c r="E789" s="25"/>
    </row>
    <row r="790">
      <c r="A790" s="25"/>
      <c r="B790" s="25"/>
      <c r="C790" s="25"/>
      <c r="D790" s="25"/>
      <c r="E790" s="25"/>
    </row>
    <row r="791">
      <c r="A791" s="25"/>
      <c r="B791" s="25"/>
      <c r="C791" s="25"/>
      <c r="D791" s="25"/>
      <c r="E791" s="25"/>
    </row>
    <row r="792">
      <c r="A792" s="25"/>
      <c r="B792" s="25"/>
      <c r="C792" s="25"/>
      <c r="D792" s="25"/>
      <c r="E792" s="25"/>
    </row>
    <row r="793">
      <c r="A793" s="25"/>
      <c r="B793" s="25"/>
      <c r="C793" s="25"/>
      <c r="D793" s="25"/>
      <c r="E793" s="25"/>
    </row>
    <row r="794">
      <c r="A794" s="25"/>
      <c r="B794" s="25"/>
      <c r="C794" s="25"/>
      <c r="D794" s="25"/>
      <c r="E794" s="25"/>
    </row>
    <row r="795">
      <c r="A795" s="25"/>
      <c r="B795" s="25"/>
      <c r="C795" s="25"/>
      <c r="D795" s="25"/>
      <c r="E795" s="25"/>
    </row>
    <row r="796">
      <c r="A796" s="25"/>
      <c r="B796" s="25"/>
      <c r="C796" s="25"/>
      <c r="D796" s="25"/>
      <c r="E796" s="25"/>
    </row>
    <row r="797">
      <c r="A797" s="25"/>
      <c r="B797" s="25"/>
      <c r="C797" s="25"/>
      <c r="D797" s="25"/>
      <c r="E797" s="25"/>
    </row>
    <row r="798">
      <c r="A798" s="25"/>
      <c r="B798" s="25"/>
      <c r="C798" s="25"/>
      <c r="D798" s="25"/>
      <c r="E798" s="25"/>
    </row>
    <row r="799">
      <c r="A799" s="25"/>
      <c r="B799" s="25"/>
      <c r="C799" s="25"/>
      <c r="D799" s="25"/>
      <c r="E799" s="25"/>
    </row>
    <row r="800">
      <c r="A800" s="25"/>
      <c r="B800" s="25"/>
      <c r="C800" s="25"/>
      <c r="D800" s="25"/>
      <c r="E800" s="25"/>
    </row>
    <row r="801">
      <c r="A801" s="25"/>
      <c r="B801" s="25"/>
      <c r="C801" s="25"/>
      <c r="D801" s="25"/>
      <c r="E801" s="25"/>
    </row>
    <row r="802">
      <c r="A802" s="25"/>
      <c r="B802" s="25"/>
      <c r="C802" s="25"/>
      <c r="D802" s="25"/>
      <c r="E802" s="25"/>
    </row>
    <row r="803">
      <c r="A803" s="25"/>
      <c r="B803" s="25"/>
      <c r="C803" s="25"/>
      <c r="D803" s="25"/>
      <c r="E803" s="25"/>
    </row>
    <row r="804">
      <c r="A804" s="25"/>
      <c r="B804" s="25"/>
      <c r="C804" s="25"/>
      <c r="D804" s="25"/>
      <c r="E804" s="25"/>
    </row>
    <row r="805">
      <c r="A805" s="25"/>
      <c r="B805" s="25"/>
      <c r="C805" s="25"/>
      <c r="D805" s="25"/>
      <c r="E805" s="25"/>
    </row>
    <row r="806">
      <c r="A806" s="25"/>
      <c r="B806" s="25"/>
      <c r="C806" s="25"/>
      <c r="D806" s="25"/>
      <c r="E806" s="25"/>
    </row>
    <row r="807">
      <c r="A807" s="25"/>
      <c r="B807" s="25"/>
      <c r="C807" s="25"/>
      <c r="D807" s="25"/>
      <c r="E807" s="25"/>
    </row>
    <row r="808">
      <c r="A808" s="25"/>
      <c r="B808" s="25"/>
      <c r="C808" s="25"/>
      <c r="D808" s="25"/>
      <c r="E808" s="25"/>
    </row>
    <row r="809">
      <c r="A809" s="25"/>
      <c r="B809" s="25"/>
      <c r="C809" s="25"/>
      <c r="D809" s="25"/>
      <c r="E809" s="25"/>
    </row>
    <row r="810">
      <c r="A810" s="25"/>
      <c r="B810" s="25"/>
      <c r="C810" s="25"/>
      <c r="D810" s="25"/>
      <c r="E810" s="25"/>
    </row>
    <row r="811">
      <c r="A811" s="25"/>
      <c r="B811" s="25"/>
      <c r="C811" s="25"/>
      <c r="D811" s="25"/>
      <c r="E811" s="25"/>
    </row>
    <row r="812">
      <c r="A812" s="25"/>
      <c r="B812" s="25"/>
      <c r="C812" s="25"/>
      <c r="D812" s="25"/>
      <c r="E812" s="25"/>
    </row>
    <row r="813">
      <c r="A813" s="25"/>
      <c r="B813" s="25"/>
      <c r="C813" s="25"/>
      <c r="D813" s="25"/>
      <c r="E813" s="25"/>
    </row>
    <row r="814">
      <c r="A814" s="25"/>
      <c r="B814" s="25"/>
      <c r="C814" s="25"/>
      <c r="D814" s="25"/>
      <c r="E814" s="25"/>
    </row>
    <row r="815">
      <c r="A815" s="25"/>
      <c r="B815" s="25"/>
      <c r="C815" s="25"/>
      <c r="D815" s="25"/>
      <c r="E815" s="25"/>
    </row>
    <row r="816">
      <c r="A816" s="25"/>
      <c r="B816" s="25"/>
      <c r="C816" s="25"/>
      <c r="D816" s="25"/>
      <c r="E816" s="25"/>
    </row>
    <row r="817">
      <c r="A817" s="25"/>
      <c r="B817" s="25"/>
      <c r="C817" s="25"/>
      <c r="D817" s="25"/>
      <c r="E817" s="25"/>
    </row>
    <row r="818">
      <c r="A818" s="25"/>
      <c r="B818" s="25"/>
      <c r="C818" s="25"/>
      <c r="D818" s="25"/>
      <c r="E818" s="25"/>
    </row>
    <row r="819">
      <c r="A819" s="25"/>
      <c r="B819" s="25"/>
      <c r="C819" s="25"/>
      <c r="D819" s="25"/>
      <c r="E819" s="25"/>
    </row>
    <row r="820">
      <c r="A820" s="25"/>
      <c r="B820" s="25"/>
      <c r="C820" s="25"/>
      <c r="D820" s="25"/>
      <c r="E820" s="25"/>
    </row>
    <row r="821">
      <c r="A821" s="25"/>
      <c r="B821" s="25"/>
      <c r="C821" s="25"/>
      <c r="D821" s="25"/>
      <c r="E821" s="25"/>
    </row>
    <row r="822">
      <c r="A822" s="25"/>
      <c r="B822" s="25"/>
      <c r="C822" s="25"/>
      <c r="D822" s="25"/>
      <c r="E822" s="25"/>
    </row>
    <row r="823">
      <c r="A823" s="25"/>
      <c r="B823" s="25"/>
      <c r="C823" s="25"/>
      <c r="D823" s="25"/>
      <c r="E823" s="25"/>
    </row>
    <row r="824">
      <c r="A824" s="25"/>
      <c r="B824" s="25"/>
      <c r="C824" s="25"/>
      <c r="D824" s="25"/>
      <c r="E824" s="25"/>
    </row>
    <row r="825">
      <c r="A825" s="25"/>
      <c r="B825" s="25"/>
      <c r="C825" s="25"/>
      <c r="D825" s="25"/>
      <c r="E825" s="25"/>
    </row>
    <row r="826">
      <c r="A826" s="25"/>
      <c r="B826" s="25"/>
      <c r="C826" s="25"/>
      <c r="D826" s="25"/>
      <c r="E826" s="25"/>
    </row>
    <row r="827">
      <c r="A827" s="25"/>
      <c r="B827" s="25"/>
      <c r="C827" s="25"/>
      <c r="D827" s="25"/>
      <c r="E827" s="25"/>
    </row>
    <row r="828">
      <c r="A828" s="25"/>
      <c r="B828" s="25"/>
      <c r="C828" s="25"/>
      <c r="D828" s="25"/>
      <c r="E828" s="25"/>
    </row>
    <row r="829">
      <c r="A829" s="25"/>
      <c r="B829" s="25"/>
      <c r="C829" s="25"/>
      <c r="D829" s="25"/>
      <c r="E829" s="25"/>
    </row>
    <row r="830">
      <c r="A830" s="25"/>
      <c r="B830" s="25"/>
      <c r="C830" s="25"/>
      <c r="D830" s="25"/>
      <c r="E830" s="25"/>
    </row>
    <row r="831">
      <c r="A831" s="25"/>
      <c r="B831" s="25"/>
      <c r="C831" s="25"/>
      <c r="D831" s="25"/>
      <c r="E831" s="25"/>
    </row>
    <row r="832">
      <c r="A832" s="25"/>
      <c r="B832" s="25"/>
      <c r="C832" s="25"/>
      <c r="D832" s="25"/>
      <c r="E832" s="25"/>
    </row>
    <row r="833">
      <c r="A833" s="25"/>
      <c r="B833" s="25"/>
      <c r="C833" s="25"/>
      <c r="D833" s="25"/>
      <c r="E833" s="25"/>
    </row>
    <row r="834">
      <c r="A834" s="25"/>
      <c r="B834" s="25"/>
      <c r="C834" s="25"/>
      <c r="D834" s="25"/>
      <c r="E834" s="25"/>
    </row>
    <row r="835">
      <c r="A835" s="25"/>
      <c r="B835" s="25"/>
      <c r="C835" s="25"/>
      <c r="D835" s="25"/>
      <c r="E835" s="25"/>
    </row>
    <row r="836">
      <c r="A836" s="25"/>
      <c r="B836" s="25"/>
      <c r="C836" s="25"/>
      <c r="D836" s="25"/>
      <c r="E836" s="25"/>
    </row>
    <row r="837">
      <c r="A837" s="25"/>
      <c r="B837" s="25"/>
      <c r="C837" s="25"/>
      <c r="D837" s="25"/>
      <c r="E837" s="25"/>
    </row>
    <row r="838">
      <c r="A838" s="25"/>
      <c r="B838" s="25"/>
      <c r="C838" s="25"/>
      <c r="D838" s="25"/>
      <c r="E838" s="25"/>
    </row>
    <row r="839">
      <c r="A839" s="25"/>
      <c r="B839" s="25"/>
      <c r="C839" s="25"/>
      <c r="D839" s="25"/>
      <c r="E839" s="25"/>
    </row>
    <row r="840">
      <c r="A840" s="25"/>
      <c r="B840" s="25"/>
      <c r="C840" s="25"/>
      <c r="D840" s="25"/>
      <c r="E840" s="25"/>
    </row>
    <row r="841">
      <c r="A841" s="25"/>
      <c r="B841" s="25"/>
      <c r="C841" s="25"/>
      <c r="D841" s="25"/>
      <c r="E841" s="25"/>
    </row>
    <row r="842">
      <c r="A842" s="25"/>
      <c r="B842" s="25"/>
      <c r="C842" s="25"/>
      <c r="D842" s="25"/>
      <c r="E842" s="25"/>
    </row>
    <row r="843">
      <c r="A843" s="25"/>
      <c r="B843" s="25"/>
      <c r="C843" s="25"/>
      <c r="D843" s="25"/>
      <c r="E843" s="25"/>
    </row>
    <row r="844">
      <c r="A844" s="25"/>
      <c r="B844" s="25"/>
      <c r="C844" s="25"/>
      <c r="D844" s="25"/>
      <c r="E844" s="25"/>
    </row>
    <row r="845">
      <c r="A845" s="25"/>
      <c r="B845" s="25"/>
      <c r="C845" s="25"/>
      <c r="D845" s="25"/>
      <c r="E845" s="25"/>
    </row>
    <row r="846">
      <c r="A846" s="25"/>
      <c r="B846" s="25"/>
      <c r="C846" s="25"/>
      <c r="D846" s="25"/>
      <c r="E846" s="25"/>
    </row>
    <row r="847">
      <c r="A847" s="25"/>
      <c r="B847" s="25"/>
      <c r="C847" s="25"/>
      <c r="D847" s="25"/>
      <c r="E847" s="25"/>
    </row>
    <row r="848">
      <c r="A848" s="25"/>
      <c r="B848" s="25"/>
      <c r="C848" s="25"/>
      <c r="D848" s="25"/>
      <c r="E848" s="25"/>
    </row>
    <row r="849">
      <c r="A849" s="25"/>
      <c r="B849" s="25"/>
      <c r="C849" s="25"/>
      <c r="D849" s="25"/>
      <c r="E849" s="25"/>
    </row>
    <row r="850">
      <c r="A850" s="25"/>
      <c r="B850" s="25"/>
      <c r="C850" s="25"/>
      <c r="D850" s="25"/>
      <c r="E850" s="25"/>
    </row>
    <row r="851">
      <c r="A851" s="25"/>
      <c r="B851" s="25"/>
      <c r="C851" s="25"/>
      <c r="D851" s="25"/>
      <c r="E851" s="25"/>
    </row>
    <row r="852">
      <c r="A852" s="25"/>
      <c r="B852" s="25"/>
      <c r="C852" s="25"/>
      <c r="D852" s="25"/>
      <c r="E852" s="25"/>
    </row>
    <row r="853">
      <c r="A853" s="25"/>
      <c r="B853" s="25"/>
      <c r="C853" s="25"/>
      <c r="D853" s="25"/>
      <c r="E853" s="25"/>
    </row>
    <row r="854">
      <c r="A854" s="25"/>
      <c r="B854" s="25"/>
      <c r="C854" s="25"/>
      <c r="D854" s="25"/>
      <c r="E854" s="25"/>
    </row>
    <row r="855">
      <c r="A855" s="25"/>
      <c r="B855" s="25"/>
      <c r="C855" s="25"/>
      <c r="D855" s="25"/>
      <c r="E855" s="25"/>
    </row>
    <row r="856">
      <c r="A856" s="25"/>
      <c r="B856" s="25"/>
      <c r="C856" s="25"/>
      <c r="D856" s="25"/>
      <c r="E856" s="25"/>
    </row>
    <row r="857">
      <c r="A857" s="25"/>
      <c r="B857" s="25"/>
      <c r="C857" s="25"/>
      <c r="D857" s="25"/>
      <c r="E857" s="25"/>
    </row>
    <row r="858">
      <c r="A858" s="25"/>
      <c r="B858" s="25"/>
      <c r="C858" s="25"/>
      <c r="D858" s="25"/>
      <c r="E858" s="25"/>
    </row>
    <row r="859">
      <c r="A859" s="25"/>
      <c r="B859" s="25"/>
      <c r="C859" s="25"/>
      <c r="D859" s="25"/>
      <c r="E859" s="25"/>
    </row>
    <row r="860">
      <c r="A860" s="25"/>
      <c r="B860" s="25"/>
      <c r="C860" s="25"/>
      <c r="D860" s="25"/>
      <c r="E860" s="25"/>
    </row>
    <row r="861">
      <c r="A861" s="25"/>
      <c r="B861" s="25"/>
      <c r="C861" s="25"/>
      <c r="D861" s="25"/>
      <c r="E861" s="25"/>
    </row>
    <row r="862">
      <c r="A862" s="25"/>
      <c r="B862" s="25"/>
      <c r="C862" s="25"/>
      <c r="D862" s="25"/>
      <c r="E862" s="25"/>
    </row>
    <row r="863">
      <c r="A863" s="25"/>
      <c r="B863" s="25"/>
      <c r="C863" s="25"/>
      <c r="D863" s="25"/>
      <c r="E863" s="25"/>
    </row>
    <row r="864">
      <c r="A864" s="25"/>
      <c r="B864" s="25"/>
      <c r="C864" s="25"/>
      <c r="D864" s="25"/>
      <c r="E864" s="25"/>
    </row>
    <row r="865">
      <c r="A865" s="25"/>
      <c r="B865" s="25"/>
      <c r="C865" s="25"/>
      <c r="D865" s="25"/>
      <c r="E865" s="25"/>
    </row>
    <row r="866">
      <c r="A866" s="25"/>
      <c r="B866" s="25"/>
      <c r="C866" s="25"/>
      <c r="D866" s="25"/>
      <c r="E866" s="25"/>
    </row>
    <row r="867">
      <c r="A867" s="25"/>
      <c r="B867" s="25"/>
      <c r="C867" s="25"/>
      <c r="D867" s="25"/>
      <c r="E867" s="25"/>
    </row>
    <row r="868">
      <c r="A868" s="25"/>
      <c r="B868" s="25"/>
      <c r="C868" s="25"/>
      <c r="D868" s="25"/>
      <c r="E868" s="25"/>
    </row>
    <row r="869">
      <c r="A869" s="25"/>
      <c r="B869" s="25"/>
      <c r="C869" s="25"/>
      <c r="D869" s="25"/>
      <c r="E869" s="25"/>
    </row>
    <row r="870">
      <c r="A870" s="25"/>
      <c r="B870" s="25"/>
      <c r="C870" s="25"/>
      <c r="D870" s="25"/>
      <c r="E870" s="25"/>
    </row>
    <row r="871">
      <c r="A871" s="25"/>
      <c r="B871" s="25"/>
      <c r="C871" s="25"/>
      <c r="D871" s="25"/>
      <c r="E871" s="25"/>
    </row>
    <row r="872">
      <c r="A872" s="25"/>
      <c r="B872" s="25"/>
      <c r="C872" s="25"/>
      <c r="D872" s="25"/>
      <c r="E872" s="25"/>
    </row>
    <row r="873">
      <c r="A873" s="25"/>
      <c r="B873" s="25"/>
      <c r="C873" s="25"/>
      <c r="D873" s="25"/>
      <c r="E873" s="25"/>
    </row>
    <row r="874">
      <c r="A874" s="25"/>
      <c r="B874" s="25"/>
      <c r="C874" s="25"/>
      <c r="D874" s="25"/>
      <c r="E874" s="25"/>
    </row>
    <row r="875">
      <c r="A875" s="25"/>
      <c r="B875" s="25"/>
      <c r="C875" s="25"/>
      <c r="D875" s="25"/>
      <c r="E875" s="25"/>
    </row>
    <row r="876">
      <c r="A876" s="25"/>
      <c r="B876" s="25"/>
      <c r="C876" s="25"/>
      <c r="D876" s="25"/>
      <c r="E876" s="25"/>
    </row>
    <row r="877">
      <c r="A877" s="25"/>
      <c r="B877" s="25"/>
      <c r="C877" s="25"/>
      <c r="D877" s="25"/>
      <c r="E877" s="25"/>
    </row>
    <row r="878">
      <c r="A878" s="25"/>
      <c r="B878" s="25"/>
      <c r="C878" s="25"/>
      <c r="D878" s="25"/>
      <c r="E878" s="25"/>
    </row>
    <row r="879">
      <c r="A879" s="25"/>
      <c r="B879" s="25"/>
      <c r="C879" s="25"/>
      <c r="D879" s="25"/>
      <c r="E879" s="25"/>
    </row>
    <row r="880">
      <c r="A880" s="25"/>
      <c r="B880" s="25"/>
      <c r="C880" s="25"/>
      <c r="D880" s="25"/>
      <c r="E880" s="25"/>
    </row>
    <row r="881">
      <c r="A881" s="25"/>
      <c r="B881" s="25"/>
      <c r="C881" s="25"/>
      <c r="D881" s="25"/>
      <c r="E881" s="25"/>
    </row>
    <row r="882">
      <c r="A882" s="25"/>
      <c r="B882" s="25"/>
      <c r="C882" s="25"/>
      <c r="D882" s="25"/>
      <c r="E882" s="25"/>
    </row>
    <row r="883">
      <c r="A883" s="25"/>
      <c r="B883" s="25"/>
      <c r="C883" s="25"/>
      <c r="D883" s="25"/>
      <c r="E883" s="25"/>
    </row>
    <row r="884">
      <c r="A884" s="25"/>
      <c r="B884" s="25"/>
      <c r="C884" s="25"/>
      <c r="D884" s="25"/>
      <c r="E884" s="25"/>
    </row>
    <row r="885">
      <c r="A885" s="25"/>
      <c r="B885" s="25"/>
      <c r="C885" s="25"/>
      <c r="D885" s="25"/>
      <c r="E885" s="25"/>
    </row>
    <row r="886">
      <c r="A886" s="25"/>
      <c r="B886" s="25"/>
      <c r="C886" s="25"/>
      <c r="D886" s="25"/>
      <c r="E886" s="25"/>
    </row>
    <row r="887">
      <c r="A887" s="25"/>
      <c r="B887" s="25"/>
      <c r="C887" s="25"/>
      <c r="D887" s="25"/>
      <c r="E887" s="25"/>
    </row>
    <row r="888">
      <c r="A888" s="25"/>
      <c r="B888" s="25"/>
      <c r="C888" s="25"/>
      <c r="D888" s="25"/>
      <c r="E888" s="25"/>
    </row>
    <row r="889">
      <c r="A889" s="25"/>
      <c r="B889" s="25"/>
      <c r="C889" s="25"/>
      <c r="D889" s="25"/>
      <c r="E889" s="25"/>
    </row>
    <row r="890">
      <c r="A890" s="25"/>
      <c r="B890" s="25"/>
      <c r="C890" s="25"/>
      <c r="D890" s="25"/>
      <c r="E890" s="25"/>
    </row>
    <row r="891">
      <c r="A891" s="25"/>
      <c r="B891" s="25"/>
      <c r="C891" s="25"/>
      <c r="D891" s="25"/>
      <c r="E891" s="25"/>
    </row>
    <row r="892">
      <c r="A892" s="25"/>
      <c r="B892" s="25"/>
      <c r="C892" s="25"/>
      <c r="D892" s="25"/>
      <c r="E892" s="25"/>
    </row>
    <row r="893">
      <c r="A893" s="25"/>
      <c r="B893" s="25"/>
      <c r="C893" s="25"/>
      <c r="D893" s="25"/>
      <c r="E893" s="25"/>
    </row>
    <row r="894">
      <c r="A894" s="25"/>
      <c r="B894" s="25"/>
      <c r="C894" s="25"/>
      <c r="D894" s="25"/>
      <c r="E894" s="25"/>
    </row>
    <row r="895">
      <c r="A895" s="25"/>
      <c r="B895" s="25"/>
      <c r="C895" s="25"/>
      <c r="D895" s="25"/>
      <c r="E895" s="25"/>
    </row>
    <row r="896">
      <c r="A896" s="25"/>
      <c r="B896" s="25"/>
      <c r="C896" s="25"/>
      <c r="D896" s="25"/>
      <c r="E896" s="25"/>
    </row>
    <row r="897">
      <c r="A897" s="25"/>
      <c r="B897" s="25"/>
      <c r="C897" s="25"/>
      <c r="D897" s="25"/>
      <c r="E897" s="25"/>
    </row>
    <row r="898">
      <c r="A898" s="25"/>
      <c r="B898" s="25"/>
      <c r="C898" s="25"/>
      <c r="D898" s="25"/>
      <c r="E898" s="25"/>
    </row>
    <row r="899">
      <c r="A899" s="25"/>
      <c r="B899" s="25"/>
      <c r="C899" s="25"/>
      <c r="D899" s="25"/>
      <c r="E899" s="25"/>
    </row>
    <row r="900">
      <c r="A900" s="25"/>
      <c r="B900" s="25"/>
      <c r="C900" s="25"/>
      <c r="D900" s="25"/>
      <c r="E900" s="25"/>
    </row>
    <row r="901">
      <c r="A901" s="25"/>
      <c r="B901" s="25"/>
      <c r="C901" s="25"/>
      <c r="D901" s="25"/>
      <c r="E901" s="25"/>
    </row>
    <row r="902">
      <c r="A902" s="25"/>
      <c r="B902" s="25"/>
      <c r="C902" s="25"/>
      <c r="D902" s="25"/>
      <c r="E902" s="25"/>
    </row>
    <row r="903">
      <c r="A903" s="25"/>
      <c r="B903" s="25"/>
      <c r="C903" s="25"/>
      <c r="D903" s="25"/>
      <c r="E903" s="25"/>
    </row>
    <row r="904">
      <c r="A904" s="25"/>
      <c r="B904" s="25"/>
      <c r="C904" s="25"/>
      <c r="D904" s="25"/>
      <c r="E904" s="25"/>
    </row>
    <row r="905">
      <c r="A905" s="25"/>
      <c r="B905" s="25"/>
      <c r="C905" s="25"/>
      <c r="D905" s="25"/>
      <c r="E905" s="25"/>
    </row>
    <row r="906">
      <c r="A906" s="25"/>
      <c r="B906" s="25"/>
      <c r="C906" s="25"/>
      <c r="D906" s="25"/>
      <c r="E906" s="25"/>
    </row>
    <row r="907">
      <c r="A907" s="25"/>
      <c r="B907" s="25"/>
      <c r="C907" s="25"/>
      <c r="D907" s="25"/>
      <c r="E907" s="25"/>
    </row>
    <row r="908">
      <c r="A908" s="25"/>
      <c r="B908" s="25"/>
      <c r="C908" s="25"/>
      <c r="D908" s="25"/>
      <c r="E908" s="25"/>
    </row>
    <row r="909">
      <c r="A909" s="25"/>
      <c r="B909" s="25"/>
      <c r="C909" s="25"/>
      <c r="D909" s="25"/>
      <c r="E909" s="25"/>
    </row>
    <row r="910">
      <c r="A910" s="25"/>
      <c r="B910" s="25"/>
      <c r="C910" s="25"/>
      <c r="D910" s="25"/>
      <c r="E910" s="25"/>
    </row>
    <row r="911">
      <c r="A911" s="25"/>
      <c r="B911" s="25"/>
      <c r="C911" s="25"/>
      <c r="D911" s="25"/>
      <c r="E911" s="25"/>
    </row>
    <row r="912">
      <c r="A912" s="25"/>
      <c r="B912" s="25"/>
      <c r="C912" s="25"/>
      <c r="D912" s="25"/>
      <c r="E912" s="25"/>
    </row>
    <row r="913">
      <c r="A913" s="25"/>
      <c r="B913" s="25"/>
      <c r="C913" s="25"/>
      <c r="D913" s="25"/>
      <c r="E913" s="25"/>
    </row>
    <row r="914">
      <c r="A914" s="25"/>
      <c r="B914" s="25"/>
      <c r="C914" s="25"/>
      <c r="D914" s="25"/>
      <c r="E914" s="25"/>
    </row>
    <row r="915">
      <c r="A915" s="25"/>
      <c r="B915" s="25"/>
      <c r="C915" s="25"/>
      <c r="D915" s="25"/>
      <c r="E915" s="25"/>
    </row>
    <row r="916">
      <c r="A916" s="25"/>
      <c r="B916" s="25"/>
      <c r="C916" s="25"/>
      <c r="D916" s="25"/>
      <c r="E916" s="25"/>
    </row>
    <row r="917">
      <c r="A917" s="25"/>
      <c r="B917" s="25"/>
      <c r="C917" s="25"/>
      <c r="D917" s="25"/>
      <c r="E917" s="25"/>
    </row>
    <row r="918">
      <c r="A918" s="25"/>
      <c r="B918" s="25"/>
      <c r="C918" s="25"/>
      <c r="D918" s="25"/>
      <c r="E918" s="25"/>
    </row>
    <row r="919">
      <c r="A919" s="25"/>
      <c r="B919" s="25"/>
      <c r="C919" s="25"/>
      <c r="D919" s="25"/>
      <c r="E919" s="25"/>
    </row>
    <row r="920">
      <c r="A920" s="25"/>
      <c r="B920" s="25"/>
      <c r="C920" s="25"/>
      <c r="D920" s="25"/>
      <c r="E920" s="25"/>
    </row>
    <row r="921">
      <c r="A921" s="25"/>
      <c r="B921" s="25"/>
      <c r="C921" s="25"/>
      <c r="D921" s="25"/>
      <c r="E921" s="25"/>
    </row>
    <row r="922">
      <c r="A922" s="25"/>
      <c r="B922" s="25"/>
      <c r="C922" s="25"/>
      <c r="D922" s="25"/>
      <c r="E922" s="25"/>
    </row>
    <row r="923">
      <c r="A923" s="25"/>
      <c r="B923" s="25"/>
      <c r="C923" s="25"/>
      <c r="D923" s="25"/>
      <c r="E923" s="25"/>
    </row>
    <row r="924">
      <c r="A924" s="25"/>
      <c r="B924" s="25"/>
      <c r="C924" s="25"/>
      <c r="D924" s="25"/>
      <c r="E924" s="25"/>
    </row>
    <row r="925">
      <c r="A925" s="25"/>
      <c r="B925" s="25"/>
      <c r="C925" s="25"/>
      <c r="D925" s="25"/>
      <c r="E925" s="25"/>
    </row>
    <row r="926">
      <c r="A926" s="25"/>
      <c r="B926" s="25"/>
      <c r="C926" s="25"/>
      <c r="D926" s="25"/>
      <c r="E926" s="25"/>
    </row>
    <row r="927">
      <c r="A927" s="25"/>
      <c r="B927" s="25"/>
      <c r="C927" s="25"/>
      <c r="D927" s="25"/>
      <c r="E927" s="25"/>
    </row>
    <row r="928">
      <c r="A928" s="25"/>
      <c r="B928" s="25"/>
      <c r="C928" s="25"/>
      <c r="D928" s="25"/>
      <c r="E928" s="25"/>
    </row>
    <row r="929">
      <c r="A929" s="25"/>
      <c r="B929" s="25"/>
      <c r="C929" s="25"/>
      <c r="D929" s="25"/>
      <c r="E929" s="25"/>
    </row>
    <row r="930">
      <c r="A930" s="25"/>
      <c r="B930" s="25"/>
      <c r="C930" s="25"/>
      <c r="D930" s="25"/>
      <c r="E930" s="25"/>
    </row>
    <row r="931">
      <c r="A931" s="25"/>
      <c r="B931" s="25"/>
      <c r="C931" s="25"/>
      <c r="D931" s="25"/>
      <c r="E931" s="25"/>
    </row>
    <row r="932">
      <c r="A932" s="25"/>
      <c r="B932" s="25"/>
      <c r="C932" s="25"/>
      <c r="D932" s="25"/>
      <c r="E932" s="25"/>
    </row>
    <row r="933">
      <c r="A933" s="25"/>
      <c r="B933" s="25"/>
      <c r="C933" s="25"/>
      <c r="D933" s="25"/>
      <c r="E933" s="25"/>
    </row>
    <row r="934">
      <c r="A934" s="25"/>
      <c r="B934" s="25"/>
      <c r="C934" s="25"/>
      <c r="D934" s="25"/>
      <c r="E934" s="25"/>
    </row>
    <row r="935">
      <c r="A935" s="25"/>
      <c r="B935" s="25"/>
      <c r="C935" s="25"/>
      <c r="D935" s="25"/>
      <c r="E935" s="25"/>
    </row>
    <row r="936">
      <c r="A936" s="25"/>
      <c r="B936" s="25"/>
      <c r="C936" s="25"/>
      <c r="D936" s="25"/>
      <c r="E936" s="25"/>
    </row>
    <row r="937">
      <c r="A937" s="25"/>
      <c r="B937" s="25"/>
      <c r="C937" s="25"/>
      <c r="D937" s="25"/>
      <c r="E937" s="25"/>
    </row>
    <row r="938">
      <c r="A938" s="25"/>
      <c r="B938" s="25"/>
      <c r="C938" s="25"/>
      <c r="D938" s="25"/>
      <c r="E938" s="25"/>
    </row>
    <row r="939">
      <c r="A939" s="25"/>
      <c r="B939" s="25"/>
      <c r="C939" s="25"/>
      <c r="D939" s="25"/>
      <c r="E939" s="25"/>
    </row>
    <row r="940">
      <c r="A940" s="25"/>
      <c r="B940" s="25"/>
      <c r="C940" s="25"/>
      <c r="D940" s="25"/>
      <c r="E940" s="25"/>
    </row>
    <row r="941">
      <c r="A941" s="25"/>
      <c r="B941" s="25"/>
      <c r="C941" s="25"/>
      <c r="D941" s="25"/>
      <c r="E941" s="25"/>
    </row>
    <row r="942">
      <c r="A942" s="25"/>
      <c r="B942" s="25"/>
      <c r="C942" s="25"/>
      <c r="D942" s="25"/>
      <c r="E942" s="25"/>
    </row>
    <row r="943">
      <c r="A943" s="25"/>
      <c r="B943" s="25"/>
      <c r="C943" s="25"/>
      <c r="D943" s="25"/>
      <c r="E943" s="25"/>
    </row>
    <row r="944">
      <c r="A944" s="25"/>
      <c r="B944" s="25"/>
      <c r="C944" s="25"/>
      <c r="D944" s="25"/>
      <c r="E944" s="25"/>
    </row>
    <row r="945">
      <c r="A945" s="25"/>
      <c r="B945" s="25"/>
      <c r="C945" s="25"/>
      <c r="D945" s="25"/>
      <c r="E945" s="25"/>
    </row>
    <row r="946">
      <c r="A946" s="25"/>
      <c r="B946" s="25"/>
      <c r="C946" s="25"/>
      <c r="D946" s="25"/>
      <c r="E946" s="25"/>
    </row>
    <row r="947">
      <c r="A947" s="25"/>
      <c r="B947" s="25"/>
      <c r="C947" s="25"/>
      <c r="D947" s="25"/>
      <c r="E947" s="25"/>
    </row>
    <row r="948">
      <c r="A948" s="25"/>
      <c r="B948" s="25"/>
      <c r="C948" s="25"/>
      <c r="D948" s="25"/>
      <c r="E948" s="25"/>
    </row>
    <row r="949">
      <c r="A949" s="25"/>
      <c r="B949" s="25"/>
      <c r="C949" s="25"/>
      <c r="D949" s="25"/>
      <c r="E949" s="25"/>
    </row>
    <row r="950">
      <c r="A950" s="25"/>
      <c r="B950" s="25"/>
      <c r="C950" s="25"/>
      <c r="D950" s="25"/>
      <c r="E950" s="25"/>
    </row>
    <row r="951">
      <c r="A951" s="25"/>
      <c r="B951" s="25"/>
      <c r="C951" s="25"/>
      <c r="D951" s="25"/>
      <c r="E951" s="25"/>
    </row>
    <row r="952">
      <c r="A952" s="25"/>
      <c r="B952" s="25"/>
      <c r="C952" s="25"/>
      <c r="D952" s="25"/>
      <c r="E952" s="25"/>
    </row>
    <row r="953">
      <c r="A953" s="25"/>
      <c r="B953" s="25"/>
      <c r="C953" s="25"/>
      <c r="D953" s="25"/>
      <c r="E953" s="25"/>
    </row>
    <row r="954">
      <c r="A954" s="25"/>
      <c r="B954" s="25"/>
      <c r="C954" s="25"/>
      <c r="D954" s="25"/>
      <c r="E954" s="25"/>
    </row>
    <row r="955">
      <c r="A955" s="25"/>
      <c r="B955" s="25"/>
      <c r="C955" s="25"/>
      <c r="D955" s="25"/>
      <c r="E955" s="25"/>
    </row>
    <row r="956">
      <c r="A956" s="25"/>
      <c r="B956" s="25"/>
      <c r="C956" s="25"/>
      <c r="D956" s="25"/>
      <c r="E956" s="25"/>
    </row>
    <row r="957">
      <c r="A957" s="25"/>
      <c r="B957" s="25"/>
      <c r="C957" s="25"/>
      <c r="D957" s="25"/>
      <c r="E957" s="25"/>
    </row>
    <row r="958">
      <c r="A958" s="25"/>
      <c r="B958" s="25"/>
      <c r="C958" s="25"/>
      <c r="D958" s="25"/>
      <c r="E958" s="25"/>
    </row>
    <row r="959">
      <c r="A959" s="25"/>
      <c r="B959" s="25"/>
      <c r="C959" s="25"/>
      <c r="D959" s="25"/>
      <c r="E959" s="25"/>
    </row>
    <row r="960">
      <c r="A960" s="25"/>
      <c r="B960" s="25"/>
      <c r="C960" s="25"/>
      <c r="D960" s="25"/>
      <c r="E960" s="25"/>
    </row>
    <row r="961">
      <c r="A961" s="25"/>
      <c r="B961" s="25"/>
      <c r="C961" s="25"/>
      <c r="D961" s="25"/>
      <c r="E961" s="25"/>
    </row>
    <row r="962">
      <c r="A962" s="25"/>
      <c r="B962" s="25"/>
      <c r="C962" s="25"/>
      <c r="D962" s="25"/>
      <c r="E962" s="25"/>
    </row>
    <row r="963">
      <c r="A963" s="25"/>
      <c r="B963" s="25"/>
      <c r="C963" s="25"/>
      <c r="D963" s="25"/>
      <c r="E963" s="25"/>
    </row>
    <row r="964">
      <c r="A964" s="25"/>
      <c r="B964" s="25"/>
      <c r="C964" s="25"/>
      <c r="D964" s="25"/>
      <c r="E964" s="25"/>
    </row>
    <row r="965">
      <c r="A965" s="25"/>
      <c r="B965" s="25"/>
      <c r="C965" s="25"/>
      <c r="D965" s="25"/>
      <c r="E965" s="25"/>
    </row>
    <row r="966">
      <c r="A966" s="25"/>
      <c r="B966" s="25"/>
      <c r="C966" s="25"/>
      <c r="D966" s="25"/>
      <c r="E966" s="25"/>
    </row>
    <row r="967">
      <c r="A967" s="25"/>
      <c r="B967" s="25"/>
      <c r="C967" s="25"/>
      <c r="D967" s="25"/>
      <c r="E967" s="25"/>
    </row>
    <row r="968">
      <c r="A968" s="25"/>
      <c r="B968" s="25"/>
      <c r="C968" s="25"/>
      <c r="D968" s="25"/>
      <c r="E968" s="25"/>
    </row>
    <row r="969">
      <c r="A969" s="25"/>
      <c r="B969" s="25"/>
      <c r="C969" s="25"/>
      <c r="D969" s="25"/>
      <c r="E969" s="25"/>
    </row>
    <row r="970">
      <c r="A970" s="25"/>
      <c r="B970" s="25"/>
      <c r="C970" s="25"/>
      <c r="D970" s="25"/>
      <c r="E970" s="25"/>
    </row>
    <row r="971">
      <c r="A971" s="25"/>
      <c r="B971" s="25"/>
      <c r="C971" s="25"/>
      <c r="D971" s="25"/>
      <c r="E971" s="25"/>
    </row>
    <row r="972">
      <c r="A972" s="25"/>
      <c r="B972" s="25"/>
      <c r="C972" s="25"/>
      <c r="D972" s="25"/>
      <c r="E972" s="25"/>
    </row>
    <row r="973">
      <c r="A973" s="25"/>
      <c r="B973" s="25"/>
      <c r="C973" s="25"/>
      <c r="D973" s="25"/>
      <c r="E973" s="25"/>
    </row>
    <row r="974">
      <c r="A974" s="25"/>
      <c r="B974" s="25"/>
      <c r="C974" s="25"/>
      <c r="D974" s="25"/>
      <c r="E974" s="25"/>
    </row>
    <row r="975">
      <c r="A975" s="25"/>
      <c r="B975" s="25"/>
      <c r="C975" s="25"/>
      <c r="D975" s="25"/>
      <c r="E975" s="25"/>
    </row>
    <row r="976">
      <c r="A976" s="25"/>
      <c r="B976" s="25"/>
      <c r="C976" s="25"/>
      <c r="D976" s="25"/>
      <c r="E976" s="25"/>
    </row>
    <row r="977">
      <c r="A977" s="25"/>
      <c r="B977" s="25"/>
      <c r="C977" s="25"/>
      <c r="D977" s="25"/>
      <c r="E977" s="25"/>
    </row>
    <row r="978">
      <c r="A978" s="25"/>
      <c r="B978" s="25"/>
      <c r="C978" s="25"/>
      <c r="D978" s="25"/>
      <c r="E978" s="25"/>
    </row>
    <row r="979">
      <c r="A979" s="25"/>
      <c r="B979" s="25"/>
      <c r="C979" s="25"/>
      <c r="D979" s="25"/>
      <c r="E979" s="25"/>
    </row>
    <row r="980">
      <c r="A980" s="25"/>
      <c r="B980" s="25"/>
      <c r="C980" s="25"/>
      <c r="D980" s="25"/>
      <c r="E980" s="25"/>
    </row>
    <row r="981">
      <c r="A981" s="25"/>
      <c r="B981" s="25"/>
      <c r="C981" s="25"/>
      <c r="D981" s="25"/>
      <c r="E981" s="25"/>
    </row>
    <row r="982">
      <c r="A982" s="25"/>
      <c r="B982" s="25"/>
      <c r="C982" s="25"/>
      <c r="D982" s="25"/>
      <c r="E982" s="25"/>
    </row>
    <row r="983">
      <c r="A983" s="25"/>
      <c r="B983" s="25"/>
      <c r="C983" s="25"/>
      <c r="D983" s="25"/>
      <c r="E983" s="25"/>
    </row>
    <row r="984">
      <c r="A984" s="25"/>
      <c r="B984" s="25"/>
      <c r="C984" s="25"/>
      <c r="D984" s="25"/>
      <c r="E984" s="25"/>
    </row>
    <row r="985">
      <c r="A985" s="25"/>
      <c r="B985" s="25"/>
      <c r="C985" s="25"/>
      <c r="D985" s="25"/>
      <c r="E985" s="25"/>
    </row>
    <row r="986">
      <c r="A986" s="25"/>
      <c r="B986" s="25"/>
      <c r="C986" s="25"/>
      <c r="D986" s="25"/>
      <c r="E986" s="25"/>
    </row>
    <row r="987">
      <c r="A987" s="25"/>
      <c r="B987" s="25"/>
      <c r="C987" s="25"/>
      <c r="D987" s="25"/>
      <c r="E987" s="25"/>
    </row>
    <row r="988">
      <c r="A988" s="25"/>
      <c r="B988" s="25"/>
      <c r="C988" s="25"/>
      <c r="D988" s="25"/>
      <c r="E988" s="25"/>
    </row>
    <row r="989">
      <c r="A989" s="25"/>
      <c r="B989" s="25"/>
      <c r="C989" s="25"/>
      <c r="D989" s="25"/>
      <c r="E989" s="25"/>
    </row>
    <row r="990">
      <c r="A990" s="25"/>
      <c r="B990" s="25"/>
      <c r="C990" s="25"/>
      <c r="D990" s="25"/>
      <c r="E990" s="25"/>
    </row>
    <row r="991">
      <c r="A991" s="25"/>
      <c r="B991" s="25"/>
      <c r="C991" s="25"/>
      <c r="D991" s="25"/>
      <c r="E991" s="25"/>
    </row>
    <row r="992">
      <c r="A992" s="25"/>
      <c r="B992" s="25"/>
      <c r="C992" s="25"/>
      <c r="D992" s="25"/>
      <c r="E992" s="25"/>
    </row>
    <row r="993">
      <c r="A993" s="25"/>
      <c r="B993" s="25"/>
      <c r="C993" s="25"/>
      <c r="D993" s="25"/>
      <c r="E993" s="25"/>
    </row>
    <row r="994">
      <c r="A994" s="25"/>
      <c r="B994" s="25"/>
      <c r="C994" s="25"/>
      <c r="D994" s="25"/>
      <c r="E994" s="25"/>
    </row>
    <row r="995">
      <c r="A995" s="25"/>
      <c r="B995" s="25"/>
      <c r="C995" s="25"/>
      <c r="D995" s="25"/>
      <c r="E995" s="25"/>
    </row>
    <row r="996">
      <c r="A996" s="25"/>
      <c r="B996" s="25"/>
      <c r="C996" s="25"/>
      <c r="D996" s="25"/>
      <c r="E996" s="25"/>
    </row>
    <row r="997">
      <c r="A997" s="25"/>
      <c r="B997" s="25"/>
      <c r="C997" s="25"/>
      <c r="D997" s="25"/>
      <c r="E997" s="25"/>
    </row>
    <row r="998">
      <c r="A998" s="25"/>
      <c r="B998" s="25"/>
      <c r="C998" s="25"/>
      <c r="D998" s="25"/>
      <c r="E998" s="25"/>
    </row>
    <row r="999">
      <c r="A999" s="25"/>
      <c r="B999" s="25"/>
      <c r="C999" s="25"/>
      <c r="D999" s="25"/>
      <c r="E999" s="25"/>
    </row>
    <row r="1000">
      <c r="A1000" s="25"/>
      <c r="B1000" s="25"/>
      <c r="C1000" s="25"/>
      <c r="D1000" s="25"/>
      <c r="E1000" s="25"/>
    </row>
  </sheetData>
  <mergeCells count="6">
    <mergeCell ref="A2:A3"/>
    <mergeCell ref="D2:D3"/>
    <mergeCell ref="E2:E3"/>
    <mergeCell ref="A4:A5"/>
    <mergeCell ref="D4:D5"/>
    <mergeCell ref="E4:E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11.75"/>
    <col customWidth="1" min="3" max="3" width="41.75"/>
    <col customWidth="1" min="4" max="4" width="35.63"/>
  </cols>
  <sheetData>
    <row r="1">
      <c r="A1" s="45" t="s">
        <v>104</v>
      </c>
      <c r="B1" s="45" t="s">
        <v>1319</v>
      </c>
      <c r="C1" s="47" t="s">
        <v>1320</v>
      </c>
      <c r="D1" s="47" t="s">
        <v>1321</v>
      </c>
    </row>
    <row r="2">
      <c r="A2" s="5" t="s">
        <v>388</v>
      </c>
      <c r="B2" s="87">
        <v>1.0</v>
      </c>
      <c r="C2" s="46" t="s">
        <v>1322</v>
      </c>
      <c r="D2" s="24" t="s">
        <v>1323</v>
      </c>
    </row>
    <row r="3">
      <c r="B3" s="87">
        <v>2.0</v>
      </c>
      <c r="C3" s="24" t="s">
        <v>1324</v>
      </c>
    </row>
    <row r="4">
      <c r="A4" s="5" t="s">
        <v>1325</v>
      </c>
      <c r="B4" s="87">
        <v>1.0</v>
      </c>
      <c r="C4" s="46" t="s">
        <v>1326</v>
      </c>
      <c r="D4" s="24" t="s">
        <v>1327</v>
      </c>
    </row>
    <row r="5">
      <c r="B5" s="87">
        <v>2.0</v>
      </c>
      <c r="C5" s="24" t="s">
        <v>1328</v>
      </c>
    </row>
    <row r="6">
      <c r="A6" s="5" t="s">
        <v>1329</v>
      </c>
      <c r="B6" s="87">
        <v>1.0</v>
      </c>
      <c r="C6" s="46" t="s">
        <v>1330</v>
      </c>
      <c r="D6" s="24" t="s">
        <v>1331</v>
      </c>
    </row>
    <row r="7">
      <c r="B7" s="87">
        <v>2.0</v>
      </c>
      <c r="C7" s="24" t="s">
        <v>1332</v>
      </c>
    </row>
    <row r="8">
      <c r="A8" s="5" t="s">
        <v>746</v>
      </c>
      <c r="B8" s="87">
        <v>1.0</v>
      </c>
      <c r="C8" s="46" t="s">
        <v>1333</v>
      </c>
      <c r="D8" s="24" t="s">
        <v>1334</v>
      </c>
    </row>
    <row r="9">
      <c r="B9" s="87">
        <v>2.0</v>
      </c>
      <c r="C9" s="24" t="s">
        <v>1335</v>
      </c>
      <c r="D9" s="24" t="s">
        <v>1336</v>
      </c>
    </row>
    <row r="10">
      <c r="B10" s="87">
        <v>3.0</v>
      </c>
      <c r="C10" s="24" t="s">
        <v>1337</v>
      </c>
    </row>
    <row r="11">
      <c r="A11" s="5" t="s">
        <v>393</v>
      </c>
      <c r="B11" s="87">
        <v>1.0</v>
      </c>
      <c r="C11" s="46" t="s">
        <v>1338</v>
      </c>
      <c r="D11" s="24" t="s">
        <v>1339</v>
      </c>
    </row>
    <row r="12">
      <c r="B12" s="87">
        <v>2.0</v>
      </c>
      <c r="C12" s="24" t="s">
        <v>1340</v>
      </c>
    </row>
    <row r="13">
      <c r="A13" s="5" t="s">
        <v>704</v>
      </c>
      <c r="B13" s="87">
        <v>1.0</v>
      </c>
      <c r="C13" s="46" t="s">
        <v>1341</v>
      </c>
      <c r="D13" s="24" t="s">
        <v>1342</v>
      </c>
    </row>
    <row r="14">
      <c r="A14" s="5" t="s">
        <v>636</v>
      </c>
      <c r="B14" s="87">
        <v>1.0</v>
      </c>
      <c r="C14" s="46" t="s">
        <v>1343</v>
      </c>
      <c r="D14" s="24" t="s">
        <v>1344</v>
      </c>
    </row>
    <row r="15">
      <c r="B15" s="87">
        <v>2.0</v>
      </c>
      <c r="C15" s="24" t="s">
        <v>1345</v>
      </c>
    </row>
    <row r="16">
      <c r="A16" s="5" t="s">
        <v>1346</v>
      </c>
      <c r="B16" s="87">
        <v>1.0</v>
      </c>
      <c r="C16" s="46" t="s">
        <v>1347</v>
      </c>
      <c r="D16" s="24" t="s">
        <v>1348</v>
      </c>
    </row>
    <row r="17">
      <c r="B17" s="87">
        <v>2.0</v>
      </c>
      <c r="C17" s="24" t="s">
        <v>1349</v>
      </c>
    </row>
    <row r="18">
      <c r="B18" s="87">
        <v>3.0</v>
      </c>
      <c r="C18" s="24" t="s">
        <v>1350</v>
      </c>
    </row>
    <row r="19">
      <c r="A19" s="11"/>
      <c r="B19" s="88"/>
      <c r="C19" s="25"/>
      <c r="D19" s="25"/>
    </row>
    <row r="20">
      <c r="A20" s="11"/>
      <c r="B20" s="88"/>
      <c r="C20" s="25"/>
      <c r="D20" s="25"/>
    </row>
    <row r="21">
      <c r="A21" s="11"/>
      <c r="B21" s="88"/>
      <c r="C21" s="25"/>
      <c r="D21" s="25"/>
    </row>
    <row r="22">
      <c r="A22" s="11"/>
      <c r="B22" s="88"/>
      <c r="C22" s="25"/>
      <c r="D22" s="25"/>
    </row>
    <row r="23">
      <c r="A23" s="11"/>
      <c r="B23" s="88"/>
      <c r="C23" s="25"/>
      <c r="D23" s="25"/>
    </row>
    <row r="24">
      <c r="A24" s="11"/>
      <c r="B24" s="88"/>
      <c r="C24" s="25"/>
      <c r="D24" s="25"/>
    </row>
    <row r="25">
      <c r="A25" s="11"/>
      <c r="B25" s="88"/>
      <c r="C25" s="25"/>
      <c r="D25" s="25"/>
    </row>
    <row r="26">
      <c r="A26" s="11"/>
      <c r="B26" s="88"/>
      <c r="C26" s="25"/>
      <c r="D26" s="25"/>
    </row>
    <row r="27">
      <c r="A27" s="11"/>
      <c r="B27" s="88"/>
      <c r="C27" s="25"/>
      <c r="D27" s="25"/>
    </row>
    <row r="28">
      <c r="A28" s="11"/>
      <c r="B28" s="88"/>
      <c r="C28" s="25"/>
      <c r="D28" s="25"/>
    </row>
    <row r="29">
      <c r="A29" s="11"/>
      <c r="B29" s="88"/>
      <c r="C29" s="25"/>
      <c r="D29" s="25"/>
    </row>
    <row r="30">
      <c r="A30" s="11"/>
      <c r="B30" s="88"/>
      <c r="C30" s="25"/>
      <c r="D30" s="25"/>
    </row>
    <row r="31">
      <c r="A31" s="11"/>
      <c r="B31" s="88"/>
      <c r="C31" s="25"/>
      <c r="D31" s="25"/>
    </row>
    <row r="32">
      <c r="A32" s="11"/>
      <c r="B32" s="88"/>
      <c r="C32" s="25"/>
      <c r="D32" s="25"/>
    </row>
    <row r="33">
      <c r="A33" s="11"/>
      <c r="B33" s="88"/>
      <c r="C33" s="25"/>
      <c r="D33" s="25"/>
    </row>
    <row r="34">
      <c r="A34" s="11"/>
      <c r="B34" s="88"/>
      <c r="C34" s="25"/>
      <c r="D34" s="25"/>
    </row>
    <row r="35">
      <c r="A35" s="11"/>
      <c r="B35" s="88"/>
      <c r="C35" s="25"/>
      <c r="D35" s="25"/>
    </row>
    <row r="36">
      <c r="A36" s="11"/>
      <c r="B36" s="88"/>
      <c r="C36" s="25"/>
      <c r="D36" s="25"/>
    </row>
    <row r="37">
      <c r="A37" s="11"/>
      <c r="B37" s="88"/>
      <c r="C37" s="25"/>
      <c r="D37" s="25"/>
    </row>
    <row r="38">
      <c r="A38" s="11"/>
      <c r="B38" s="88"/>
      <c r="C38" s="25"/>
      <c r="D38" s="25"/>
    </row>
    <row r="39">
      <c r="A39" s="11"/>
      <c r="B39" s="88"/>
      <c r="C39" s="25"/>
      <c r="D39" s="25"/>
    </row>
    <row r="40">
      <c r="A40" s="11"/>
      <c r="B40" s="88"/>
      <c r="C40" s="25"/>
      <c r="D40" s="25"/>
    </row>
    <row r="41">
      <c r="A41" s="11"/>
      <c r="B41" s="88"/>
      <c r="C41" s="25"/>
      <c r="D41" s="25"/>
    </row>
    <row r="42">
      <c r="A42" s="11"/>
      <c r="B42" s="88"/>
      <c r="C42" s="25"/>
      <c r="D42" s="25"/>
    </row>
    <row r="43">
      <c r="A43" s="11"/>
      <c r="B43" s="88"/>
      <c r="C43" s="25"/>
      <c r="D43" s="25"/>
    </row>
    <row r="44">
      <c r="A44" s="11"/>
      <c r="B44" s="88"/>
      <c r="C44" s="25"/>
      <c r="D44" s="25"/>
    </row>
    <row r="45">
      <c r="A45" s="11"/>
      <c r="B45" s="88"/>
      <c r="C45" s="25"/>
      <c r="D45" s="25"/>
    </row>
    <row r="46">
      <c r="A46" s="11"/>
      <c r="B46" s="88"/>
      <c r="C46" s="25"/>
      <c r="D46" s="25"/>
    </row>
    <row r="47">
      <c r="A47" s="11"/>
      <c r="B47" s="88"/>
      <c r="C47" s="25"/>
      <c r="D47" s="25"/>
    </row>
    <row r="48">
      <c r="A48" s="11"/>
      <c r="B48" s="88"/>
      <c r="C48" s="25"/>
      <c r="D48" s="25"/>
    </row>
    <row r="49">
      <c r="A49" s="11"/>
      <c r="B49" s="88"/>
      <c r="C49" s="25"/>
      <c r="D49" s="25"/>
    </row>
    <row r="50">
      <c r="A50" s="11"/>
      <c r="B50" s="88"/>
      <c r="C50" s="25"/>
      <c r="D50" s="25"/>
    </row>
    <row r="51">
      <c r="A51" s="11"/>
      <c r="B51" s="88"/>
      <c r="C51" s="25"/>
      <c r="D51" s="25"/>
    </row>
    <row r="52">
      <c r="A52" s="11"/>
      <c r="B52" s="88"/>
      <c r="C52" s="25"/>
      <c r="D52" s="25"/>
    </row>
    <row r="53">
      <c r="A53" s="11"/>
      <c r="B53" s="88"/>
      <c r="C53" s="25"/>
      <c r="D53" s="25"/>
    </row>
    <row r="54">
      <c r="A54" s="11"/>
      <c r="B54" s="88"/>
      <c r="C54" s="25"/>
      <c r="D54" s="25"/>
    </row>
    <row r="55">
      <c r="A55" s="11"/>
      <c r="B55" s="88"/>
      <c r="C55" s="25"/>
      <c r="D55" s="25"/>
    </row>
    <row r="56">
      <c r="A56" s="11"/>
      <c r="B56" s="88"/>
      <c r="C56" s="25"/>
      <c r="D56" s="25"/>
    </row>
    <row r="57">
      <c r="A57" s="11"/>
      <c r="B57" s="88"/>
      <c r="C57" s="25"/>
      <c r="D57" s="25"/>
    </row>
    <row r="58">
      <c r="A58" s="11"/>
      <c r="B58" s="88"/>
      <c r="C58" s="25"/>
      <c r="D58" s="25"/>
    </row>
    <row r="59">
      <c r="A59" s="11"/>
      <c r="B59" s="88"/>
      <c r="C59" s="25"/>
      <c r="D59" s="25"/>
    </row>
    <row r="60">
      <c r="A60" s="11"/>
      <c r="B60" s="88"/>
      <c r="C60" s="25"/>
      <c r="D60" s="25"/>
    </row>
    <row r="61">
      <c r="A61" s="11"/>
      <c r="B61" s="88"/>
      <c r="C61" s="25"/>
      <c r="D61" s="25"/>
    </row>
    <row r="62">
      <c r="A62" s="11"/>
      <c r="B62" s="88"/>
      <c r="C62" s="25"/>
      <c r="D62" s="25"/>
    </row>
    <row r="63">
      <c r="A63" s="11"/>
      <c r="B63" s="88"/>
      <c r="C63" s="25"/>
      <c r="D63" s="25"/>
    </row>
    <row r="64">
      <c r="A64" s="11"/>
      <c r="B64" s="88"/>
      <c r="C64" s="25"/>
      <c r="D64" s="25"/>
    </row>
    <row r="65">
      <c r="A65" s="11"/>
      <c r="B65" s="88"/>
      <c r="C65" s="25"/>
      <c r="D65" s="25"/>
    </row>
    <row r="66">
      <c r="A66" s="11"/>
      <c r="B66" s="88"/>
      <c r="C66" s="25"/>
      <c r="D66" s="25"/>
    </row>
    <row r="67">
      <c r="A67" s="11"/>
      <c r="B67" s="88"/>
      <c r="C67" s="25"/>
      <c r="D67" s="25"/>
    </row>
    <row r="68">
      <c r="A68" s="11"/>
      <c r="B68" s="88"/>
      <c r="C68" s="25"/>
      <c r="D68" s="25"/>
    </row>
    <row r="69">
      <c r="A69" s="11"/>
      <c r="B69" s="88"/>
      <c r="C69" s="25"/>
      <c r="D69" s="25"/>
    </row>
    <row r="70">
      <c r="A70" s="11"/>
      <c r="B70" s="88"/>
      <c r="C70" s="25"/>
      <c r="D70" s="25"/>
    </row>
    <row r="71">
      <c r="A71" s="11"/>
      <c r="B71" s="88"/>
      <c r="C71" s="25"/>
      <c r="D71" s="25"/>
    </row>
    <row r="72">
      <c r="A72" s="11"/>
      <c r="B72" s="88"/>
      <c r="C72" s="25"/>
      <c r="D72" s="25"/>
    </row>
    <row r="73">
      <c r="A73" s="11"/>
      <c r="B73" s="88"/>
      <c r="C73" s="25"/>
      <c r="D73" s="25"/>
    </row>
    <row r="74">
      <c r="A74" s="11"/>
      <c r="B74" s="88"/>
      <c r="C74" s="25"/>
      <c r="D74" s="25"/>
    </row>
    <row r="75">
      <c r="A75" s="11"/>
      <c r="B75" s="88"/>
      <c r="C75" s="25"/>
      <c r="D75" s="25"/>
    </row>
    <row r="76">
      <c r="A76" s="11"/>
      <c r="B76" s="88"/>
      <c r="C76" s="25"/>
      <c r="D76" s="25"/>
    </row>
    <row r="77">
      <c r="A77" s="11"/>
      <c r="B77" s="88"/>
      <c r="C77" s="25"/>
      <c r="D77" s="25"/>
    </row>
    <row r="78">
      <c r="A78" s="11"/>
      <c r="B78" s="88"/>
      <c r="C78" s="25"/>
      <c r="D78" s="25"/>
    </row>
    <row r="79">
      <c r="A79" s="11"/>
      <c r="B79" s="88"/>
      <c r="C79" s="25"/>
      <c r="D79" s="25"/>
    </row>
    <row r="80">
      <c r="A80" s="11"/>
      <c r="B80" s="88"/>
      <c r="C80" s="25"/>
      <c r="D80" s="25"/>
    </row>
    <row r="81">
      <c r="A81" s="11"/>
      <c r="B81" s="88"/>
      <c r="C81" s="25"/>
      <c r="D81" s="25"/>
    </row>
    <row r="82">
      <c r="A82" s="11"/>
      <c r="B82" s="88"/>
      <c r="C82" s="25"/>
      <c r="D82" s="25"/>
    </row>
    <row r="83">
      <c r="A83" s="11"/>
      <c r="B83" s="88"/>
      <c r="C83" s="25"/>
      <c r="D83" s="25"/>
    </row>
    <row r="84">
      <c r="A84" s="11"/>
      <c r="B84" s="88"/>
      <c r="C84" s="25"/>
      <c r="D84" s="25"/>
    </row>
    <row r="85">
      <c r="A85" s="11"/>
      <c r="B85" s="88"/>
      <c r="C85" s="25"/>
      <c r="D85" s="25"/>
    </row>
    <row r="86">
      <c r="A86" s="11"/>
      <c r="B86" s="88"/>
      <c r="C86" s="25"/>
      <c r="D86" s="25"/>
    </row>
    <row r="87">
      <c r="A87" s="11"/>
      <c r="B87" s="88"/>
      <c r="C87" s="25"/>
      <c r="D87" s="25"/>
    </row>
    <row r="88">
      <c r="A88" s="11"/>
      <c r="B88" s="88"/>
      <c r="C88" s="25"/>
      <c r="D88" s="25"/>
    </row>
    <row r="89">
      <c r="A89" s="11"/>
      <c r="B89" s="88"/>
      <c r="C89" s="25"/>
      <c r="D89" s="25"/>
    </row>
    <row r="90">
      <c r="A90" s="11"/>
      <c r="B90" s="88"/>
      <c r="C90" s="25"/>
      <c r="D90" s="25"/>
    </row>
    <row r="91">
      <c r="A91" s="11"/>
      <c r="B91" s="88"/>
      <c r="C91" s="25"/>
      <c r="D91" s="25"/>
    </row>
    <row r="92">
      <c r="A92" s="11"/>
      <c r="B92" s="88"/>
      <c r="C92" s="25"/>
      <c r="D92" s="25"/>
    </row>
    <row r="93">
      <c r="A93" s="11"/>
      <c r="B93" s="88"/>
      <c r="C93" s="25"/>
      <c r="D93" s="25"/>
    </row>
    <row r="94">
      <c r="A94" s="11"/>
      <c r="B94" s="88"/>
      <c r="C94" s="25"/>
      <c r="D94" s="25"/>
    </row>
    <row r="95">
      <c r="A95" s="11"/>
      <c r="B95" s="88"/>
      <c r="C95" s="25"/>
      <c r="D95" s="25"/>
    </row>
    <row r="96">
      <c r="A96" s="11"/>
      <c r="B96" s="88"/>
      <c r="C96" s="25"/>
      <c r="D96" s="25"/>
    </row>
    <row r="97">
      <c r="A97" s="11"/>
      <c r="B97" s="88"/>
      <c r="C97" s="25"/>
      <c r="D97" s="25"/>
    </row>
    <row r="98">
      <c r="A98" s="11"/>
      <c r="B98" s="88"/>
      <c r="C98" s="25"/>
      <c r="D98" s="25"/>
    </row>
    <row r="99">
      <c r="A99" s="11"/>
      <c r="B99" s="88"/>
      <c r="C99" s="25"/>
      <c r="D99" s="25"/>
    </row>
    <row r="100">
      <c r="A100" s="11"/>
      <c r="B100" s="88"/>
      <c r="C100" s="25"/>
      <c r="D100" s="25"/>
    </row>
    <row r="101">
      <c r="A101" s="11"/>
      <c r="B101" s="88"/>
      <c r="C101" s="25"/>
      <c r="D101" s="25"/>
    </row>
    <row r="102">
      <c r="A102" s="11"/>
      <c r="B102" s="88"/>
      <c r="C102" s="25"/>
      <c r="D102" s="25"/>
    </row>
    <row r="103">
      <c r="A103" s="11"/>
      <c r="B103" s="88"/>
      <c r="C103" s="25"/>
      <c r="D103" s="25"/>
    </row>
    <row r="104">
      <c r="A104" s="11"/>
      <c r="B104" s="88"/>
      <c r="C104" s="25"/>
      <c r="D104" s="25"/>
    </row>
    <row r="105">
      <c r="A105" s="11"/>
      <c r="B105" s="88"/>
      <c r="C105" s="25"/>
      <c r="D105" s="25"/>
    </row>
    <row r="106">
      <c r="A106" s="11"/>
      <c r="B106" s="88"/>
      <c r="C106" s="25"/>
      <c r="D106" s="25"/>
    </row>
    <row r="107">
      <c r="A107" s="11"/>
      <c r="B107" s="88"/>
      <c r="C107" s="25"/>
      <c r="D107" s="25"/>
    </row>
    <row r="108">
      <c r="A108" s="11"/>
      <c r="B108" s="88"/>
      <c r="C108" s="25"/>
      <c r="D108" s="25"/>
    </row>
    <row r="109">
      <c r="A109" s="11"/>
      <c r="B109" s="88"/>
      <c r="C109" s="25"/>
      <c r="D109" s="25"/>
    </row>
    <row r="110">
      <c r="A110" s="11"/>
      <c r="B110" s="88"/>
      <c r="C110" s="25"/>
      <c r="D110" s="25"/>
    </row>
    <row r="111">
      <c r="A111" s="11"/>
      <c r="B111" s="88"/>
      <c r="C111" s="25"/>
      <c r="D111" s="25"/>
    </row>
    <row r="112">
      <c r="A112" s="11"/>
      <c r="B112" s="88"/>
      <c r="C112" s="25"/>
      <c r="D112" s="25"/>
    </row>
    <row r="113">
      <c r="A113" s="11"/>
      <c r="B113" s="88"/>
      <c r="C113" s="25"/>
      <c r="D113" s="25"/>
    </row>
    <row r="114">
      <c r="A114" s="11"/>
      <c r="B114" s="88"/>
      <c r="C114" s="25"/>
      <c r="D114" s="25"/>
    </row>
    <row r="115">
      <c r="A115" s="11"/>
      <c r="B115" s="88"/>
      <c r="C115" s="25"/>
      <c r="D115" s="25"/>
    </row>
    <row r="116">
      <c r="A116" s="11"/>
      <c r="B116" s="88"/>
      <c r="C116" s="25"/>
      <c r="D116" s="25"/>
    </row>
    <row r="117">
      <c r="A117" s="11"/>
      <c r="B117" s="88"/>
      <c r="C117" s="25"/>
      <c r="D117" s="25"/>
    </row>
    <row r="118">
      <c r="A118" s="11"/>
      <c r="B118" s="88"/>
      <c r="C118" s="25"/>
      <c r="D118" s="25"/>
    </row>
    <row r="119">
      <c r="A119" s="11"/>
      <c r="B119" s="88"/>
      <c r="C119" s="25"/>
      <c r="D119" s="25"/>
    </row>
    <row r="120">
      <c r="A120" s="11"/>
      <c r="B120" s="88"/>
      <c r="C120" s="25"/>
      <c r="D120" s="25"/>
    </row>
    <row r="121">
      <c r="A121" s="11"/>
      <c r="B121" s="88"/>
      <c r="C121" s="25"/>
      <c r="D121" s="25"/>
    </row>
    <row r="122">
      <c r="A122" s="11"/>
      <c r="B122" s="88"/>
      <c r="C122" s="25"/>
      <c r="D122" s="25"/>
    </row>
    <row r="123">
      <c r="A123" s="11"/>
      <c r="B123" s="88"/>
      <c r="C123" s="25"/>
      <c r="D123" s="25"/>
    </row>
    <row r="124">
      <c r="A124" s="11"/>
      <c r="B124" s="88"/>
      <c r="C124" s="25"/>
      <c r="D124" s="25"/>
    </row>
    <row r="125">
      <c r="A125" s="11"/>
      <c r="B125" s="88"/>
      <c r="C125" s="25"/>
      <c r="D125" s="25"/>
    </row>
    <row r="126">
      <c r="A126" s="11"/>
      <c r="B126" s="88"/>
      <c r="C126" s="25"/>
      <c r="D126" s="25"/>
    </row>
    <row r="127">
      <c r="A127" s="11"/>
      <c r="B127" s="88"/>
      <c r="C127" s="25"/>
      <c r="D127" s="25"/>
    </row>
    <row r="128">
      <c r="A128" s="11"/>
      <c r="B128" s="88"/>
      <c r="C128" s="25"/>
      <c r="D128" s="25"/>
    </row>
    <row r="129">
      <c r="A129" s="11"/>
      <c r="B129" s="88"/>
      <c r="C129" s="25"/>
      <c r="D129" s="25"/>
    </row>
    <row r="130">
      <c r="A130" s="11"/>
      <c r="B130" s="88"/>
      <c r="C130" s="25"/>
      <c r="D130" s="25"/>
    </row>
    <row r="131">
      <c r="A131" s="11"/>
      <c r="B131" s="88"/>
      <c r="C131" s="25"/>
      <c r="D131" s="25"/>
    </row>
    <row r="132">
      <c r="A132" s="11"/>
      <c r="B132" s="88"/>
      <c r="C132" s="25"/>
      <c r="D132" s="25"/>
    </row>
    <row r="133">
      <c r="A133" s="11"/>
      <c r="B133" s="88"/>
      <c r="C133" s="25"/>
      <c r="D133" s="25"/>
    </row>
    <row r="134">
      <c r="A134" s="11"/>
      <c r="B134" s="88"/>
      <c r="C134" s="25"/>
      <c r="D134" s="25"/>
    </row>
    <row r="135">
      <c r="A135" s="11"/>
      <c r="B135" s="88"/>
      <c r="C135" s="25"/>
      <c r="D135" s="25"/>
    </row>
    <row r="136">
      <c r="A136" s="11"/>
      <c r="B136" s="88"/>
      <c r="C136" s="25"/>
      <c r="D136" s="25"/>
    </row>
    <row r="137">
      <c r="A137" s="11"/>
      <c r="B137" s="88"/>
      <c r="C137" s="25"/>
      <c r="D137" s="25"/>
    </row>
    <row r="138">
      <c r="A138" s="11"/>
      <c r="B138" s="88"/>
      <c r="C138" s="25"/>
      <c r="D138" s="25"/>
    </row>
    <row r="139">
      <c r="A139" s="11"/>
      <c r="B139" s="88"/>
      <c r="C139" s="25"/>
      <c r="D139" s="25"/>
    </row>
    <row r="140">
      <c r="A140" s="11"/>
      <c r="B140" s="88"/>
      <c r="C140" s="25"/>
      <c r="D140" s="25"/>
    </row>
    <row r="141">
      <c r="A141" s="11"/>
      <c r="B141" s="88"/>
      <c r="C141" s="25"/>
      <c r="D141" s="25"/>
    </row>
    <row r="142">
      <c r="A142" s="11"/>
      <c r="B142" s="88"/>
      <c r="C142" s="25"/>
      <c r="D142" s="25"/>
    </row>
    <row r="143">
      <c r="A143" s="11"/>
      <c r="B143" s="88"/>
      <c r="C143" s="25"/>
      <c r="D143" s="25"/>
    </row>
    <row r="144">
      <c r="A144" s="11"/>
      <c r="B144" s="88"/>
      <c r="C144" s="25"/>
      <c r="D144" s="25"/>
    </row>
    <row r="145">
      <c r="A145" s="11"/>
      <c r="B145" s="88"/>
      <c r="C145" s="25"/>
      <c r="D145" s="25"/>
    </row>
    <row r="146">
      <c r="A146" s="11"/>
      <c r="B146" s="88"/>
      <c r="C146" s="25"/>
      <c r="D146" s="25"/>
    </row>
    <row r="147">
      <c r="A147" s="11"/>
      <c r="B147" s="88"/>
      <c r="C147" s="25"/>
      <c r="D147" s="25"/>
    </row>
    <row r="148">
      <c r="A148" s="11"/>
      <c r="B148" s="88"/>
      <c r="C148" s="25"/>
      <c r="D148" s="25"/>
    </row>
    <row r="149">
      <c r="A149" s="11"/>
      <c r="B149" s="88"/>
      <c r="C149" s="25"/>
      <c r="D149" s="25"/>
    </row>
    <row r="150">
      <c r="A150" s="11"/>
      <c r="B150" s="88"/>
      <c r="C150" s="25"/>
      <c r="D150" s="25"/>
    </row>
    <row r="151">
      <c r="A151" s="11"/>
      <c r="B151" s="88"/>
      <c r="C151" s="25"/>
      <c r="D151" s="25"/>
    </row>
    <row r="152">
      <c r="A152" s="11"/>
      <c r="B152" s="88"/>
      <c r="C152" s="25"/>
      <c r="D152" s="25"/>
    </row>
    <row r="153">
      <c r="A153" s="11"/>
      <c r="B153" s="88"/>
      <c r="C153" s="25"/>
      <c r="D153" s="25"/>
    </row>
    <row r="154">
      <c r="A154" s="11"/>
      <c r="B154" s="88"/>
      <c r="C154" s="25"/>
      <c r="D154" s="25"/>
    </row>
    <row r="155">
      <c r="A155" s="11"/>
      <c r="B155" s="88"/>
      <c r="C155" s="25"/>
      <c r="D155" s="25"/>
    </row>
    <row r="156">
      <c r="A156" s="11"/>
      <c r="B156" s="88"/>
      <c r="C156" s="25"/>
      <c r="D156" s="25"/>
    </row>
    <row r="157">
      <c r="A157" s="11"/>
      <c r="B157" s="88"/>
      <c r="C157" s="25"/>
      <c r="D157" s="25"/>
    </row>
    <row r="158">
      <c r="A158" s="11"/>
      <c r="B158" s="88"/>
      <c r="C158" s="25"/>
      <c r="D158" s="25"/>
    </row>
    <row r="159">
      <c r="A159" s="11"/>
      <c r="B159" s="88"/>
      <c r="C159" s="25"/>
      <c r="D159" s="25"/>
    </row>
    <row r="160">
      <c r="A160" s="11"/>
      <c r="B160" s="88"/>
      <c r="C160" s="25"/>
      <c r="D160" s="25"/>
    </row>
    <row r="161">
      <c r="A161" s="11"/>
      <c r="B161" s="88"/>
      <c r="C161" s="25"/>
      <c r="D161" s="25"/>
    </row>
    <row r="162">
      <c r="A162" s="11"/>
      <c r="B162" s="88"/>
      <c r="C162" s="25"/>
      <c r="D162" s="25"/>
    </row>
    <row r="163">
      <c r="A163" s="11"/>
      <c r="B163" s="88"/>
      <c r="C163" s="25"/>
      <c r="D163" s="25"/>
    </row>
    <row r="164">
      <c r="A164" s="11"/>
      <c r="B164" s="88"/>
      <c r="C164" s="25"/>
      <c r="D164" s="25"/>
    </row>
    <row r="165">
      <c r="A165" s="11"/>
      <c r="B165" s="88"/>
      <c r="C165" s="25"/>
      <c r="D165" s="25"/>
    </row>
    <row r="166">
      <c r="A166" s="11"/>
      <c r="B166" s="88"/>
      <c r="C166" s="25"/>
      <c r="D166" s="25"/>
    </row>
    <row r="167">
      <c r="A167" s="11"/>
      <c r="B167" s="88"/>
      <c r="C167" s="25"/>
      <c r="D167" s="25"/>
    </row>
    <row r="168">
      <c r="A168" s="11"/>
      <c r="B168" s="88"/>
      <c r="C168" s="25"/>
      <c r="D168" s="25"/>
    </row>
    <row r="169">
      <c r="A169" s="11"/>
      <c r="B169" s="88"/>
      <c r="C169" s="25"/>
      <c r="D169" s="25"/>
    </row>
    <row r="170">
      <c r="A170" s="11"/>
      <c r="B170" s="88"/>
      <c r="C170" s="25"/>
      <c r="D170" s="25"/>
    </row>
    <row r="171">
      <c r="A171" s="11"/>
      <c r="B171" s="88"/>
      <c r="C171" s="25"/>
      <c r="D171" s="25"/>
    </row>
    <row r="172">
      <c r="A172" s="11"/>
      <c r="B172" s="88"/>
      <c r="C172" s="25"/>
      <c r="D172" s="25"/>
    </row>
    <row r="173">
      <c r="A173" s="11"/>
      <c r="B173" s="88"/>
      <c r="C173" s="25"/>
      <c r="D173" s="25"/>
    </row>
    <row r="174">
      <c r="A174" s="11"/>
      <c r="B174" s="88"/>
      <c r="C174" s="25"/>
      <c r="D174" s="25"/>
    </row>
    <row r="175">
      <c r="A175" s="11"/>
      <c r="B175" s="88"/>
      <c r="C175" s="25"/>
      <c r="D175" s="25"/>
    </row>
    <row r="176">
      <c r="A176" s="11"/>
      <c r="B176" s="88"/>
      <c r="C176" s="25"/>
      <c r="D176" s="25"/>
    </row>
    <row r="177">
      <c r="A177" s="11"/>
      <c r="B177" s="88"/>
      <c r="C177" s="25"/>
      <c r="D177" s="25"/>
    </row>
    <row r="178">
      <c r="A178" s="11"/>
      <c r="B178" s="88"/>
      <c r="C178" s="25"/>
      <c r="D178" s="25"/>
    </row>
    <row r="179">
      <c r="A179" s="11"/>
      <c r="B179" s="88"/>
      <c r="C179" s="25"/>
      <c r="D179" s="25"/>
    </row>
    <row r="180">
      <c r="A180" s="11"/>
      <c r="B180" s="88"/>
      <c r="C180" s="25"/>
      <c r="D180" s="25"/>
    </row>
    <row r="181">
      <c r="A181" s="11"/>
      <c r="B181" s="88"/>
      <c r="C181" s="25"/>
      <c r="D181" s="25"/>
    </row>
    <row r="182">
      <c r="A182" s="11"/>
      <c r="B182" s="88"/>
      <c r="C182" s="25"/>
      <c r="D182" s="25"/>
    </row>
    <row r="183">
      <c r="A183" s="11"/>
      <c r="B183" s="88"/>
      <c r="C183" s="25"/>
      <c r="D183" s="25"/>
    </row>
    <row r="184">
      <c r="A184" s="11"/>
      <c r="B184" s="88"/>
      <c r="C184" s="25"/>
      <c r="D184" s="25"/>
    </row>
    <row r="185">
      <c r="A185" s="11"/>
      <c r="B185" s="88"/>
      <c r="C185" s="25"/>
      <c r="D185" s="25"/>
    </row>
    <row r="186">
      <c r="A186" s="11"/>
      <c r="B186" s="88"/>
      <c r="C186" s="25"/>
      <c r="D186" s="25"/>
    </row>
    <row r="187">
      <c r="A187" s="11"/>
      <c r="B187" s="88"/>
      <c r="C187" s="25"/>
      <c r="D187" s="25"/>
    </row>
    <row r="188">
      <c r="A188" s="11"/>
      <c r="B188" s="88"/>
      <c r="C188" s="25"/>
      <c r="D188" s="25"/>
    </row>
    <row r="189">
      <c r="A189" s="11"/>
      <c r="B189" s="88"/>
      <c r="C189" s="25"/>
      <c r="D189" s="25"/>
    </row>
    <row r="190">
      <c r="A190" s="11"/>
      <c r="B190" s="88"/>
      <c r="C190" s="25"/>
      <c r="D190" s="25"/>
    </row>
    <row r="191">
      <c r="A191" s="11"/>
      <c r="B191" s="88"/>
      <c r="C191" s="25"/>
      <c r="D191" s="25"/>
    </row>
    <row r="192">
      <c r="A192" s="11"/>
      <c r="B192" s="88"/>
      <c r="C192" s="25"/>
      <c r="D192" s="25"/>
    </row>
    <row r="193">
      <c r="A193" s="11"/>
      <c r="B193" s="88"/>
      <c r="C193" s="25"/>
      <c r="D193" s="25"/>
    </row>
    <row r="194">
      <c r="A194" s="11"/>
      <c r="B194" s="88"/>
      <c r="C194" s="25"/>
      <c r="D194" s="25"/>
    </row>
    <row r="195">
      <c r="A195" s="11"/>
      <c r="B195" s="88"/>
      <c r="C195" s="25"/>
      <c r="D195" s="25"/>
    </row>
    <row r="196">
      <c r="A196" s="11"/>
      <c r="B196" s="88"/>
      <c r="C196" s="25"/>
      <c r="D196" s="25"/>
    </row>
    <row r="197">
      <c r="A197" s="11"/>
      <c r="B197" s="88"/>
      <c r="C197" s="25"/>
      <c r="D197" s="25"/>
    </row>
    <row r="198">
      <c r="A198" s="11"/>
      <c r="B198" s="88"/>
      <c r="C198" s="25"/>
      <c r="D198" s="25"/>
    </row>
    <row r="199">
      <c r="A199" s="11"/>
      <c r="B199" s="88"/>
      <c r="C199" s="25"/>
      <c r="D199" s="25"/>
    </row>
    <row r="200">
      <c r="A200" s="11"/>
      <c r="B200" s="88"/>
      <c r="C200" s="25"/>
      <c r="D200" s="25"/>
    </row>
    <row r="201">
      <c r="A201" s="11"/>
      <c r="B201" s="88"/>
      <c r="C201" s="25"/>
      <c r="D201" s="25"/>
    </row>
    <row r="202">
      <c r="A202" s="11"/>
      <c r="B202" s="88"/>
      <c r="C202" s="25"/>
      <c r="D202" s="25"/>
    </row>
    <row r="203">
      <c r="A203" s="11"/>
      <c r="B203" s="88"/>
      <c r="C203" s="25"/>
      <c r="D203" s="25"/>
    </row>
    <row r="204">
      <c r="A204" s="11"/>
      <c r="B204" s="88"/>
      <c r="C204" s="25"/>
      <c r="D204" s="25"/>
    </row>
    <row r="205">
      <c r="A205" s="11"/>
      <c r="B205" s="88"/>
      <c r="C205" s="25"/>
      <c r="D205" s="25"/>
    </row>
    <row r="206">
      <c r="A206" s="11"/>
      <c r="B206" s="88"/>
      <c r="C206" s="25"/>
      <c r="D206" s="25"/>
    </row>
    <row r="207">
      <c r="A207" s="11"/>
      <c r="B207" s="88"/>
      <c r="C207" s="25"/>
      <c r="D207" s="25"/>
    </row>
    <row r="208">
      <c r="A208" s="11"/>
      <c r="B208" s="88"/>
      <c r="C208" s="25"/>
      <c r="D208" s="25"/>
    </row>
    <row r="209">
      <c r="A209" s="11"/>
      <c r="B209" s="88"/>
      <c r="C209" s="25"/>
      <c r="D209" s="25"/>
    </row>
    <row r="210">
      <c r="A210" s="11"/>
      <c r="B210" s="88"/>
      <c r="C210" s="25"/>
      <c r="D210" s="25"/>
    </row>
    <row r="211">
      <c r="A211" s="11"/>
      <c r="B211" s="88"/>
      <c r="C211" s="25"/>
      <c r="D211" s="25"/>
    </row>
    <row r="212">
      <c r="A212" s="11"/>
      <c r="B212" s="88"/>
      <c r="C212" s="25"/>
      <c r="D212" s="25"/>
    </row>
    <row r="213">
      <c r="A213" s="11"/>
      <c r="B213" s="88"/>
      <c r="C213" s="25"/>
      <c r="D213" s="25"/>
    </row>
    <row r="214">
      <c r="A214" s="11"/>
      <c r="B214" s="88"/>
      <c r="C214" s="25"/>
      <c r="D214" s="25"/>
    </row>
    <row r="215">
      <c r="A215" s="11"/>
      <c r="B215" s="88"/>
      <c r="C215" s="25"/>
      <c r="D215" s="25"/>
    </row>
    <row r="216">
      <c r="A216" s="11"/>
      <c r="B216" s="88"/>
      <c r="C216" s="25"/>
      <c r="D216" s="25"/>
    </row>
    <row r="217">
      <c r="A217" s="11"/>
      <c r="B217" s="88"/>
      <c r="C217" s="25"/>
      <c r="D217" s="25"/>
    </row>
    <row r="218">
      <c r="A218" s="11"/>
      <c r="B218" s="88"/>
      <c r="C218" s="25"/>
      <c r="D218" s="25"/>
    </row>
    <row r="219">
      <c r="A219" s="11"/>
      <c r="B219" s="88"/>
      <c r="C219" s="25"/>
      <c r="D219" s="25"/>
    </row>
    <row r="220">
      <c r="A220" s="11"/>
      <c r="B220" s="88"/>
      <c r="C220" s="25"/>
      <c r="D220" s="25"/>
    </row>
    <row r="221">
      <c r="A221" s="11"/>
      <c r="B221" s="88"/>
      <c r="C221" s="25"/>
      <c r="D221" s="25"/>
    </row>
    <row r="222">
      <c r="A222" s="11"/>
      <c r="B222" s="88"/>
      <c r="C222" s="25"/>
      <c r="D222" s="25"/>
    </row>
    <row r="223">
      <c r="A223" s="11"/>
      <c r="B223" s="88"/>
      <c r="C223" s="25"/>
      <c r="D223" s="25"/>
    </row>
    <row r="224">
      <c r="A224" s="11"/>
      <c r="B224" s="88"/>
      <c r="C224" s="25"/>
      <c r="D224" s="25"/>
    </row>
    <row r="225">
      <c r="A225" s="11"/>
      <c r="B225" s="88"/>
      <c r="C225" s="25"/>
      <c r="D225" s="25"/>
    </row>
    <row r="226">
      <c r="A226" s="11"/>
      <c r="B226" s="88"/>
      <c r="C226" s="25"/>
      <c r="D226" s="25"/>
    </row>
    <row r="227">
      <c r="A227" s="11"/>
      <c r="B227" s="88"/>
      <c r="C227" s="25"/>
      <c r="D227" s="25"/>
    </row>
    <row r="228">
      <c r="A228" s="11"/>
      <c r="B228" s="88"/>
      <c r="C228" s="25"/>
      <c r="D228" s="25"/>
    </row>
    <row r="229">
      <c r="A229" s="11"/>
      <c r="B229" s="88"/>
      <c r="C229" s="25"/>
      <c r="D229" s="25"/>
    </row>
    <row r="230">
      <c r="A230" s="11"/>
      <c r="B230" s="88"/>
      <c r="C230" s="25"/>
      <c r="D230" s="25"/>
    </row>
    <row r="231">
      <c r="A231" s="11"/>
      <c r="B231" s="88"/>
      <c r="C231" s="25"/>
      <c r="D231" s="25"/>
    </row>
    <row r="232">
      <c r="A232" s="11"/>
      <c r="B232" s="88"/>
      <c r="C232" s="25"/>
      <c r="D232" s="25"/>
    </row>
    <row r="233">
      <c r="A233" s="11"/>
      <c r="B233" s="88"/>
      <c r="C233" s="25"/>
      <c r="D233" s="25"/>
    </row>
    <row r="234">
      <c r="A234" s="11"/>
      <c r="B234" s="88"/>
      <c r="C234" s="25"/>
      <c r="D234" s="25"/>
    </row>
    <row r="235">
      <c r="A235" s="11"/>
      <c r="B235" s="88"/>
      <c r="C235" s="25"/>
      <c r="D235" s="25"/>
    </row>
    <row r="236">
      <c r="A236" s="11"/>
      <c r="B236" s="88"/>
      <c r="C236" s="25"/>
      <c r="D236" s="25"/>
    </row>
    <row r="237">
      <c r="A237" s="11"/>
      <c r="B237" s="88"/>
      <c r="C237" s="25"/>
      <c r="D237" s="25"/>
    </row>
    <row r="238">
      <c r="A238" s="11"/>
      <c r="B238" s="88"/>
      <c r="C238" s="25"/>
      <c r="D238" s="25"/>
    </row>
    <row r="239">
      <c r="A239" s="11"/>
      <c r="B239" s="88"/>
      <c r="C239" s="25"/>
      <c r="D239" s="25"/>
    </row>
    <row r="240">
      <c r="A240" s="11"/>
      <c r="B240" s="88"/>
      <c r="C240" s="25"/>
      <c r="D240" s="25"/>
    </row>
    <row r="241">
      <c r="A241" s="11"/>
      <c r="B241" s="88"/>
      <c r="C241" s="25"/>
      <c r="D241" s="25"/>
    </row>
    <row r="242">
      <c r="A242" s="11"/>
      <c r="B242" s="88"/>
      <c r="C242" s="25"/>
      <c r="D242" s="25"/>
    </row>
    <row r="243">
      <c r="A243" s="11"/>
      <c r="B243" s="88"/>
      <c r="C243" s="25"/>
      <c r="D243" s="25"/>
    </row>
    <row r="244">
      <c r="A244" s="11"/>
      <c r="B244" s="88"/>
      <c r="C244" s="25"/>
      <c r="D244" s="25"/>
    </row>
    <row r="245">
      <c r="A245" s="11"/>
      <c r="B245" s="88"/>
      <c r="C245" s="25"/>
      <c r="D245" s="25"/>
    </row>
    <row r="246">
      <c r="A246" s="11"/>
      <c r="B246" s="88"/>
      <c r="C246" s="25"/>
      <c r="D246" s="25"/>
    </row>
    <row r="247">
      <c r="A247" s="11"/>
      <c r="B247" s="88"/>
      <c r="C247" s="25"/>
      <c r="D247" s="25"/>
    </row>
    <row r="248">
      <c r="A248" s="11"/>
      <c r="B248" s="88"/>
      <c r="C248" s="25"/>
      <c r="D248" s="25"/>
    </row>
    <row r="249">
      <c r="A249" s="11"/>
      <c r="B249" s="88"/>
      <c r="C249" s="25"/>
      <c r="D249" s="25"/>
    </row>
    <row r="250">
      <c r="A250" s="11"/>
      <c r="B250" s="88"/>
      <c r="C250" s="25"/>
      <c r="D250" s="25"/>
    </row>
    <row r="251">
      <c r="A251" s="11"/>
      <c r="B251" s="88"/>
      <c r="C251" s="25"/>
      <c r="D251" s="25"/>
    </row>
    <row r="252">
      <c r="A252" s="11"/>
      <c r="B252" s="88"/>
      <c r="C252" s="25"/>
      <c r="D252" s="25"/>
    </row>
    <row r="253">
      <c r="A253" s="11"/>
      <c r="B253" s="88"/>
      <c r="C253" s="25"/>
      <c r="D253" s="25"/>
    </row>
    <row r="254">
      <c r="A254" s="11"/>
      <c r="B254" s="88"/>
      <c r="C254" s="25"/>
      <c r="D254" s="25"/>
    </row>
    <row r="255">
      <c r="A255" s="11"/>
      <c r="B255" s="88"/>
      <c r="C255" s="25"/>
      <c r="D255" s="25"/>
    </row>
    <row r="256">
      <c r="A256" s="11"/>
      <c r="B256" s="88"/>
      <c r="C256" s="25"/>
      <c r="D256" s="25"/>
    </row>
    <row r="257">
      <c r="A257" s="11"/>
      <c r="B257" s="88"/>
      <c r="C257" s="25"/>
      <c r="D257" s="25"/>
    </row>
    <row r="258">
      <c r="A258" s="11"/>
      <c r="B258" s="88"/>
      <c r="C258" s="25"/>
      <c r="D258" s="25"/>
    </row>
    <row r="259">
      <c r="A259" s="11"/>
      <c r="B259" s="88"/>
      <c r="C259" s="25"/>
      <c r="D259" s="25"/>
    </row>
    <row r="260">
      <c r="A260" s="11"/>
      <c r="B260" s="88"/>
      <c r="C260" s="25"/>
      <c r="D260" s="25"/>
    </row>
    <row r="261">
      <c r="A261" s="11"/>
      <c r="B261" s="88"/>
      <c r="C261" s="25"/>
      <c r="D261" s="25"/>
    </row>
    <row r="262">
      <c r="A262" s="11"/>
      <c r="B262" s="88"/>
      <c r="C262" s="25"/>
      <c r="D262" s="25"/>
    </row>
    <row r="263">
      <c r="A263" s="11"/>
      <c r="B263" s="88"/>
      <c r="C263" s="25"/>
      <c r="D263" s="25"/>
    </row>
    <row r="264">
      <c r="A264" s="11"/>
      <c r="B264" s="88"/>
      <c r="C264" s="25"/>
      <c r="D264" s="25"/>
    </row>
    <row r="265">
      <c r="A265" s="11"/>
      <c r="B265" s="88"/>
      <c r="C265" s="25"/>
      <c r="D265" s="25"/>
    </row>
    <row r="266">
      <c r="A266" s="11"/>
      <c r="B266" s="88"/>
      <c r="C266" s="25"/>
      <c r="D266" s="25"/>
    </row>
    <row r="267">
      <c r="A267" s="11"/>
      <c r="B267" s="88"/>
      <c r="C267" s="25"/>
      <c r="D267" s="25"/>
    </row>
    <row r="268">
      <c r="A268" s="11"/>
      <c r="B268" s="88"/>
      <c r="C268" s="25"/>
      <c r="D268" s="25"/>
    </row>
    <row r="269">
      <c r="A269" s="11"/>
      <c r="B269" s="88"/>
      <c r="C269" s="25"/>
      <c r="D269" s="25"/>
    </row>
    <row r="270">
      <c r="A270" s="11"/>
      <c r="B270" s="88"/>
      <c r="C270" s="25"/>
      <c r="D270" s="25"/>
    </row>
    <row r="271">
      <c r="A271" s="11"/>
      <c r="B271" s="88"/>
      <c r="C271" s="25"/>
      <c r="D271" s="25"/>
    </row>
    <row r="272">
      <c r="A272" s="11"/>
      <c r="B272" s="88"/>
      <c r="C272" s="25"/>
      <c r="D272" s="25"/>
    </row>
    <row r="273">
      <c r="A273" s="11"/>
      <c r="B273" s="88"/>
      <c r="C273" s="25"/>
      <c r="D273" s="25"/>
    </row>
    <row r="274">
      <c r="A274" s="11"/>
      <c r="B274" s="88"/>
      <c r="C274" s="25"/>
      <c r="D274" s="25"/>
    </row>
    <row r="275">
      <c r="A275" s="11"/>
      <c r="B275" s="88"/>
      <c r="C275" s="25"/>
      <c r="D275" s="25"/>
    </row>
    <row r="276">
      <c r="A276" s="11"/>
      <c r="B276" s="88"/>
      <c r="C276" s="25"/>
      <c r="D276" s="25"/>
    </row>
    <row r="277">
      <c r="A277" s="11"/>
      <c r="B277" s="88"/>
      <c r="C277" s="25"/>
      <c r="D277" s="25"/>
    </row>
    <row r="278">
      <c r="A278" s="11"/>
      <c r="B278" s="88"/>
      <c r="C278" s="25"/>
      <c r="D278" s="25"/>
    </row>
    <row r="279">
      <c r="A279" s="11"/>
      <c r="B279" s="88"/>
      <c r="C279" s="25"/>
      <c r="D279" s="25"/>
    </row>
    <row r="280">
      <c r="A280" s="11"/>
      <c r="B280" s="88"/>
      <c r="C280" s="25"/>
      <c r="D280" s="25"/>
    </row>
    <row r="281">
      <c r="A281" s="11"/>
      <c r="B281" s="88"/>
      <c r="C281" s="25"/>
      <c r="D281" s="25"/>
    </row>
    <row r="282">
      <c r="A282" s="11"/>
      <c r="B282" s="88"/>
      <c r="C282" s="25"/>
      <c r="D282" s="25"/>
    </row>
    <row r="283">
      <c r="A283" s="11"/>
      <c r="B283" s="88"/>
      <c r="C283" s="25"/>
      <c r="D283" s="25"/>
    </row>
    <row r="284">
      <c r="A284" s="11"/>
      <c r="B284" s="88"/>
      <c r="C284" s="25"/>
      <c r="D284" s="25"/>
    </row>
    <row r="285">
      <c r="A285" s="11"/>
      <c r="B285" s="88"/>
      <c r="C285" s="25"/>
      <c r="D285" s="25"/>
    </row>
    <row r="286">
      <c r="A286" s="11"/>
      <c r="B286" s="88"/>
      <c r="C286" s="25"/>
      <c r="D286" s="25"/>
    </row>
    <row r="287">
      <c r="A287" s="11"/>
      <c r="B287" s="88"/>
      <c r="C287" s="25"/>
      <c r="D287" s="25"/>
    </row>
    <row r="288">
      <c r="A288" s="11"/>
      <c r="B288" s="88"/>
      <c r="C288" s="25"/>
      <c r="D288" s="25"/>
    </row>
    <row r="289">
      <c r="A289" s="11"/>
      <c r="B289" s="88"/>
      <c r="C289" s="25"/>
      <c r="D289" s="25"/>
    </row>
    <row r="290">
      <c r="A290" s="11"/>
      <c r="B290" s="88"/>
      <c r="C290" s="25"/>
      <c r="D290" s="25"/>
    </row>
    <row r="291">
      <c r="A291" s="11"/>
      <c r="B291" s="88"/>
      <c r="C291" s="25"/>
      <c r="D291" s="25"/>
    </row>
    <row r="292">
      <c r="A292" s="11"/>
      <c r="B292" s="88"/>
      <c r="C292" s="25"/>
      <c r="D292" s="25"/>
    </row>
    <row r="293">
      <c r="A293" s="11"/>
      <c r="B293" s="88"/>
      <c r="C293" s="25"/>
      <c r="D293" s="25"/>
    </row>
    <row r="294">
      <c r="A294" s="11"/>
      <c r="B294" s="88"/>
      <c r="C294" s="25"/>
      <c r="D294" s="25"/>
    </row>
    <row r="295">
      <c r="A295" s="11"/>
      <c r="B295" s="88"/>
      <c r="C295" s="25"/>
      <c r="D295" s="25"/>
    </row>
    <row r="296">
      <c r="A296" s="11"/>
      <c r="B296" s="88"/>
      <c r="C296" s="25"/>
      <c r="D296" s="25"/>
    </row>
    <row r="297">
      <c r="A297" s="11"/>
      <c r="B297" s="88"/>
      <c r="C297" s="25"/>
      <c r="D297" s="25"/>
    </row>
    <row r="298">
      <c r="A298" s="11"/>
      <c r="B298" s="88"/>
      <c r="C298" s="25"/>
      <c r="D298" s="25"/>
    </row>
    <row r="299">
      <c r="A299" s="11"/>
      <c r="B299" s="88"/>
      <c r="C299" s="25"/>
      <c r="D299" s="25"/>
    </row>
    <row r="300">
      <c r="A300" s="11"/>
      <c r="B300" s="88"/>
      <c r="C300" s="25"/>
      <c r="D300" s="25"/>
    </row>
    <row r="301">
      <c r="A301" s="11"/>
      <c r="B301" s="88"/>
      <c r="C301" s="25"/>
      <c r="D301" s="25"/>
    </row>
    <row r="302">
      <c r="A302" s="11"/>
      <c r="B302" s="88"/>
      <c r="C302" s="25"/>
      <c r="D302" s="25"/>
    </row>
    <row r="303">
      <c r="A303" s="11"/>
      <c r="B303" s="88"/>
      <c r="C303" s="25"/>
      <c r="D303" s="25"/>
    </row>
    <row r="304">
      <c r="A304" s="11"/>
      <c r="B304" s="88"/>
      <c r="C304" s="25"/>
      <c r="D304" s="25"/>
    </row>
    <row r="305">
      <c r="A305" s="11"/>
      <c r="B305" s="88"/>
      <c r="C305" s="25"/>
      <c r="D305" s="25"/>
    </row>
    <row r="306">
      <c r="A306" s="11"/>
      <c r="B306" s="88"/>
      <c r="C306" s="25"/>
      <c r="D306" s="25"/>
    </row>
    <row r="307">
      <c r="A307" s="11"/>
      <c r="B307" s="88"/>
      <c r="C307" s="25"/>
      <c r="D307" s="25"/>
    </row>
    <row r="308">
      <c r="A308" s="11"/>
      <c r="B308" s="88"/>
      <c r="C308" s="25"/>
      <c r="D308" s="25"/>
    </row>
    <row r="309">
      <c r="A309" s="11"/>
      <c r="B309" s="88"/>
      <c r="C309" s="25"/>
      <c r="D309" s="25"/>
    </row>
    <row r="310">
      <c r="A310" s="11"/>
      <c r="B310" s="88"/>
      <c r="C310" s="25"/>
      <c r="D310" s="25"/>
    </row>
    <row r="311">
      <c r="A311" s="11"/>
      <c r="B311" s="88"/>
      <c r="C311" s="25"/>
      <c r="D311" s="25"/>
    </row>
    <row r="312">
      <c r="A312" s="11"/>
      <c r="B312" s="88"/>
      <c r="C312" s="25"/>
      <c r="D312" s="25"/>
    </row>
    <row r="313">
      <c r="A313" s="11"/>
      <c r="B313" s="88"/>
      <c r="C313" s="25"/>
      <c r="D313" s="25"/>
    </row>
    <row r="314">
      <c r="A314" s="11"/>
      <c r="B314" s="88"/>
      <c r="C314" s="25"/>
      <c r="D314" s="25"/>
    </row>
    <row r="315">
      <c r="A315" s="11"/>
      <c r="B315" s="88"/>
      <c r="C315" s="25"/>
      <c r="D315" s="25"/>
    </row>
    <row r="316">
      <c r="A316" s="11"/>
      <c r="B316" s="88"/>
      <c r="C316" s="25"/>
      <c r="D316" s="25"/>
    </row>
    <row r="317">
      <c r="A317" s="11"/>
      <c r="B317" s="88"/>
      <c r="C317" s="25"/>
      <c r="D317" s="25"/>
    </row>
    <row r="318">
      <c r="A318" s="11"/>
      <c r="B318" s="88"/>
      <c r="C318" s="25"/>
      <c r="D318" s="25"/>
    </row>
    <row r="319">
      <c r="A319" s="11"/>
      <c r="B319" s="88"/>
      <c r="C319" s="25"/>
      <c r="D319" s="25"/>
    </row>
    <row r="320">
      <c r="A320" s="11"/>
      <c r="B320" s="88"/>
      <c r="C320" s="25"/>
      <c r="D320" s="25"/>
    </row>
    <row r="321">
      <c r="A321" s="11"/>
      <c r="B321" s="88"/>
      <c r="C321" s="25"/>
      <c r="D321" s="25"/>
    </row>
    <row r="322">
      <c r="A322" s="11"/>
      <c r="B322" s="88"/>
      <c r="C322" s="25"/>
      <c r="D322" s="25"/>
    </row>
    <row r="323">
      <c r="A323" s="11"/>
      <c r="B323" s="88"/>
      <c r="C323" s="25"/>
      <c r="D323" s="25"/>
    </row>
    <row r="324">
      <c r="A324" s="11"/>
      <c r="B324" s="88"/>
      <c r="C324" s="25"/>
      <c r="D324" s="25"/>
    </row>
    <row r="325">
      <c r="A325" s="11"/>
      <c r="B325" s="88"/>
      <c r="C325" s="25"/>
      <c r="D325" s="25"/>
    </row>
    <row r="326">
      <c r="A326" s="11"/>
      <c r="B326" s="88"/>
      <c r="C326" s="25"/>
      <c r="D326" s="25"/>
    </row>
    <row r="327">
      <c r="A327" s="11"/>
      <c r="B327" s="88"/>
      <c r="C327" s="25"/>
      <c r="D327" s="25"/>
    </row>
    <row r="328">
      <c r="A328" s="11"/>
      <c r="B328" s="88"/>
      <c r="C328" s="25"/>
      <c r="D328" s="25"/>
    </row>
    <row r="329">
      <c r="A329" s="11"/>
      <c r="B329" s="88"/>
      <c r="C329" s="25"/>
      <c r="D329" s="25"/>
    </row>
    <row r="330">
      <c r="A330" s="11"/>
      <c r="B330" s="88"/>
      <c r="C330" s="25"/>
      <c r="D330" s="25"/>
    </row>
    <row r="331">
      <c r="A331" s="11"/>
      <c r="B331" s="88"/>
      <c r="C331" s="25"/>
      <c r="D331" s="25"/>
    </row>
    <row r="332">
      <c r="A332" s="11"/>
      <c r="B332" s="88"/>
      <c r="C332" s="25"/>
      <c r="D332" s="25"/>
    </row>
    <row r="333">
      <c r="A333" s="11"/>
      <c r="B333" s="88"/>
      <c r="C333" s="25"/>
      <c r="D333" s="25"/>
    </row>
    <row r="334">
      <c r="A334" s="11"/>
      <c r="B334" s="88"/>
      <c r="C334" s="25"/>
      <c r="D334" s="25"/>
    </row>
    <row r="335">
      <c r="A335" s="11"/>
      <c r="B335" s="88"/>
      <c r="C335" s="25"/>
      <c r="D335" s="25"/>
    </row>
    <row r="336">
      <c r="A336" s="11"/>
      <c r="B336" s="88"/>
      <c r="C336" s="25"/>
      <c r="D336" s="25"/>
    </row>
    <row r="337">
      <c r="A337" s="11"/>
      <c r="B337" s="88"/>
      <c r="C337" s="25"/>
      <c r="D337" s="25"/>
    </row>
    <row r="338">
      <c r="A338" s="11"/>
      <c r="B338" s="88"/>
      <c r="C338" s="25"/>
      <c r="D338" s="25"/>
    </row>
    <row r="339">
      <c r="A339" s="11"/>
      <c r="B339" s="88"/>
      <c r="C339" s="25"/>
      <c r="D339" s="25"/>
    </row>
    <row r="340">
      <c r="A340" s="11"/>
      <c r="B340" s="88"/>
      <c r="C340" s="25"/>
      <c r="D340" s="25"/>
    </row>
    <row r="341">
      <c r="A341" s="11"/>
      <c r="B341" s="88"/>
      <c r="C341" s="25"/>
      <c r="D341" s="25"/>
    </row>
    <row r="342">
      <c r="A342" s="11"/>
      <c r="B342" s="88"/>
      <c r="C342" s="25"/>
      <c r="D342" s="25"/>
    </row>
    <row r="343">
      <c r="A343" s="11"/>
      <c r="B343" s="88"/>
      <c r="C343" s="25"/>
      <c r="D343" s="25"/>
    </row>
    <row r="344">
      <c r="A344" s="11"/>
      <c r="B344" s="88"/>
      <c r="C344" s="25"/>
      <c r="D344" s="25"/>
    </row>
    <row r="345">
      <c r="A345" s="11"/>
      <c r="B345" s="88"/>
      <c r="C345" s="25"/>
      <c r="D345" s="25"/>
    </row>
    <row r="346">
      <c r="A346" s="11"/>
      <c r="B346" s="88"/>
      <c r="C346" s="25"/>
      <c r="D346" s="25"/>
    </row>
    <row r="347">
      <c r="A347" s="11"/>
      <c r="B347" s="88"/>
      <c r="C347" s="25"/>
      <c r="D347" s="25"/>
    </row>
    <row r="348">
      <c r="A348" s="11"/>
      <c r="B348" s="88"/>
      <c r="C348" s="25"/>
      <c r="D348" s="25"/>
    </row>
    <row r="349">
      <c r="A349" s="11"/>
      <c r="B349" s="88"/>
      <c r="C349" s="25"/>
      <c r="D349" s="25"/>
    </row>
    <row r="350">
      <c r="A350" s="11"/>
      <c r="B350" s="88"/>
      <c r="C350" s="25"/>
      <c r="D350" s="25"/>
    </row>
    <row r="351">
      <c r="A351" s="11"/>
      <c r="B351" s="88"/>
      <c r="C351" s="25"/>
      <c r="D351" s="25"/>
    </row>
    <row r="352">
      <c r="A352" s="11"/>
      <c r="B352" s="88"/>
      <c r="C352" s="25"/>
      <c r="D352" s="25"/>
    </row>
    <row r="353">
      <c r="A353" s="11"/>
      <c r="B353" s="88"/>
      <c r="C353" s="25"/>
      <c r="D353" s="25"/>
    </row>
    <row r="354">
      <c r="A354" s="11"/>
      <c r="B354" s="88"/>
      <c r="C354" s="25"/>
      <c r="D354" s="25"/>
    </row>
    <row r="355">
      <c r="A355" s="11"/>
      <c r="B355" s="88"/>
      <c r="C355" s="25"/>
      <c r="D355" s="25"/>
    </row>
    <row r="356">
      <c r="A356" s="11"/>
      <c r="B356" s="88"/>
      <c r="C356" s="25"/>
      <c r="D356" s="25"/>
    </row>
    <row r="357">
      <c r="A357" s="11"/>
      <c r="B357" s="88"/>
      <c r="C357" s="25"/>
      <c r="D357" s="25"/>
    </row>
    <row r="358">
      <c r="A358" s="11"/>
      <c r="B358" s="88"/>
      <c r="C358" s="25"/>
      <c r="D358" s="25"/>
    </row>
    <row r="359">
      <c r="A359" s="11"/>
      <c r="B359" s="88"/>
      <c r="C359" s="25"/>
      <c r="D359" s="25"/>
    </row>
    <row r="360">
      <c r="A360" s="11"/>
      <c r="B360" s="88"/>
      <c r="C360" s="25"/>
      <c r="D360" s="25"/>
    </row>
    <row r="361">
      <c r="A361" s="11"/>
      <c r="B361" s="88"/>
      <c r="C361" s="25"/>
      <c r="D361" s="25"/>
    </row>
    <row r="362">
      <c r="A362" s="11"/>
      <c r="B362" s="88"/>
      <c r="C362" s="25"/>
      <c r="D362" s="25"/>
    </row>
    <row r="363">
      <c r="A363" s="11"/>
      <c r="B363" s="88"/>
      <c r="C363" s="25"/>
      <c r="D363" s="25"/>
    </row>
    <row r="364">
      <c r="A364" s="11"/>
      <c r="B364" s="88"/>
      <c r="C364" s="25"/>
      <c r="D364" s="25"/>
    </row>
    <row r="365">
      <c r="A365" s="11"/>
      <c r="B365" s="88"/>
      <c r="C365" s="25"/>
      <c r="D365" s="25"/>
    </row>
    <row r="366">
      <c r="A366" s="11"/>
      <c r="B366" s="88"/>
      <c r="C366" s="25"/>
      <c r="D366" s="25"/>
    </row>
    <row r="367">
      <c r="A367" s="11"/>
      <c r="B367" s="88"/>
      <c r="C367" s="25"/>
      <c r="D367" s="25"/>
    </row>
    <row r="368">
      <c r="A368" s="11"/>
      <c r="B368" s="88"/>
      <c r="C368" s="25"/>
      <c r="D368" s="25"/>
    </row>
    <row r="369">
      <c r="A369" s="11"/>
      <c r="B369" s="88"/>
      <c r="C369" s="25"/>
      <c r="D369" s="25"/>
    </row>
    <row r="370">
      <c r="A370" s="11"/>
      <c r="B370" s="88"/>
      <c r="C370" s="25"/>
      <c r="D370" s="25"/>
    </row>
    <row r="371">
      <c r="A371" s="11"/>
      <c r="B371" s="88"/>
      <c r="C371" s="25"/>
      <c r="D371" s="25"/>
    </row>
    <row r="372">
      <c r="A372" s="11"/>
      <c r="B372" s="88"/>
      <c r="C372" s="25"/>
      <c r="D372" s="25"/>
    </row>
    <row r="373">
      <c r="A373" s="11"/>
      <c r="B373" s="88"/>
      <c r="C373" s="25"/>
      <c r="D373" s="25"/>
    </row>
    <row r="374">
      <c r="A374" s="11"/>
      <c r="B374" s="88"/>
      <c r="C374" s="25"/>
      <c r="D374" s="25"/>
    </row>
    <row r="375">
      <c r="A375" s="11"/>
      <c r="B375" s="88"/>
      <c r="C375" s="25"/>
      <c r="D375" s="25"/>
    </row>
    <row r="376">
      <c r="A376" s="11"/>
      <c r="B376" s="88"/>
      <c r="C376" s="25"/>
      <c r="D376" s="25"/>
    </row>
    <row r="377">
      <c r="A377" s="11"/>
      <c r="B377" s="88"/>
      <c r="C377" s="25"/>
      <c r="D377" s="25"/>
    </row>
    <row r="378">
      <c r="A378" s="11"/>
      <c r="B378" s="88"/>
      <c r="C378" s="25"/>
      <c r="D378" s="25"/>
    </row>
    <row r="379">
      <c r="A379" s="11"/>
      <c r="B379" s="88"/>
      <c r="C379" s="25"/>
      <c r="D379" s="25"/>
    </row>
    <row r="380">
      <c r="A380" s="11"/>
      <c r="B380" s="88"/>
      <c r="C380" s="25"/>
      <c r="D380" s="25"/>
    </row>
    <row r="381">
      <c r="A381" s="11"/>
      <c r="B381" s="88"/>
      <c r="C381" s="25"/>
      <c r="D381" s="25"/>
    </row>
    <row r="382">
      <c r="A382" s="11"/>
      <c r="B382" s="88"/>
      <c r="C382" s="25"/>
      <c r="D382" s="25"/>
    </row>
    <row r="383">
      <c r="A383" s="11"/>
      <c r="B383" s="88"/>
      <c r="C383" s="25"/>
      <c r="D383" s="25"/>
    </row>
    <row r="384">
      <c r="A384" s="11"/>
      <c r="B384" s="88"/>
      <c r="C384" s="25"/>
      <c r="D384" s="25"/>
    </row>
    <row r="385">
      <c r="A385" s="11"/>
      <c r="B385" s="88"/>
      <c r="C385" s="25"/>
      <c r="D385" s="25"/>
    </row>
    <row r="386">
      <c r="A386" s="11"/>
      <c r="B386" s="88"/>
      <c r="C386" s="25"/>
      <c r="D386" s="25"/>
    </row>
    <row r="387">
      <c r="A387" s="11"/>
      <c r="B387" s="88"/>
      <c r="C387" s="25"/>
      <c r="D387" s="25"/>
    </row>
    <row r="388">
      <c r="A388" s="11"/>
      <c r="B388" s="88"/>
      <c r="C388" s="25"/>
      <c r="D388" s="25"/>
    </row>
    <row r="389">
      <c r="A389" s="11"/>
      <c r="B389" s="88"/>
      <c r="C389" s="25"/>
      <c r="D389" s="25"/>
    </row>
    <row r="390">
      <c r="A390" s="11"/>
      <c r="B390" s="88"/>
      <c r="C390" s="25"/>
      <c r="D390" s="25"/>
    </row>
    <row r="391">
      <c r="A391" s="11"/>
      <c r="B391" s="88"/>
      <c r="C391" s="25"/>
      <c r="D391" s="25"/>
    </row>
    <row r="392">
      <c r="A392" s="11"/>
      <c r="B392" s="88"/>
      <c r="C392" s="25"/>
      <c r="D392" s="25"/>
    </row>
    <row r="393">
      <c r="A393" s="11"/>
      <c r="B393" s="88"/>
      <c r="C393" s="25"/>
      <c r="D393" s="25"/>
    </row>
    <row r="394">
      <c r="A394" s="11"/>
      <c r="B394" s="88"/>
      <c r="C394" s="25"/>
      <c r="D394" s="25"/>
    </row>
    <row r="395">
      <c r="A395" s="11"/>
      <c r="B395" s="88"/>
      <c r="C395" s="25"/>
      <c r="D395" s="25"/>
    </row>
    <row r="396">
      <c r="A396" s="11"/>
      <c r="B396" s="88"/>
      <c r="C396" s="25"/>
      <c r="D396" s="25"/>
    </row>
    <row r="397">
      <c r="A397" s="11"/>
      <c r="B397" s="88"/>
      <c r="C397" s="25"/>
      <c r="D397" s="25"/>
    </row>
    <row r="398">
      <c r="A398" s="11"/>
      <c r="B398" s="88"/>
      <c r="C398" s="25"/>
      <c r="D398" s="25"/>
    </row>
    <row r="399">
      <c r="A399" s="11"/>
      <c r="B399" s="88"/>
      <c r="C399" s="25"/>
      <c r="D399" s="25"/>
    </row>
    <row r="400">
      <c r="A400" s="11"/>
      <c r="B400" s="88"/>
      <c r="C400" s="25"/>
      <c r="D400" s="25"/>
    </row>
    <row r="401">
      <c r="A401" s="11"/>
      <c r="B401" s="88"/>
      <c r="C401" s="25"/>
      <c r="D401" s="25"/>
    </row>
    <row r="402">
      <c r="A402" s="11"/>
      <c r="B402" s="88"/>
      <c r="C402" s="25"/>
      <c r="D402" s="25"/>
    </row>
    <row r="403">
      <c r="A403" s="11"/>
      <c r="B403" s="88"/>
      <c r="C403" s="25"/>
      <c r="D403" s="25"/>
    </row>
    <row r="404">
      <c r="A404" s="11"/>
      <c r="B404" s="88"/>
      <c r="C404" s="25"/>
      <c r="D404" s="25"/>
    </row>
    <row r="405">
      <c r="A405" s="11"/>
      <c r="B405" s="88"/>
      <c r="C405" s="25"/>
      <c r="D405" s="25"/>
    </row>
    <row r="406">
      <c r="A406" s="11"/>
      <c r="B406" s="88"/>
      <c r="C406" s="25"/>
      <c r="D406" s="25"/>
    </row>
    <row r="407">
      <c r="A407" s="11"/>
      <c r="B407" s="88"/>
      <c r="C407" s="25"/>
      <c r="D407" s="25"/>
    </row>
    <row r="408">
      <c r="A408" s="11"/>
      <c r="B408" s="88"/>
      <c r="C408" s="25"/>
      <c r="D408" s="25"/>
    </row>
    <row r="409">
      <c r="A409" s="11"/>
      <c r="B409" s="88"/>
      <c r="C409" s="25"/>
      <c r="D409" s="25"/>
    </row>
    <row r="410">
      <c r="A410" s="11"/>
      <c r="B410" s="88"/>
      <c r="C410" s="25"/>
      <c r="D410" s="25"/>
    </row>
    <row r="411">
      <c r="A411" s="11"/>
      <c r="B411" s="88"/>
      <c r="C411" s="25"/>
      <c r="D411" s="25"/>
    </row>
    <row r="412">
      <c r="A412" s="11"/>
      <c r="B412" s="88"/>
      <c r="C412" s="25"/>
      <c r="D412" s="25"/>
    </row>
    <row r="413">
      <c r="A413" s="11"/>
      <c r="B413" s="88"/>
      <c r="C413" s="25"/>
      <c r="D413" s="25"/>
    </row>
    <row r="414">
      <c r="A414" s="11"/>
      <c r="B414" s="88"/>
      <c r="C414" s="25"/>
      <c r="D414" s="25"/>
    </row>
    <row r="415">
      <c r="A415" s="11"/>
      <c r="B415" s="88"/>
      <c r="C415" s="25"/>
      <c r="D415" s="25"/>
    </row>
    <row r="416">
      <c r="A416" s="11"/>
      <c r="B416" s="88"/>
      <c r="C416" s="25"/>
      <c r="D416" s="25"/>
    </row>
    <row r="417">
      <c r="A417" s="11"/>
      <c r="B417" s="88"/>
      <c r="C417" s="25"/>
      <c r="D417" s="25"/>
    </row>
    <row r="418">
      <c r="A418" s="11"/>
      <c r="B418" s="88"/>
      <c r="C418" s="25"/>
      <c r="D418" s="25"/>
    </row>
    <row r="419">
      <c r="A419" s="11"/>
      <c r="B419" s="88"/>
      <c r="C419" s="25"/>
      <c r="D419" s="25"/>
    </row>
    <row r="420">
      <c r="A420" s="11"/>
      <c r="B420" s="88"/>
      <c r="C420" s="25"/>
      <c r="D420" s="25"/>
    </row>
    <row r="421">
      <c r="A421" s="11"/>
      <c r="B421" s="88"/>
      <c r="C421" s="25"/>
      <c r="D421" s="25"/>
    </row>
    <row r="422">
      <c r="A422" s="11"/>
      <c r="B422" s="88"/>
      <c r="C422" s="25"/>
      <c r="D422" s="25"/>
    </row>
    <row r="423">
      <c r="A423" s="11"/>
      <c r="B423" s="88"/>
      <c r="C423" s="25"/>
      <c r="D423" s="25"/>
    </row>
    <row r="424">
      <c r="A424" s="11"/>
      <c r="B424" s="88"/>
      <c r="C424" s="25"/>
      <c r="D424" s="25"/>
    </row>
    <row r="425">
      <c r="A425" s="11"/>
      <c r="B425" s="88"/>
      <c r="C425" s="25"/>
      <c r="D425" s="25"/>
    </row>
    <row r="426">
      <c r="A426" s="11"/>
      <c r="B426" s="88"/>
      <c r="C426" s="25"/>
      <c r="D426" s="25"/>
    </row>
    <row r="427">
      <c r="A427" s="11"/>
      <c r="B427" s="88"/>
      <c r="C427" s="25"/>
      <c r="D427" s="25"/>
    </row>
    <row r="428">
      <c r="A428" s="11"/>
      <c r="B428" s="88"/>
      <c r="C428" s="25"/>
      <c r="D428" s="25"/>
    </row>
    <row r="429">
      <c r="A429" s="11"/>
      <c r="B429" s="88"/>
      <c r="C429" s="25"/>
      <c r="D429" s="25"/>
    </row>
    <row r="430">
      <c r="A430" s="11"/>
      <c r="B430" s="88"/>
      <c r="C430" s="25"/>
      <c r="D430" s="25"/>
    </row>
    <row r="431">
      <c r="A431" s="11"/>
      <c r="B431" s="88"/>
      <c r="C431" s="25"/>
      <c r="D431" s="25"/>
    </row>
    <row r="432">
      <c r="A432" s="11"/>
      <c r="B432" s="88"/>
      <c r="C432" s="25"/>
      <c r="D432" s="25"/>
    </row>
    <row r="433">
      <c r="A433" s="11"/>
      <c r="B433" s="88"/>
      <c r="C433" s="25"/>
      <c r="D433" s="25"/>
    </row>
    <row r="434">
      <c r="A434" s="11"/>
      <c r="B434" s="88"/>
      <c r="C434" s="25"/>
      <c r="D434" s="25"/>
    </row>
    <row r="435">
      <c r="A435" s="11"/>
      <c r="B435" s="88"/>
      <c r="C435" s="25"/>
      <c r="D435" s="25"/>
    </row>
    <row r="436">
      <c r="A436" s="11"/>
      <c r="B436" s="88"/>
      <c r="C436" s="25"/>
      <c r="D436" s="25"/>
    </row>
    <row r="437">
      <c r="A437" s="11"/>
      <c r="B437" s="88"/>
      <c r="C437" s="25"/>
      <c r="D437" s="25"/>
    </row>
    <row r="438">
      <c r="A438" s="11"/>
      <c r="B438" s="88"/>
      <c r="C438" s="25"/>
      <c r="D438" s="25"/>
    </row>
    <row r="439">
      <c r="A439" s="11"/>
      <c r="B439" s="88"/>
      <c r="C439" s="25"/>
      <c r="D439" s="25"/>
    </row>
    <row r="440">
      <c r="A440" s="11"/>
      <c r="B440" s="88"/>
      <c r="C440" s="25"/>
      <c r="D440" s="25"/>
    </row>
    <row r="441">
      <c r="A441" s="11"/>
      <c r="B441" s="88"/>
      <c r="C441" s="25"/>
      <c r="D441" s="25"/>
    </row>
    <row r="442">
      <c r="A442" s="11"/>
      <c r="B442" s="88"/>
      <c r="C442" s="25"/>
      <c r="D442" s="25"/>
    </row>
    <row r="443">
      <c r="A443" s="11"/>
      <c r="B443" s="88"/>
      <c r="C443" s="25"/>
      <c r="D443" s="25"/>
    </row>
    <row r="444">
      <c r="A444" s="11"/>
      <c r="B444" s="88"/>
      <c r="C444" s="25"/>
      <c r="D444" s="25"/>
    </row>
    <row r="445">
      <c r="A445" s="11"/>
      <c r="B445" s="88"/>
      <c r="C445" s="25"/>
      <c r="D445" s="25"/>
    </row>
    <row r="446">
      <c r="A446" s="11"/>
      <c r="B446" s="88"/>
      <c r="C446" s="25"/>
      <c r="D446" s="25"/>
    </row>
    <row r="447">
      <c r="A447" s="11"/>
      <c r="B447" s="88"/>
      <c r="C447" s="25"/>
      <c r="D447" s="25"/>
    </row>
    <row r="448">
      <c r="A448" s="11"/>
      <c r="B448" s="88"/>
      <c r="C448" s="25"/>
      <c r="D448" s="25"/>
    </row>
    <row r="449">
      <c r="A449" s="11"/>
      <c r="B449" s="88"/>
      <c r="C449" s="25"/>
      <c r="D449" s="25"/>
    </row>
    <row r="450">
      <c r="A450" s="11"/>
      <c r="B450" s="88"/>
      <c r="C450" s="25"/>
      <c r="D450" s="25"/>
    </row>
    <row r="451">
      <c r="A451" s="11"/>
      <c r="B451" s="88"/>
      <c r="C451" s="25"/>
      <c r="D451" s="25"/>
    </row>
    <row r="452">
      <c r="A452" s="11"/>
      <c r="B452" s="88"/>
      <c r="C452" s="25"/>
      <c r="D452" s="25"/>
    </row>
    <row r="453">
      <c r="A453" s="11"/>
      <c r="B453" s="88"/>
      <c r="C453" s="25"/>
      <c r="D453" s="25"/>
    </row>
    <row r="454">
      <c r="A454" s="11"/>
      <c r="B454" s="88"/>
      <c r="C454" s="25"/>
      <c r="D454" s="25"/>
    </row>
    <row r="455">
      <c r="A455" s="11"/>
      <c r="B455" s="88"/>
      <c r="C455" s="25"/>
      <c r="D455" s="25"/>
    </row>
    <row r="456">
      <c r="A456" s="11"/>
      <c r="B456" s="88"/>
      <c r="C456" s="25"/>
      <c r="D456" s="25"/>
    </row>
    <row r="457">
      <c r="A457" s="11"/>
      <c r="B457" s="88"/>
      <c r="C457" s="25"/>
      <c r="D457" s="25"/>
    </row>
    <row r="458">
      <c r="A458" s="11"/>
      <c r="B458" s="88"/>
      <c r="C458" s="25"/>
      <c r="D458" s="25"/>
    </row>
    <row r="459">
      <c r="A459" s="11"/>
      <c r="B459" s="88"/>
      <c r="C459" s="25"/>
      <c r="D459" s="25"/>
    </row>
    <row r="460">
      <c r="A460" s="11"/>
      <c r="B460" s="88"/>
      <c r="C460" s="25"/>
      <c r="D460" s="25"/>
    </row>
    <row r="461">
      <c r="A461" s="11"/>
      <c r="B461" s="88"/>
      <c r="C461" s="25"/>
      <c r="D461" s="25"/>
    </row>
    <row r="462">
      <c r="A462" s="11"/>
      <c r="B462" s="88"/>
      <c r="C462" s="25"/>
      <c r="D462" s="25"/>
    </row>
    <row r="463">
      <c r="A463" s="11"/>
      <c r="B463" s="88"/>
      <c r="C463" s="25"/>
      <c r="D463" s="25"/>
    </row>
    <row r="464">
      <c r="A464" s="11"/>
      <c r="B464" s="88"/>
      <c r="C464" s="25"/>
      <c r="D464" s="25"/>
    </row>
    <row r="465">
      <c r="A465" s="11"/>
      <c r="B465" s="88"/>
      <c r="C465" s="25"/>
      <c r="D465" s="25"/>
    </row>
    <row r="466">
      <c r="A466" s="11"/>
      <c r="B466" s="88"/>
      <c r="C466" s="25"/>
      <c r="D466" s="25"/>
    </row>
    <row r="467">
      <c r="A467" s="11"/>
      <c r="B467" s="88"/>
      <c r="C467" s="25"/>
      <c r="D467" s="25"/>
    </row>
    <row r="468">
      <c r="A468" s="11"/>
      <c r="B468" s="88"/>
      <c r="C468" s="25"/>
      <c r="D468" s="25"/>
    </row>
    <row r="469">
      <c r="A469" s="11"/>
      <c r="B469" s="88"/>
      <c r="C469" s="25"/>
      <c r="D469" s="25"/>
    </row>
    <row r="470">
      <c r="A470" s="11"/>
      <c r="B470" s="88"/>
      <c r="C470" s="25"/>
      <c r="D470" s="25"/>
    </row>
    <row r="471">
      <c r="A471" s="11"/>
      <c r="B471" s="88"/>
      <c r="C471" s="25"/>
      <c r="D471" s="25"/>
    </row>
    <row r="472">
      <c r="A472" s="11"/>
      <c r="B472" s="88"/>
      <c r="C472" s="25"/>
      <c r="D472" s="25"/>
    </row>
    <row r="473">
      <c r="A473" s="11"/>
      <c r="B473" s="88"/>
      <c r="C473" s="25"/>
      <c r="D473" s="25"/>
    </row>
    <row r="474">
      <c r="A474" s="11"/>
      <c r="B474" s="88"/>
      <c r="C474" s="25"/>
      <c r="D474" s="25"/>
    </row>
    <row r="475">
      <c r="A475" s="11"/>
      <c r="B475" s="88"/>
      <c r="C475" s="25"/>
      <c r="D475" s="25"/>
    </row>
    <row r="476">
      <c r="A476" s="11"/>
      <c r="B476" s="88"/>
      <c r="C476" s="25"/>
      <c r="D476" s="25"/>
    </row>
    <row r="477">
      <c r="A477" s="11"/>
      <c r="B477" s="88"/>
      <c r="C477" s="25"/>
      <c r="D477" s="25"/>
    </row>
    <row r="478">
      <c r="A478" s="11"/>
      <c r="B478" s="88"/>
      <c r="C478" s="25"/>
      <c r="D478" s="25"/>
    </row>
    <row r="479">
      <c r="A479" s="11"/>
      <c r="B479" s="88"/>
      <c r="C479" s="25"/>
      <c r="D479" s="25"/>
    </row>
    <row r="480">
      <c r="A480" s="11"/>
      <c r="B480" s="88"/>
      <c r="C480" s="25"/>
      <c r="D480" s="25"/>
    </row>
    <row r="481">
      <c r="A481" s="11"/>
      <c r="B481" s="88"/>
      <c r="C481" s="25"/>
      <c r="D481" s="25"/>
    </row>
    <row r="482">
      <c r="A482" s="11"/>
      <c r="B482" s="88"/>
      <c r="C482" s="25"/>
      <c r="D482" s="25"/>
    </row>
    <row r="483">
      <c r="A483" s="11"/>
      <c r="B483" s="88"/>
      <c r="C483" s="25"/>
      <c r="D483" s="25"/>
    </row>
    <row r="484">
      <c r="A484" s="11"/>
      <c r="B484" s="88"/>
      <c r="C484" s="25"/>
      <c r="D484" s="25"/>
    </row>
    <row r="485">
      <c r="A485" s="11"/>
      <c r="B485" s="88"/>
      <c r="C485" s="25"/>
      <c r="D485" s="25"/>
    </row>
    <row r="486">
      <c r="A486" s="11"/>
      <c r="B486" s="88"/>
      <c r="C486" s="25"/>
      <c r="D486" s="25"/>
    </row>
    <row r="487">
      <c r="A487" s="11"/>
      <c r="B487" s="88"/>
      <c r="C487" s="25"/>
      <c r="D487" s="25"/>
    </row>
    <row r="488">
      <c r="A488" s="11"/>
      <c r="B488" s="88"/>
      <c r="C488" s="25"/>
      <c r="D488" s="25"/>
    </row>
    <row r="489">
      <c r="A489" s="11"/>
      <c r="B489" s="88"/>
      <c r="C489" s="25"/>
      <c r="D489" s="25"/>
    </row>
    <row r="490">
      <c r="A490" s="11"/>
      <c r="B490" s="88"/>
      <c r="C490" s="25"/>
      <c r="D490" s="25"/>
    </row>
    <row r="491">
      <c r="A491" s="11"/>
      <c r="B491" s="88"/>
      <c r="C491" s="25"/>
      <c r="D491" s="25"/>
    </row>
    <row r="492">
      <c r="A492" s="11"/>
      <c r="B492" s="88"/>
      <c r="C492" s="25"/>
      <c r="D492" s="25"/>
    </row>
    <row r="493">
      <c r="A493" s="11"/>
      <c r="B493" s="88"/>
      <c r="C493" s="25"/>
      <c r="D493" s="25"/>
    </row>
    <row r="494">
      <c r="A494" s="11"/>
      <c r="B494" s="88"/>
      <c r="C494" s="25"/>
      <c r="D494" s="25"/>
    </row>
    <row r="495">
      <c r="A495" s="11"/>
      <c r="B495" s="88"/>
      <c r="C495" s="25"/>
      <c r="D495" s="25"/>
    </row>
    <row r="496">
      <c r="A496" s="11"/>
      <c r="B496" s="88"/>
      <c r="C496" s="25"/>
      <c r="D496" s="25"/>
    </row>
    <row r="497">
      <c r="A497" s="11"/>
      <c r="B497" s="88"/>
      <c r="C497" s="25"/>
      <c r="D497" s="25"/>
    </row>
    <row r="498">
      <c r="A498" s="11"/>
      <c r="B498" s="88"/>
      <c r="C498" s="25"/>
      <c r="D498" s="25"/>
    </row>
    <row r="499">
      <c r="A499" s="11"/>
      <c r="B499" s="88"/>
      <c r="C499" s="25"/>
      <c r="D499" s="25"/>
    </row>
    <row r="500">
      <c r="A500" s="11"/>
      <c r="B500" s="88"/>
      <c r="C500" s="25"/>
      <c r="D500" s="25"/>
    </row>
    <row r="501">
      <c r="A501" s="11"/>
      <c r="B501" s="88"/>
      <c r="C501" s="25"/>
      <c r="D501" s="25"/>
    </row>
    <row r="502">
      <c r="A502" s="11"/>
      <c r="B502" s="88"/>
      <c r="C502" s="25"/>
      <c r="D502" s="25"/>
    </row>
    <row r="503">
      <c r="A503" s="11"/>
      <c r="B503" s="88"/>
      <c r="C503" s="25"/>
      <c r="D503" s="25"/>
    </row>
    <row r="504">
      <c r="A504" s="11"/>
      <c r="B504" s="88"/>
      <c r="C504" s="25"/>
      <c r="D504" s="25"/>
    </row>
    <row r="505">
      <c r="A505" s="11"/>
      <c r="B505" s="88"/>
      <c r="C505" s="25"/>
      <c r="D505" s="25"/>
    </row>
    <row r="506">
      <c r="A506" s="11"/>
      <c r="B506" s="88"/>
      <c r="C506" s="25"/>
      <c r="D506" s="25"/>
    </row>
    <row r="507">
      <c r="A507" s="11"/>
      <c r="B507" s="88"/>
      <c r="C507" s="25"/>
      <c r="D507" s="25"/>
    </row>
    <row r="508">
      <c r="A508" s="11"/>
      <c r="B508" s="88"/>
      <c r="C508" s="25"/>
      <c r="D508" s="25"/>
    </row>
    <row r="509">
      <c r="A509" s="11"/>
      <c r="B509" s="88"/>
      <c r="C509" s="25"/>
      <c r="D509" s="25"/>
    </row>
    <row r="510">
      <c r="A510" s="11"/>
      <c r="B510" s="88"/>
      <c r="C510" s="25"/>
      <c r="D510" s="25"/>
    </row>
    <row r="511">
      <c r="A511" s="11"/>
      <c r="B511" s="88"/>
      <c r="C511" s="25"/>
      <c r="D511" s="25"/>
    </row>
    <row r="512">
      <c r="A512" s="11"/>
      <c r="B512" s="88"/>
      <c r="C512" s="25"/>
      <c r="D512" s="25"/>
    </row>
    <row r="513">
      <c r="A513" s="11"/>
      <c r="B513" s="88"/>
      <c r="C513" s="25"/>
      <c r="D513" s="25"/>
    </row>
    <row r="514">
      <c r="A514" s="11"/>
      <c r="B514" s="88"/>
      <c r="C514" s="25"/>
      <c r="D514" s="25"/>
    </row>
    <row r="515">
      <c r="A515" s="11"/>
      <c r="B515" s="88"/>
      <c r="C515" s="25"/>
      <c r="D515" s="25"/>
    </row>
    <row r="516">
      <c r="A516" s="11"/>
      <c r="B516" s="88"/>
      <c r="C516" s="25"/>
      <c r="D516" s="25"/>
    </row>
    <row r="517">
      <c r="A517" s="11"/>
      <c r="B517" s="88"/>
      <c r="C517" s="25"/>
      <c r="D517" s="25"/>
    </row>
    <row r="518">
      <c r="A518" s="11"/>
      <c r="B518" s="88"/>
      <c r="C518" s="25"/>
      <c r="D518" s="25"/>
    </row>
    <row r="519">
      <c r="A519" s="11"/>
      <c r="B519" s="88"/>
      <c r="C519" s="25"/>
      <c r="D519" s="25"/>
    </row>
    <row r="520">
      <c r="A520" s="11"/>
      <c r="B520" s="88"/>
      <c r="C520" s="25"/>
      <c r="D520" s="25"/>
    </row>
    <row r="521">
      <c r="A521" s="11"/>
      <c r="B521" s="88"/>
      <c r="C521" s="25"/>
      <c r="D521" s="25"/>
    </row>
    <row r="522">
      <c r="A522" s="11"/>
      <c r="B522" s="88"/>
      <c r="C522" s="25"/>
      <c r="D522" s="25"/>
    </row>
    <row r="523">
      <c r="A523" s="11"/>
      <c r="B523" s="88"/>
      <c r="C523" s="25"/>
      <c r="D523" s="25"/>
    </row>
    <row r="524">
      <c r="A524" s="11"/>
      <c r="B524" s="88"/>
      <c r="C524" s="25"/>
      <c r="D524" s="25"/>
    </row>
    <row r="525">
      <c r="A525" s="11"/>
      <c r="B525" s="88"/>
      <c r="C525" s="25"/>
      <c r="D525" s="25"/>
    </row>
    <row r="526">
      <c r="A526" s="11"/>
      <c r="B526" s="88"/>
      <c r="C526" s="25"/>
      <c r="D526" s="25"/>
    </row>
    <row r="527">
      <c r="A527" s="11"/>
      <c r="B527" s="88"/>
      <c r="C527" s="25"/>
      <c r="D527" s="25"/>
    </row>
    <row r="528">
      <c r="A528" s="11"/>
      <c r="B528" s="88"/>
      <c r="C528" s="25"/>
      <c r="D528" s="25"/>
    </row>
    <row r="529">
      <c r="A529" s="11"/>
      <c r="B529" s="88"/>
      <c r="C529" s="25"/>
      <c r="D529" s="25"/>
    </row>
    <row r="530">
      <c r="A530" s="11"/>
      <c r="B530" s="88"/>
      <c r="C530" s="25"/>
      <c r="D530" s="25"/>
    </row>
    <row r="531">
      <c r="A531" s="11"/>
      <c r="B531" s="88"/>
      <c r="C531" s="25"/>
      <c r="D531" s="25"/>
    </row>
    <row r="532">
      <c r="A532" s="11"/>
      <c r="B532" s="88"/>
      <c r="C532" s="25"/>
      <c r="D532" s="25"/>
    </row>
    <row r="533">
      <c r="A533" s="11"/>
      <c r="B533" s="88"/>
      <c r="C533" s="25"/>
      <c r="D533" s="25"/>
    </row>
    <row r="534">
      <c r="A534" s="11"/>
      <c r="B534" s="88"/>
      <c r="C534" s="25"/>
      <c r="D534" s="25"/>
    </row>
    <row r="535">
      <c r="A535" s="11"/>
      <c r="B535" s="88"/>
      <c r="C535" s="25"/>
      <c r="D535" s="25"/>
    </row>
    <row r="536">
      <c r="A536" s="11"/>
      <c r="B536" s="88"/>
      <c r="C536" s="25"/>
      <c r="D536" s="25"/>
    </row>
    <row r="537">
      <c r="A537" s="11"/>
      <c r="B537" s="88"/>
      <c r="C537" s="25"/>
      <c r="D537" s="25"/>
    </row>
    <row r="538">
      <c r="A538" s="11"/>
      <c r="B538" s="88"/>
      <c r="C538" s="25"/>
      <c r="D538" s="25"/>
    </row>
    <row r="539">
      <c r="A539" s="11"/>
      <c r="B539" s="88"/>
      <c r="C539" s="25"/>
      <c r="D539" s="25"/>
    </row>
    <row r="540">
      <c r="A540" s="11"/>
      <c r="B540" s="88"/>
      <c r="C540" s="25"/>
      <c r="D540" s="25"/>
    </row>
    <row r="541">
      <c r="A541" s="11"/>
      <c r="B541" s="88"/>
      <c r="C541" s="25"/>
      <c r="D541" s="25"/>
    </row>
    <row r="542">
      <c r="A542" s="11"/>
      <c r="B542" s="88"/>
      <c r="C542" s="25"/>
      <c r="D542" s="25"/>
    </row>
    <row r="543">
      <c r="A543" s="11"/>
      <c r="B543" s="88"/>
      <c r="C543" s="25"/>
      <c r="D543" s="25"/>
    </row>
    <row r="544">
      <c r="A544" s="11"/>
      <c r="B544" s="88"/>
      <c r="C544" s="25"/>
      <c r="D544" s="25"/>
    </row>
    <row r="545">
      <c r="A545" s="11"/>
      <c r="B545" s="88"/>
      <c r="C545" s="25"/>
      <c r="D545" s="25"/>
    </row>
    <row r="546">
      <c r="A546" s="11"/>
      <c r="B546" s="88"/>
      <c r="C546" s="25"/>
      <c r="D546" s="25"/>
    </row>
    <row r="547">
      <c r="A547" s="11"/>
      <c r="B547" s="88"/>
      <c r="C547" s="25"/>
      <c r="D547" s="25"/>
    </row>
    <row r="548">
      <c r="A548" s="11"/>
      <c r="B548" s="88"/>
      <c r="C548" s="25"/>
      <c r="D548" s="25"/>
    </row>
    <row r="549">
      <c r="A549" s="11"/>
      <c r="B549" s="88"/>
      <c r="C549" s="25"/>
      <c r="D549" s="25"/>
    </row>
    <row r="550">
      <c r="A550" s="11"/>
      <c r="B550" s="88"/>
      <c r="C550" s="25"/>
      <c r="D550" s="25"/>
    </row>
    <row r="551">
      <c r="A551" s="11"/>
      <c r="B551" s="88"/>
      <c r="C551" s="25"/>
      <c r="D551" s="25"/>
    </row>
    <row r="552">
      <c r="A552" s="11"/>
      <c r="B552" s="88"/>
      <c r="C552" s="25"/>
      <c r="D552" s="25"/>
    </row>
    <row r="553">
      <c r="A553" s="11"/>
      <c r="B553" s="88"/>
      <c r="C553" s="25"/>
      <c r="D553" s="25"/>
    </row>
    <row r="554">
      <c r="A554" s="11"/>
      <c r="B554" s="88"/>
      <c r="C554" s="25"/>
      <c r="D554" s="25"/>
    </row>
    <row r="555">
      <c r="A555" s="11"/>
      <c r="B555" s="88"/>
      <c r="C555" s="25"/>
      <c r="D555" s="25"/>
    </row>
    <row r="556">
      <c r="A556" s="11"/>
      <c r="B556" s="88"/>
      <c r="C556" s="25"/>
      <c r="D556" s="25"/>
    </row>
    <row r="557">
      <c r="A557" s="11"/>
      <c r="B557" s="88"/>
      <c r="C557" s="25"/>
      <c r="D557" s="25"/>
    </row>
    <row r="558">
      <c r="A558" s="11"/>
      <c r="B558" s="88"/>
      <c r="C558" s="25"/>
      <c r="D558" s="25"/>
    </row>
    <row r="559">
      <c r="A559" s="11"/>
      <c r="B559" s="88"/>
      <c r="C559" s="25"/>
      <c r="D559" s="25"/>
    </row>
    <row r="560">
      <c r="A560" s="11"/>
      <c r="B560" s="88"/>
      <c r="C560" s="25"/>
      <c r="D560" s="25"/>
    </row>
    <row r="561">
      <c r="A561" s="11"/>
      <c r="B561" s="88"/>
      <c r="C561" s="25"/>
      <c r="D561" s="25"/>
    </row>
    <row r="562">
      <c r="A562" s="11"/>
      <c r="B562" s="88"/>
      <c r="C562" s="25"/>
      <c r="D562" s="25"/>
    </row>
    <row r="563">
      <c r="A563" s="11"/>
      <c r="B563" s="88"/>
      <c r="C563" s="25"/>
      <c r="D563" s="25"/>
    </row>
    <row r="564">
      <c r="A564" s="11"/>
      <c r="B564" s="88"/>
      <c r="C564" s="25"/>
      <c r="D564" s="25"/>
    </row>
    <row r="565">
      <c r="A565" s="11"/>
      <c r="B565" s="88"/>
      <c r="C565" s="25"/>
      <c r="D565" s="25"/>
    </row>
    <row r="566">
      <c r="A566" s="11"/>
      <c r="B566" s="88"/>
      <c r="C566" s="25"/>
      <c r="D566" s="25"/>
    </row>
    <row r="567">
      <c r="A567" s="11"/>
      <c r="B567" s="88"/>
      <c r="C567" s="25"/>
      <c r="D567" s="25"/>
    </row>
    <row r="568">
      <c r="A568" s="11"/>
      <c r="B568" s="88"/>
      <c r="C568" s="25"/>
      <c r="D568" s="25"/>
    </row>
    <row r="569">
      <c r="A569" s="11"/>
      <c r="B569" s="88"/>
      <c r="C569" s="25"/>
      <c r="D569" s="25"/>
    </row>
    <row r="570">
      <c r="A570" s="11"/>
      <c r="B570" s="88"/>
      <c r="C570" s="25"/>
      <c r="D570" s="25"/>
    </row>
    <row r="571">
      <c r="A571" s="11"/>
      <c r="B571" s="88"/>
      <c r="C571" s="25"/>
      <c r="D571" s="25"/>
    </row>
    <row r="572">
      <c r="A572" s="11"/>
      <c r="B572" s="88"/>
      <c r="C572" s="25"/>
      <c r="D572" s="25"/>
    </row>
    <row r="573">
      <c r="A573" s="11"/>
      <c r="B573" s="88"/>
      <c r="C573" s="25"/>
      <c r="D573" s="25"/>
    </row>
    <row r="574">
      <c r="A574" s="11"/>
      <c r="B574" s="88"/>
      <c r="C574" s="25"/>
      <c r="D574" s="25"/>
    </row>
    <row r="575">
      <c r="A575" s="11"/>
      <c r="B575" s="88"/>
      <c r="C575" s="25"/>
      <c r="D575" s="25"/>
    </row>
    <row r="576">
      <c r="A576" s="11"/>
      <c r="B576" s="88"/>
      <c r="C576" s="25"/>
      <c r="D576" s="25"/>
    </row>
    <row r="577">
      <c r="A577" s="11"/>
      <c r="B577" s="88"/>
      <c r="C577" s="25"/>
      <c r="D577" s="25"/>
    </row>
    <row r="578">
      <c r="A578" s="11"/>
      <c r="B578" s="88"/>
      <c r="C578" s="25"/>
      <c r="D578" s="25"/>
    </row>
    <row r="579">
      <c r="A579" s="11"/>
      <c r="B579" s="88"/>
      <c r="C579" s="25"/>
      <c r="D579" s="25"/>
    </row>
    <row r="580">
      <c r="A580" s="11"/>
      <c r="B580" s="88"/>
      <c r="C580" s="25"/>
      <c r="D580" s="25"/>
    </row>
    <row r="581">
      <c r="A581" s="11"/>
      <c r="B581" s="88"/>
      <c r="C581" s="25"/>
      <c r="D581" s="25"/>
    </row>
    <row r="582">
      <c r="A582" s="11"/>
      <c r="B582" s="88"/>
      <c r="C582" s="25"/>
      <c r="D582" s="25"/>
    </row>
    <row r="583">
      <c r="A583" s="11"/>
      <c r="B583" s="88"/>
      <c r="C583" s="25"/>
      <c r="D583" s="25"/>
    </row>
    <row r="584">
      <c r="A584" s="11"/>
      <c r="B584" s="88"/>
      <c r="C584" s="25"/>
      <c r="D584" s="25"/>
    </row>
    <row r="585">
      <c r="A585" s="11"/>
      <c r="B585" s="88"/>
      <c r="C585" s="25"/>
      <c r="D585" s="25"/>
    </row>
    <row r="586">
      <c r="A586" s="11"/>
      <c r="B586" s="88"/>
      <c r="C586" s="25"/>
      <c r="D586" s="25"/>
    </row>
    <row r="587">
      <c r="A587" s="11"/>
      <c r="B587" s="88"/>
      <c r="C587" s="25"/>
      <c r="D587" s="25"/>
    </row>
    <row r="588">
      <c r="A588" s="11"/>
      <c r="B588" s="88"/>
      <c r="C588" s="25"/>
      <c r="D588" s="25"/>
    </row>
    <row r="589">
      <c r="A589" s="11"/>
      <c r="B589" s="88"/>
      <c r="C589" s="25"/>
      <c r="D589" s="25"/>
    </row>
    <row r="590">
      <c r="A590" s="11"/>
      <c r="B590" s="88"/>
      <c r="C590" s="25"/>
      <c r="D590" s="25"/>
    </row>
    <row r="591">
      <c r="A591" s="11"/>
      <c r="B591" s="88"/>
      <c r="C591" s="25"/>
      <c r="D591" s="25"/>
    </row>
    <row r="592">
      <c r="A592" s="11"/>
      <c r="B592" s="88"/>
      <c r="C592" s="25"/>
      <c r="D592" s="25"/>
    </row>
    <row r="593">
      <c r="A593" s="11"/>
      <c r="B593" s="88"/>
      <c r="C593" s="25"/>
      <c r="D593" s="25"/>
    </row>
    <row r="594">
      <c r="A594" s="11"/>
      <c r="B594" s="88"/>
      <c r="C594" s="25"/>
      <c r="D594" s="25"/>
    </row>
    <row r="595">
      <c r="A595" s="11"/>
      <c r="B595" s="88"/>
      <c r="C595" s="25"/>
      <c r="D595" s="25"/>
    </row>
    <row r="596">
      <c r="A596" s="11"/>
      <c r="B596" s="88"/>
      <c r="C596" s="25"/>
      <c r="D596" s="25"/>
    </row>
    <row r="597">
      <c r="A597" s="11"/>
      <c r="B597" s="88"/>
      <c r="C597" s="25"/>
      <c r="D597" s="25"/>
    </row>
    <row r="598">
      <c r="A598" s="11"/>
      <c r="B598" s="88"/>
      <c r="C598" s="25"/>
      <c r="D598" s="25"/>
    </row>
    <row r="599">
      <c r="A599" s="11"/>
      <c r="B599" s="88"/>
      <c r="C599" s="25"/>
      <c r="D599" s="25"/>
    </row>
    <row r="600">
      <c r="A600" s="11"/>
      <c r="B600" s="88"/>
      <c r="C600" s="25"/>
      <c r="D600" s="25"/>
    </row>
    <row r="601">
      <c r="A601" s="11"/>
      <c r="B601" s="88"/>
      <c r="C601" s="25"/>
      <c r="D601" s="25"/>
    </row>
    <row r="602">
      <c r="A602" s="11"/>
      <c r="B602" s="88"/>
      <c r="C602" s="25"/>
      <c r="D602" s="25"/>
    </row>
    <row r="603">
      <c r="A603" s="11"/>
      <c r="B603" s="88"/>
      <c r="C603" s="25"/>
      <c r="D603" s="25"/>
    </row>
    <row r="604">
      <c r="A604" s="11"/>
      <c r="B604" s="88"/>
      <c r="C604" s="25"/>
      <c r="D604" s="25"/>
    </row>
    <row r="605">
      <c r="A605" s="11"/>
      <c r="B605" s="88"/>
      <c r="C605" s="25"/>
      <c r="D605" s="25"/>
    </row>
    <row r="606">
      <c r="A606" s="11"/>
      <c r="B606" s="88"/>
      <c r="C606" s="25"/>
      <c r="D606" s="25"/>
    </row>
    <row r="607">
      <c r="A607" s="11"/>
      <c r="B607" s="88"/>
      <c r="C607" s="25"/>
      <c r="D607" s="25"/>
    </row>
    <row r="608">
      <c r="A608" s="11"/>
      <c r="B608" s="88"/>
      <c r="C608" s="25"/>
      <c r="D608" s="25"/>
    </row>
    <row r="609">
      <c r="A609" s="11"/>
      <c r="B609" s="88"/>
      <c r="C609" s="25"/>
      <c r="D609" s="25"/>
    </row>
    <row r="610">
      <c r="A610" s="11"/>
      <c r="B610" s="88"/>
      <c r="C610" s="25"/>
      <c r="D610" s="25"/>
    </row>
    <row r="611">
      <c r="A611" s="11"/>
      <c r="B611" s="88"/>
      <c r="C611" s="25"/>
      <c r="D611" s="25"/>
    </row>
    <row r="612">
      <c r="A612" s="11"/>
      <c r="B612" s="88"/>
      <c r="C612" s="25"/>
      <c r="D612" s="25"/>
    </row>
    <row r="613">
      <c r="A613" s="11"/>
      <c r="B613" s="88"/>
      <c r="C613" s="25"/>
      <c r="D613" s="25"/>
    </row>
    <row r="614">
      <c r="A614" s="11"/>
      <c r="B614" s="88"/>
      <c r="C614" s="25"/>
      <c r="D614" s="25"/>
    </row>
    <row r="615">
      <c r="A615" s="11"/>
      <c r="B615" s="88"/>
      <c r="C615" s="25"/>
      <c r="D615" s="25"/>
    </row>
    <row r="616">
      <c r="A616" s="11"/>
      <c r="B616" s="88"/>
      <c r="C616" s="25"/>
      <c r="D616" s="25"/>
    </row>
    <row r="617">
      <c r="A617" s="11"/>
      <c r="B617" s="88"/>
      <c r="C617" s="25"/>
      <c r="D617" s="25"/>
    </row>
    <row r="618">
      <c r="A618" s="11"/>
      <c r="B618" s="88"/>
      <c r="C618" s="25"/>
      <c r="D618" s="25"/>
    </row>
    <row r="619">
      <c r="A619" s="11"/>
      <c r="B619" s="88"/>
      <c r="C619" s="25"/>
      <c r="D619" s="25"/>
    </row>
    <row r="620">
      <c r="A620" s="11"/>
      <c r="B620" s="88"/>
      <c r="C620" s="25"/>
      <c r="D620" s="25"/>
    </row>
    <row r="621">
      <c r="A621" s="11"/>
      <c r="B621" s="88"/>
      <c r="C621" s="25"/>
      <c r="D621" s="25"/>
    </row>
    <row r="622">
      <c r="A622" s="11"/>
      <c r="B622" s="88"/>
      <c r="C622" s="25"/>
      <c r="D622" s="25"/>
    </row>
    <row r="623">
      <c r="A623" s="11"/>
      <c r="B623" s="88"/>
      <c r="C623" s="25"/>
      <c r="D623" s="25"/>
    </row>
    <row r="624">
      <c r="A624" s="11"/>
      <c r="B624" s="88"/>
      <c r="C624" s="25"/>
      <c r="D624" s="25"/>
    </row>
    <row r="625">
      <c r="A625" s="11"/>
      <c r="B625" s="88"/>
      <c r="C625" s="25"/>
      <c r="D625" s="25"/>
    </row>
    <row r="626">
      <c r="A626" s="11"/>
      <c r="B626" s="88"/>
      <c r="C626" s="25"/>
      <c r="D626" s="25"/>
    </row>
    <row r="627">
      <c r="A627" s="11"/>
      <c r="B627" s="88"/>
      <c r="C627" s="25"/>
      <c r="D627" s="25"/>
    </row>
    <row r="628">
      <c r="A628" s="11"/>
      <c r="B628" s="88"/>
      <c r="C628" s="25"/>
      <c r="D628" s="25"/>
    </row>
    <row r="629">
      <c r="A629" s="11"/>
      <c r="B629" s="88"/>
      <c r="C629" s="25"/>
      <c r="D629" s="25"/>
    </row>
    <row r="630">
      <c r="A630" s="11"/>
      <c r="B630" s="88"/>
      <c r="C630" s="25"/>
      <c r="D630" s="25"/>
    </row>
    <row r="631">
      <c r="A631" s="11"/>
      <c r="B631" s="88"/>
      <c r="C631" s="25"/>
      <c r="D631" s="25"/>
    </row>
    <row r="632">
      <c r="A632" s="11"/>
      <c r="B632" s="88"/>
      <c r="C632" s="25"/>
      <c r="D632" s="25"/>
    </row>
    <row r="633">
      <c r="A633" s="11"/>
      <c r="B633" s="88"/>
      <c r="C633" s="25"/>
      <c r="D633" s="25"/>
    </row>
    <row r="634">
      <c r="A634" s="11"/>
      <c r="B634" s="88"/>
      <c r="C634" s="25"/>
      <c r="D634" s="25"/>
    </row>
    <row r="635">
      <c r="A635" s="11"/>
      <c r="B635" s="88"/>
      <c r="C635" s="25"/>
      <c r="D635" s="25"/>
    </row>
    <row r="636">
      <c r="A636" s="11"/>
      <c r="B636" s="88"/>
      <c r="C636" s="25"/>
      <c r="D636" s="25"/>
    </row>
    <row r="637">
      <c r="A637" s="11"/>
      <c r="B637" s="88"/>
      <c r="C637" s="25"/>
      <c r="D637" s="25"/>
    </row>
    <row r="638">
      <c r="A638" s="11"/>
      <c r="B638" s="88"/>
      <c r="C638" s="25"/>
      <c r="D638" s="25"/>
    </row>
    <row r="639">
      <c r="A639" s="11"/>
      <c r="B639" s="88"/>
      <c r="C639" s="25"/>
      <c r="D639" s="25"/>
    </row>
    <row r="640">
      <c r="A640" s="11"/>
      <c r="B640" s="88"/>
      <c r="C640" s="25"/>
      <c r="D640" s="25"/>
    </row>
    <row r="641">
      <c r="A641" s="11"/>
      <c r="B641" s="88"/>
      <c r="C641" s="25"/>
      <c r="D641" s="25"/>
    </row>
    <row r="642">
      <c r="A642" s="11"/>
      <c r="B642" s="88"/>
      <c r="C642" s="25"/>
      <c r="D642" s="25"/>
    </row>
    <row r="643">
      <c r="A643" s="11"/>
      <c r="B643" s="88"/>
      <c r="C643" s="25"/>
      <c r="D643" s="25"/>
    </row>
    <row r="644">
      <c r="A644" s="11"/>
      <c r="B644" s="88"/>
      <c r="C644" s="25"/>
      <c r="D644" s="25"/>
    </row>
    <row r="645">
      <c r="A645" s="11"/>
      <c r="B645" s="88"/>
      <c r="C645" s="25"/>
      <c r="D645" s="25"/>
    </row>
    <row r="646">
      <c r="A646" s="11"/>
      <c r="B646" s="88"/>
      <c r="C646" s="25"/>
      <c r="D646" s="25"/>
    </row>
    <row r="647">
      <c r="A647" s="11"/>
      <c r="B647" s="88"/>
      <c r="C647" s="25"/>
      <c r="D647" s="25"/>
    </row>
    <row r="648">
      <c r="A648" s="11"/>
      <c r="B648" s="88"/>
      <c r="C648" s="25"/>
      <c r="D648" s="25"/>
    </row>
    <row r="649">
      <c r="A649" s="11"/>
      <c r="B649" s="88"/>
      <c r="C649" s="25"/>
      <c r="D649" s="25"/>
    </row>
    <row r="650">
      <c r="A650" s="11"/>
      <c r="B650" s="88"/>
      <c r="C650" s="25"/>
      <c r="D650" s="25"/>
    </row>
    <row r="651">
      <c r="A651" s="11"/>
      <c r="B651" s="88"/>
      <c r="C651" s="25"/>
      <c r="D651" s="25"/>
    </row>
    <row r="652">
      <c r="A652" s="11"/>
      <c r="B652" s="88"/>
      <c r="C652" s="25"/>
      <c r="D652" s="25"/>
    </row>
    <row r="653">
      <c r="A653" s="11"/>
      <c r="B653" s="88"/>
      <c r="C653" s="25"/>
      <c r="D653" s="25"/>
    </row>
    <row r="654">
      <c r="A654" s="11"/>
      <c r="B654" s="88"/>
      <c r="C654" s="25"/>
      <c r="D654" s="25"/>
    </row>
    <row r="655">
      <c r="A655" s="11"/>
      <c r="B655" s="88"/>
      <c r="C655" s="25"/>
      <c r="D655" s="25"/>
    </row>
    <row r="656">
      <c r="A656" s="11"/>
      <c r="B656" s="88"/>
      <c r="C656" s="25"/>
      <c r="D656" s="25"/>
    </row>
    <row r="657">
      <c r="A657" s="11"/>
      <c r="B657" s="88"/>
      <c r="C657" s="25"/>
      <c r="D657" s="25"/>
    </row>
    <row r="658">
      <c r="A658" s="11"/>
      <c r="B658" s="88"/>
      <c r="C658" s="25"/>
      <c r="D658" s="25"/>
    </row>
    <row r="659">
      <c r="A659" s="11"/>
      <c r="B659" s="88"/>
      <c r="C659" s="25"/>
      <c r="D659" s="25"/>
    </row>
    <row r="660">
      <c r="A660" s="11"/>
      <c r="B660" s="88"/>
      <c r="C660" s="25"/>
      <c r="D660" s="25"/>
    </row>
    <row r="661">
      <c r="A661" s="11"/>
      <c r="B661" s="88"/>
      <c r="C661" s="25"/>
      <c r="D661" s="25"/>
    </row>
    <row r="662">
      <c r="A662" s="11"/>
      <c r="B662" s="88"/>
      <c r="C662" s="25"/>
      <c r="D662" s="25"/>
    </row>
    <row r="663">
      <c r="A663" s="11"/>
      <c r="B663" s="88"/>
      <c r="C663" s="25"/>
      <c r="D663" s="25"/>
    </row>
    <row r="664">
      <c r="A664" s="11"/>
      <c r="B664" s="88"/>
      <c r="C664" s="25"/>
      <c r="D664" s="25"/>
    </row>
    <row r="665">
      <c r="A665" s="11"/>
      <c r="B665" s="88"/>
      <c r="C665" s="25"/>
      <c r="D665" s="25"/>
    </row>
    <row r="666">
      <c r="A666" s="11"/>
      <c r="B666" s="88"/>
      <c r="C666" s="25"/>
      <c r="D666" s="25"/>
    </row>
    <row r="667">
      <c r="A667" s="11"/>
      <c r="B667" s="88"/>
      <c r="C667" s="25"/>
      <c r="D667" s="25"/>
    </row>
    <row r="668">
      <c r="A668" s="11"/>
      <c r="B668" s="88"/>
      <c r="C668" s="25"/>
      <c r="D668" s="25"/>
    </row>
    <row r="669">
      <c r="A669" s="11"/>
      <c r="B669" s="88"/>
      <c r="C669" s="25"/>
      <c r="D669" s="25"/>
    </row>
    <row r="670">
      <c r="A670" s="11"/>
      <c r="B670" s="88"/>
      <c r="C670" s="25"/>
      <c r="D670" s="25"/>
    </row>
    <row r="671">
      <c r="A671" s="11"/>
      <c r="B671" s="88"/>
      <c r="C671" s="25"/>
      <c r="D671" s="25"/>
    </row>
    <row r="672">
      <c r="A672" s="11"/>
      <c r="B672" s="88"/>
      <c r="C672" s="25"/>
      <c r="D672" s="25"/>
    </row>
    <row r="673">
      <c r="A673" s="11"/>
      <c r="B673" s="88"/>
      <c r="C673" s="25"/>
      <c r="D673" s="25"/>
    </row>
    <row r="674">
      <c r="A674" s="11"/>
      <c r="B674" s="88"/>
      <c r="C674" s="25"/>
      <c r="D674" s="25"/>
    </row>
    <row r="675">
      <c r="A675" s="11"/>
      <c r="B675" s="88"/>
      <c r="C675" s="25"/>
      <c r="D675" s="25"/>
    </row>
    <row r="676">
      <c r="A676" s="11"/>
      <c r="B676" s="88"/>
      <c r="C676" s="25"/>
      <c r="D676" s="25"/>
    </row>
    <row r="677">
      <c r="A677" s="11"/>
      <c r="B677" s="88"/>
      <c r="C677" s="25"/>
      <c r="D677" s="25"/>
    </row>
    <row r="678">
      <c r="A678" s="11"/>
      <c r="B678" s="88"/>
      <c r="C678" s="25"/>
      <c r="D678" s="25"/>
    </row>
    <row r="679">
      <c r="A679" s="11"/>
      <c r="B679" s="88"/>
      <c r="C679" s="25"/>
      <c r="D679" s="25"/>
    </row>
    <row r="680">
      <c r="A680" s="11"/>
      <c r="B680" s="88"/>
      <c r="C680" s="25"/>
      <c r="D680" s="25"/>
    </row>
    <row r="681">
      <c r="A681" s="11"/>
      <c r="B681" s="88"/>
      <c r="C681" s="25"/>
      <c r="D681" s="25"/>
    </row>
    <row r="682">
      <c r="A682" s="11"/>
      <c r="B682" s="88"/>
      <c r="C682" s="25"/>
      <c r="D682" s="25"/>
    </row>
    <row r="683">
      <c r="A683" s="11"/>
      <c r="B683" s="88"/>
      <c r="C683" s="25"/>
      <c r="D683" s="25"/>
    </row>
    <row r="684">
      <c r="A684" s="11"/>
      <c r="B684" s="88"/>
      <c r="C684" s="25"/>
      <c r="D684" s="25"/>
    </row>
    <row r="685">
      <c r="A685" s="11"/>
      <c r="B685" s="88"/>
      <c r="C685" s="25"/>
      <c r="D685" s="25"/>
    </row>
    <row r="686">
      <c r="A686" s="11"/>
      <c r="B686" s="88"/>
      <c r="C686" s="25"/>
      <c r="D686" s="25"/>
    </row>
    <row r="687">
      <c r="A687" s="11"/>
      <c r="B687" s="88"/>
      <c r="C687" s="25"/>
      <c r="D687" s="25"/>
    </row>
    <row r="688">
      <c r="A688" s="11"/>
      <c r="B688" s="88"/>
      <c r="C688" s="25"/>
      <c r="D688" s="25"/>
    </row>
    <row r="689">
      <c r="A689" s="11"/>
      <c r="B689" s="88"/>
      <c r="C689" s="25"/>
      <c r="D689" s="25"/>
    </row>
    <row r="690">
      <c r="A690" s="11"/>
      <c r="B690" s="88"/>
      <c r="C690" s="25"/>
      <c r="D690" s="25"/>
    </row>
    <row r="691">
      <c r="A691" s="11"/>
      <c r="B691" s="88"/>
      <c r="C691" s="25"/>
      <c r="D691" s="25"/>
    </row>
    <row r="692">
      <c r="A692" s="11"/>
      <c r="B692" s="88"/>
      <c r="C692" s="25"/>
      <c r="D692" s="25"/>
    </row>
    <row r="693">
      <c r="A693" s="11"/>
      <c r="B693" s="88"/>
      <c r="C693" s="25"/>
      <c r="D693" s="25"/>
    </row>
    <row r="694">
      <c r="A694" s="11"/>
      <c r="B694" s="88"/>
      <c r="C694" s="25"/>
      <c r="D694" s="25"/>
    </row>
    <row r="695">
      <c r="A695" s="11"/>
      <c r="B695" s="88"/>
      <c r="C695" s="25"/>
      <c r="D695" s="25"/>
    </row>
    <row r="696">
      <c r="A696" s="11"/>
      <c r="B696" s="88"/>
      <c r="C696" s="25"/>
      <c r="D696" s="25"/>
    </row>
    <row r="697">
      <c r="A697" s="11"/>
      <c r="B697" s="88"/>
      <c r="C697" s="25"/>
      <c r="D697" s="25"/>
    </row>
    <row r="698">
      <c r="A698" s="11"/>
      <c r="B698" s="88"/>
      <c r="C698" s="25"/>
      <c r="D698" s="25"/>
    </row>
    <row r="699">
      <c r="A699" s="11"/>
      <c r="B699" s="88"/>
      <c r="C699" s="25"/>
      <c r="D699" s="25"/>
    </row>
    <row r="700">
      <c r="A700" s="11"/>
      <c r="B700" s="88"/>
      <c r="C700" s="25"/>
      <c r="D700" s="25"/>
    </row>
    <row r="701">
      <c r="A701" s="11"/>
      <c r="B701" s="88"/>
      <c r="C701" s="25"/>
      <c r="D701" s="25"/>
    </row>
    <row r="702">
      <c r="A702" s="11"/>
      <c r="B702" s="88"/>
      <c r="C702" s="25"/>
      <c r="D702" s="25"/>
    </row>
    <row r="703">
      <c r="A703" s="11"/>
      <c r="B703" s="88"/>
      <c r="C703" s="25"/>
      <c r="D703" s="25"/>
    </row>
    <row r="704">
      <c r="A704" s="11"/>
      <c r="B704" s="88"/>
      <c r="C704" s="25"/>
      <c r="D704" s="25"/>
    </row>
    <row r="705">
      <c r="A705" s="11"/>
      <c r="B705" s="88"/>
      <c r="C705" s="25"/>
      <c r="D705" s="25"/>
    </row>
    <row r="706">
      <c r="A706" s="11"/>
      <c r="B706" s="88"/>
      <c r="C706" s="25"/>
      <c r="D706" s="25"/>
    </row>
    <row r="707">
      <c r="A707" s="11"/>
      <c r="B707" s="88"/>
      <c r="C707" s="25"/>
      <c r="D707" s="25"/>
    </row>
    <row r="708">
      <c r="A708" s="11"/>
      <c r="B708" s="88"/>
      <c r="C708" s="25"/>
      <c r="D708" s="25"/>
    </row>
    <row r="709">
      <c r="A709" s="11"/>
      <c r="B709" s="88"/>
      <c r="C709" s="25"/>
      <c r="D709" s="25"/>
    </row>
    <row r="710">
      <c r="A710" s="11"/>
      <c r="B710" s="88"/>
      <c r="C710" s="25"/>
      <c r="D710" s="25"/>
    </row>
    <row r="711">
      <c r="A711" s="11"/>
      <c r="B711" s="88"/>
      <c r="C711" s="25"/>
      <c r="D711" s="25"/>
    </row>
    <row r="712">
      <c r="A712" s="11"/>
      <c r="B712" s="88"/>
      <c r="C712" s="25"/>
      <c r="D712" s="25"/>
    </row>
    <row r="713">
      <c r="A713" s="11"/>
      <c r="B713" s="88"/>
      <c r="C713" s="25"/>
      <c r="D713" s="25"/>
    </row>
    <row r="714">
      <c r="A714" s="11"/>
      <c r="B714" s="88"/>
      <c r="C714" s="25"/>
      <c r="D714" s="25"/>
    </row>
    <row r="715">
      <c r="A715" s="11"/>
      <c r="B715" s="88"/>
      <c r="C715" s="25"/>
      <c r="D715" s="25"/>
    </row>
    <row r="716">
      <c r="A716" s="11"/>
      <c r="B716" s="88"/>
      <c r="C716" s="25"/>
      <c r="D716" s="25"/>
    </row>
    <row r="717">
      <c r="A717" s="11"/>
      <c r="B717" s="88"/>
      <c r="C717" s="25"/>
      <c r="D717" s="25"/>
    </row>
    <row r="718">
      <c r="A718" s="11"/>
      <c r="B718" s="88"/>
      <c r="C718" s="25"/>
      <c r="D718" s="25"/>
    </row>
    <row r="719">
      <c r="A719" s="11"/>
      <c r="B719" s="88"/>
      <c r="C719" s="25"/>
      <c r="D719" s="25"/>
    </row>
    <row r="720">
      <c r="A720" s="11"/>
      <c r="B720" s="88"/>
      <c r="C720" s="25"/>
      <c r="D720" s="25"/>
    </row>
    <row r="721">
      <c r="A721" s="11"/>
      <c r="B721" s="88"/>
      <c r="C721" s="25"/>
      <c r="D721" s="25"/>
    </row>
    <row r="722">
      <c r="A722" s="11"/>
      <c r="B722" s="88"/>
      <c r="C722" s="25"/>
      <c r="D722" s="25"/>
    </row>
    <row r="723">
      <c r="A723" s="11"/>
      <c r="B723" s="88"/>
      <c r="C723" s="25"/>
      <c r="D723" s="25"/>
    </row>
    <row r="724">
      <c r="A724" s="11"/>
      <c r="B724" s="88"/>
      <c r="C724" s="25"/>
      <c r="D724" s="25"/>
    </row>
    <row r="725">
      <c r="A725" s="11"/>
      <c r="B725" s="88"/>
      <c r="C725" s="25"/>
      <c r="D725" s="25"/>
    </row>
    <row r="726">
      <c r="A726" s="11"/>
      <c r="B726" s="88"/>
      <c r="C726" s="25"/>
      <c r="D726" s="25"/>
    </row>
    <row r="727">
      <c r="A727" s="11"/>
      <c r="B727" s="88"/>
      <c r="C727" s="25"/>
      <c r="D727" s="25"/>
    </row>
    <row r="728">
      <c r="A728" s="11"/>
      <c r="B728" s="88"/>
      <c r="C728" s="25"/>
      <c r="D728" s="25"/>
    </row>
    <row r="729">
      <c r="A729" s="11"/>
      <c r="B729" s="88"/>
      <c r="C729" s="25"/>
      <c r="D729" s="25"/>
    </row>
    <row r="730">
      <c r="A730" s="11"/>
      <c r="B730" s="88"/>
      <c r="C730" s="25"/>
      <c r="D730" s="25"/>
    </row>
    <row r="731">
      <c r="A731" s="11"/>
      <c r="B731" s="88"/>
      <c r="C731" s="25"/>
      <c r="D731" s="25"/>
    </row>
    <row r="732">
      <c r="A732" s="11"/>
      <c r="B732" s="88"/>
      <c r="C732" s="25"/>
      <c r="D732" s="25"/>
    </row>
    <row r="733">
      <c r="A733" s="11"/>
      <c r="B733" s="88"/>
      <c r="C733" s="25"/>
      <c r="D733" s="25"/>
    </row>
    <row r="734">
      <c r="A734" s="11"/>
      <c r="B734" s="88"/>
      <c r="C734" s="25"/>
      <c r="D734" s="25"/>
    </row>
    <row r="735">
      <c r="A735" s="11"/>
      <c r="B735" s="88"/>
      <c r="C735" s="25"/>
      <c r="D735" s="25"/>
    </row>
    <row r="736">
      <c r="A736" s="11"/>
      <c r="B736" s="88"/>
      <c r="C736" s="25"/>
      <c r="D736" s="25"/>
    </row>
    <row r="737">
      <c r="A737" s="11"/>
      <c r="B737" s="88"/>
      <c r="C737" s="25"/>
      <c r="D737" s="25"/>
    </row>
    <row r="738">
      <c r="A738" s="11"/>
      <c r="B738" s="88"/>
      <c r="C738" s="25"/>
      <c r="D738" s="25"/>
    </row>
    <row r="739">
      <c r="A739" s="11"/>
      <c r="B739" s="88"/>
      <c r="C739" s="25"/>
      <c r="D739" s="25"/>
    </row>
    <row r="740">
      <c r="A740" s="11"/>
      <c r="B740" s="88"/>
      <c r="C740" s="25"/>
      <c r="D740" s="25"/>
    </row>
    <row r="741">
      <c r="A741" s="11"/>
      <c r="B741" s="88"/>
      <c r="C741" s="25"/>
      <c r="D741" s="25"/>
    </row>
    <row r="742">
      <c r="A742" s="11"/>
      <c r="B742" s="88"/>
      <c r="C742" s="25"/>
      <c r="D742" s="25"/>
    </row>
    <row r="743">
      <c r="A743" s="11"/>
      <c r="B743" s="88"/>
      <c r="C743" s="25"/>
      <c r="D743" s="25"/>
    </row>
    <row r="744">
      <c r="A744" s="11"/>
      <c r="B744" s="88"/>
      <c r="C744" s="25"/>
      <c r="D744" s="25"/>
    </row>
    <row r="745">
      <c r="A745" s="11"/>
      <c r="B745" s="88"/>
      <c r="C745" s="25"/>
      <c r="D745" s="25"/>
    </row>
    <row r="746">
      <c r="A746" s="11"/>
      <c r="B746" s="88"/>
      <c r="C746" s="25"/>
      <c r="D746" s="25"/>
    </row>
    <row r="747">
      <c r="A747" s="11"/>
      <c r="B747" s="88"/>
      <c r="C747" s="25"/>
      <c r="D747" s="25"/>
    </row>
    <row r="748">
      <c r="A748" s="11"/>
      <c r="B748" s="88"/>
      <c r="C748" s="25"/>
      <c r="D748" s="25"/>
    </row>
    <row r="749">
      <c r="A749" s="11"/>
      <c r="B749" s="88"/>
      <c r="C749" s="25"/>
      <c r="D749" s="25"/>
    </row>
    <row r="750">
      <c r="A750" s="11"/>
      <c r="B750" s="88"/>
      <c r="C750" s="25"/>
      <c r="D750" s="25"/>
    </row>
    <row r="751">
      <c r="A751" s="11"/>
      <c r="B751" s="88"/>
      <c r="C751" s="25"/>
      <c r="D751" s="25"/>
    </row>
    <row r="752">
      <c r="A752" s="11"/>
      <c r="B752" s="88"/>
      <c r="C752" s="25"/>
      <c r="D752" s="25"/>
    </row>
    <row r="753">
      <c r="A753" s="11"/>
      <c r="B753" s="88"/>
      <c r="C753" s="25"/>
      <c r="D753" s="25"/>
    </row>
    <row r="754">
      <c r="A754" s="11"/>
      <c r="B754" s="88"/>
      <c r="C754" s="25"/>
      <c r="D754" s="25"/>
    </row>
    <row r="755">
      <c r="A755" s="11"/>
      <c r="B755" s="88"/>
      <c r="C755" s="25"/>
      <c r="D755" s="25"/>
    </row>
    <row r="756">
      <c r="A756" s="11"/>
      <c r="B756" s="88"/>
      <c r="C756" s="25"/>
      <c r="D756" s="25"/>
    </row>
    <row r="757">
      <c r="A757" s="11"/>
      <c r="B757" s="88"/>
      <c r="C757" s="25"/>
      <c r="D757" s="25"/>
    </row>
    <row r="758">
      <c r="A758" s="11"/>
      <c r="B758" s="88"/>
      <c r="C758" s="25"/>
      <c r="D758" s="25"/>
    </row>
    <row r="759">
      <c r="A759" s="11"/>
      <c r="B759" s="88"/>
      <c r="C759" s="25"/>
      <c r="D759" s="25"/>
    </row>
    <row r="760">
      <c r="A760" s="11"/>
      <c r="B760" s="88"/>
      <c r="C760" s="25"/>
      <c r="D760" s="25"/>
    </row>
    <row r="761">
      <c r="A761" s="11"/>
      <c r="B761" s="88"/>
      <c r="C761" s="25"/>
      <c r="D761" s="25"/>
    </row>
    <row r="762">
      <c r="A762" s="11"/>
      <c r="B762" s="88"/>
      <c r="C762" s="25"/>
      <c r="D762" s="25"/>
    </row>
    <row r="763">
      <c r="A763" s="11"/>
      <c r="B763" s="88"/>
      <c r="C763" s="25"/>
      <c r="D763" s="25"/>
    </row>
    <row r="764">
      <c r="A764" s="11"/>
      <c r="B764" s="88"/>
      <c r="C764" s="25"/>
      <c r="D764" s="25"/>
    </row>
    <row r="765">
      <c r="A765" s="11"/>
      <c r="B765" s="88"/>
      <c r="C765" s="25"/>
      <c r="D765" s="25"/>
    </row>
    <row r="766">
      <c r="A766" s="11"/>
      <c r="B766" s="88"/>
      <c r="C766" s="25"/>
      <c r="D766" s="25"/>
    </row>
    <row r="767">
      <c r="A767" s="11"/>
      <c r="B767" s="88"/>
      <c r="C767" s="25"/>
      <c r="D767" s="25"/>
    </row>
    <row r="768">
      <c r="A768" s="11"/>
      <c r="B768" s="88"/>
      <c r="C768" s="25"/>
      <c r="D768" s="25"/>
    </row>
    <row r="769">
      <c r="A769" s="11"/>
      <c r="B769" s="88"/>
      <c r="C769" s="25"/>
      <c r="D769" s="25"/>
    </row>
    <row r="770">
      <c r="A770" s="11"/>
      <c r="B770" s="88"/>
      <c r="C770" s="25"/>
      <c r="D770" s="25"/>
    </row>
    <row r="771">
      <c r="A771" s="11"/>
      <c r="B771" s="88"/>
      <c r="C771" s="25"/>
      <c r="D771" s="25"/>
    </row>
    <row r="772">
      <c r="A772" s="11"/>
      <c r="B772" s="88"/>
      <c r="C772" s="25"/>
      <c r="D772" s="25"/>
    </row>
    <row r="773">
      <c r="A773" s="11"/>
      <c r="B773" s="88"/>
      <c r="C773" s="25"/>
      <c r="D773" s="25"/>
    </row>
    <row r="774">
      <c r="A774" s="11"/>
      <c r="B774" s="88"/>
      <c r="C774" s="25"/>
      <c r="D774" s="25"/>
    </row>
    <row r="775">
      <c r="A775" s="11"/>
      <c r="B775" s="88"/>
      <c r="C775" s="25"/>
      <c r="D775" s="25"/>
    </row>
    <row r="776">
      <c r="A776" s="11"/>
      <c r="B776" s="88"/>
      <c r="C776" s="25"/>
      <c r="D776" s="25"/>
    </row>
    <row r="777">
      <c r="A777" s="11"/>
      <c r="B777" s="88"/>
      <c r="C777" s="25"/>
      <c r="D777" s="25"/>
    </row>
    <row r="778">
      <c r="A778" s="11"/>
      <c r="B778" s="88"/>
      <c r="C778" s="25"/>
      <c r="D778" s="25"/>
    </row>
    <row r="779">
      <c r="A779" s="11"/>
      <c r="B779" s="88"/>
      <c r="C779" s="25"/>
      <c r="D779" s="25"/>
    </row>
    <row r="780">
      <c r="A780" s="11"/>
      <c r="B780" s="88"/>
      <c r="C780" s="25"/>
      <c r="D780" s="25"/>
    </row>
    <row r="781">
      <c r="A781" s="11"/>
      <c r="B781" s="88"/>
      <c r="C781" s="25"/>
      <c r="D781" s="25"/>
    </row>
    <row r="782">
      <c r="A782" s="11"/>
      <c r="B782" s="88"/>
      <c r="C782" s="25"/>
      <c r="D782" s="25"/>
    </row>
    <row r="783">
      <c r="A783" s="11"/>
      <c r="B783" s="88"/>
      <c r="C783" s="25"/>
      <c r="D783" s="25"/>
    </row>
    <row r="784">
      <c r="A784" s="11"/>
      <c r="B784" s="88"/>
      <c r="C784" s="25"/>
      <c r="D784" s="25"/>
    </row>
    <row r="785">
      <c r="A785" s="11"/>
      <c r="B785" s="88"/>
      <c r="C785" s="25"/>
      <c r="D785" s="25"/>
    </row>
    <row r="786">
      <c r="A786" s="11"/>
      <c r="B786" s="88"/>
      <c r="C786" s="25"/>
      <c r="D786" s="25"/>
    </row>
    <row r="787">
      <c r="A787" s="11"/>
      <c r="B787" s="88"/>
      <c r="C787" s="25"/>
      <c r="D787" s="25"/>
    </row>
    <row r="788">
      <c r="A788" s="11"/>
      <c r="B788" s="88"/>
      <c r="C788" s="25"/>
      <c r="D788" s="25"/>
    </row>
    <row r="789">
      <c r="A789" s="11"/>
      <c r="B789" s="88"/>
      <c r="C789" s="25"/>
      <c r="D789" s="25"/>
    </row>
    <row r="790">
      <c r="A790" s="11"/>
      <c r="B790" s="88"/>
      <c r="C790" s="25"/>
      <c r="D790" s="25"/>
    </row>
    <row r="791">
      <c r="A791" s="11"/>
      <c r="B791" s="88"/>
      <c r="C791" s="25"/>
      <c r="D791" s="25"/>
    </row>
    <row r="792">
      <c r="A792" s="11"/>
      <c r="B792" s="88"/>
      <c r="C792" s="25"/>
      <c r="D792" s="25"/>
    </row>
    <row r="793">
      <c r="A793" s="11"/>
      <c r="B793" s="88"/>
      <c r="C793" s="25"/>
      <c r="D793" s="25"/>
    </row>
    <row r="794">
      <c r="A794" s="11"/>
      <c r="B794" s="88"/>
      <c r="C794" s="25"/>
      <c r="D794" s="25"/>
    </row>
    <row r="795">
      <c r="A795" s="11"/>
      <c r="B795" s="88"/>
      <c r="C795" s="25"/>
      <c r="D795" s="25"/>
    </row>
    <row r="796">
      <c r="A796" s="11"/>
      <c r="B796" s="88"/>
      <c r="C796" s="25"/>
      <c r="D796" s="25"/>
    </row>
    <row r="797">
      <c r="A797" s="11"/>
      <c r="B797" s="88"/>
      <c r="C797" s="25"/>
      <c r="D797" s="25"/>
    </row>
    <row r="798">
      <c r="A798" s="11"/>
      <c r="B798" s="88"/>
      <c r="C798" s="25"/>
      <c r="D798" s="25"/>
    </row>
    <row r="799">
      <c r="A799" s="11"/>
      <c r="B799" s="88"/>
      <c r="C799" s="25"/>
      <c r="D799" s="25"/>
    </row>
    <row r="800">
      <c r="A800" s="11"/>
      <c r="B800" s="88"/>
      <c r="C800" s="25"/>
      <c r="D800" s="25"/>
    </row>
    <row r="801">
      <c r="A801" s="11"/>
      <c r="B801" s="88"/>
      <c r="C801" s="25"/>
      <c r="D801" s="25"/>
    </row>
    <row r="802">
      <c r="A802" s="11"/>
      <c r="B802" s="88"/>
      <c r="C802" s="25"/>
      <c r="D802" s="25"/>
    </row>
    <row r="803">
      <c r="A803" s="11"/>
      <c r="B803" s="88"/>
      <c r="C803" s="25"/>
      <c r="D803" s="25"/>
    </row>
    <row r="804">
      <c r="A804" s="11"/>
      <c r="B804" s="88"/>
      <c r="C804" s="25"/>
      <c r="D804" s="25"/>
    </row>
    <row r="805">
      <c r="A805" s="11"/>
      <c r="B805" s="88"/>
      <c r="C805" s="25"/>
      <c r="D805" s="25"/>
    </row>
    <row r="806">
      <c r="A806" s="11"/>
      <c r="B806" s="88"/>
      <c r="C806" s="25"/>
      <c r="D806" s="25"/>
    </row>
    <row r="807">
      <c r="A807" s="11"/>
      <c r="B807" s="88"/>
      <c r="C807" s="25"/>
      <c r="D807" s="25"/>
    </row>
    <row r="808">
      <c r="A808" s="11"/>
      <c r="B808" s="88"/>
      <c r="C808" s="25"/>
      <c r="D808" s="25"/>
    </row>
    <row r="809">
      <c r="A809" s="11"/>
      <c r="B809" s="88"/>
      <c r="C809" s="25"/>
      <c r="D809" s="25"/>
    </row>
    <row r="810">
      <c r="A810" s="11"/>
      <c r="B810" s="88"/>
      <c r="C810" s="25"/>
      <c r="D810" s="25"/>
    </row>
    <row r="811">
      <c r="A811" s="11"/>
      <c r="B811" s="88"/>
      <c r="C811" s="25"/>
      <c r="D811" s="25"/>
    </row>
    <row r="812">
      <c r="A812" s="11"/>
      <c r="B812" s="88"/>
      <c r="C812" s="25"/>
      <c r="D812" s="25"/>
    </row>
    <row r="813">
      <c r="A813" s="11"/>
      <c r="B813" s="88"/>
      <c r="C813" s="25"/>
      <c r="D813" s="25"/>
    </row>
    <row r="814">
      <c r="A814" s="11"/>
      <c r="B814" s="88"/>
      <c r="C814" s="25"/>
      <c r="D814" s="25"/>
    </row>
    <row r="815">
      <c r="A815" s="11"/>
      <c r="B815" s="88"/>
      <c r="C815" s="25"/>
      <c r="D815" s="25"/>
    </row>
    <row r="816">
      <c r="A816" s="11"/>
      <c r="B816" s="88"/>
      <c r="C816" s="25"/>
      <c r="D816" s="25"/>
    </row>
    <row r="817">
      <c r="A817" s="11"/>
      <c r="B817" s="88"/>
      <c r="C817" s="25"/>
      <c r="D817" s="25"/>
    </row>
    <row r="818">
      <c r="A818" s="11"/>
      <c r="B818" s="88"/>
      <c r="C818" s="25"/>
      <c r="D818" s="25"/>
    </row>
    <row r="819">
      <c r="A819" s="11"/>
      <c r="B819" s="88"/>
      <c r="C819" s="25"/>
      <c r="D819" s="25"/>
    </row>
    <row r="820">
      <c r="A820" s="11"/>
      <c r="B820" s="88"/>
      <c r="C820" s="25"/>
      <c r="D820" s="25"/>
    </row>
    <row r="821">
      <c r="A821" s="11"/>
      <c r="B821" s="88"/>
      <c r="C821" s="25"/>
      <c r="D821" s="25"/>
    </row>
    <row r="822">
      <c r="A822" s="11"/>
      <c r="B822" s="88"/>
      <c r="C822" s="25"/>
      <c r="D822" s="25"/>
    </row>
    <row r="823">
      <c r="A823" s="11"/>
      <c r="B823" s="88"/>
      <c r="C823" s="25"/>
      <c r="D823" s="25"/>
    </row>
    <row r="824">
      <c r="A824" s="11"/>
      <c r="B824" s="88"/>
      <c r="C824" s="25"/>
      <c r="D824" s="25"/>
    </row>
    <row r="825">
      <c r="A825" s="11"/>
      <c r="B825" s="88"/>
      <c r="C825" s="25"/>
      <c r="D825" s="25"/>
    </row>
    <row r="826">
      <c r="A826" s="11"/>
      <c r="B826" s="88"/>
      <c r="C826" s="25"/>
      <c r="D826" s="25"/>
    </row>
    <row r="827">
      <c r="A827" s="11"/>
      <c r="B827" s="88"/>
      <c r="C827" s="25"/>
      <c r="D827" s="25"/>
    </row>
    <row r="828">
      <c r="A828" s="11"/>
      <c r="B828" s="88"/>
      <c r="C828" s="25"/>
      <c r="D828" s="25"/>
    </row>
    <row r="829">
      <c r="A829" s="11"/>
      <c r="B829" s="88"/>
      <c r="C829" s="25"/>
      <c r="D829" s="25"/>
    </row>
    <row r="830">
      <c r="A830" s="11"/>
      <c r="B830" s="88"/>
      <c r="C830" s="25"/>
      <c r="D830" s="25"/>
    </row>
    <row r="831">
      <c r="A831" s="11"/>
      <c r="B831" s="88"/>
      <c r="C831" s="25"/>
      <c r="D831" s="25"/>
    </row>
    <row r="832">
      <c r="A832" s="11"/>
      <c r="B832" s="88"/>
      <c r="C832" s="25"/>
      <c r="D832" s="25"/>
    </row>
    <row r="833">
      <c r="A833" s="11"/>
      <c r="B833" s="88"/>
      <c r="C833" s="25"/>
      <c r="D833" s="25"/>
    </row>
    <row r="834">
      <c r="A834" s="11"/>
      <c r="B834" s="88"/>
      <c r="C834" s="25"/>
      <c r="D834" s="25"/>
    </row>
    <row r="835">
      <c r="A835" s="11"/>
      <c r="B835" s="88"/>
      <c r="C835" s="25"/>
      <c r="D835" s="25"/>
    </row>
    <row r="836">
      <c r="A836" s="11"/>
      <c r="B836" s="88"/>
      <c r="C836" s="25"/>
      <c r="D836" s="25"/>
    </row>
    <row r="837">
      <c r="A837" s="11"/>
      <c r="B837" s="88"/>
      <c r="C837" s="25"/>
      <c r="D837" s="25"/>
    </row>
    <row r="838">
      <c r="A838" s="11"/>
      <c r="B838" s="88"/>
      <c r="C838" s="25"/>
      <c r="D838" s="25"/>
    </row>
    <row r="839">
      <c r="A839" s="11"/>
      <c r="B839" s="88"/>
      <c r="C839" s="25"/>
      <c r="D839" s="25"/>
    </row>
    <row r="840">
      <c r="A840" s="11"/>
      <c r="B840" s="88"/>
      <c r="C840" s="25"/>
      <c r="D840" s="25"/>
    </row>
    <row r="841">
      <c r="A841" s="11"/>
      <c r="B841" s="88"/>
      <c r="C841" s="25"/>
      <c r="D841" s="25"/>
    </row>
    <row r="842">
      <c r="A842" s="11"/>
      <c r="B842" s="88"/>
      <c r="C842" s="25"/>
      <c r="D842" s="25"/>
    </row>
    <row r="843">
      <c r="A843" s="11"/>
      <c r="B843" s="88"/>
      <c r="C843" s="25"/>
      <c r="D843" s="25"/>
    </row>
    <row r="844">
      <c r="A844" s="11"/>
      <c r="B844" s="88"/>
      <c r="C844" s="25"/>
      <c r="D844" s="25"/>
    </row>
    <row r="845">
      <c r="A845" s="11"/>
      <c r="B845" s="88"/>
      <c r="C845" s="25"/>
      <c r="D845" s="25"/>
    </row>
    <row r="846">
      <c r="A846" s="11"/>
      <c r="B846" s="88"/>
      <c r="C846" s="25"/>
      <c r="D846" s="25"/>
    </row>
    <row r="847">
      <c r="A847" s="11"/>
      <c r="B847" s="88"/>
      <c r="C847" s="25"/>
      <c r="D847" s="25"/>
    </row>
    <row r="848">
      <c r="A848" s="11"/>
      <c r="B848" s="88"/>
      <c r="C848" s="25"/>
      <c r="D848" s="25"/>
    </row>
    <row r="849">
      <c r="A849" s="11"/>
      <c r="B849" s="88"/>
      <c r="C849" s="25"/>
      <c r="D849" s="25"/>
    </row>
    <row r="850">
      <c r="A850" s="11"/>
      <c r="B850" s="88"/>
      <c r="C850" s="25"/>
      <c r="D850" s="25"/>
    </row>
    <row r="851">
      <c r="A851" s="11"/>
      <c r="B851" s="88"/>
      <c r="C851" s="25"/>
      <c r="D851" s="25"/>
    </row>
    <row r="852">
      <c r="A852" s="11"/>
      <c r="B852" s="88"/>
      <c r="C852" s="25"/>
      <c r="D852" s="25"/>
    </row>
    <row r="853">
      <c r="A853" s="11"/>
      <c r="B853" s="88"/>
      <c r="C853" s="25"/>
      <c r="D853" s="25"/>
    </row>
    <row r="854">
      <c r="A854" s="11"/>
      <c r="B854" s="88"/>
      <c r="C854" s="25"/>
      <c r="D854" s="25"/>
    </row>
    <row r="855">
      <c r="A855" s="11"/>
      <c r="B855" s="88"/>
      <c r="C855" s="25"/>
      <c r="D855" s="25"/>
    </row>
    <row r="856">
      <c r="A856" s="11"/>
      <c r="B856" s="88"/>
      <c r="C856" s="25"/>
      <c r="D856" s="25"/>
    </row>
    <row r="857">
      <c r="A857" s="11"/>
      <c r="B857" s="88"/>
      <c r="C857" s="25"/>
      <c r="D857" s="25"/>
    </row>
    <row r="858">
      <c r="A858" s="11"/>
      <c r="B858" s="88"/>
      <c r="C858" s="25"/>
      <c r="D858" s="25"/>
    </row>
    <row r="859">
      <c r="A859" s="11"/>
      <c r="B859" s="88"/>
      <c r="C859" s="25"/>
      <c r="D859" s="25"/>
    </row>
    <row r="860">
      <c r="A860" s="11"/>
      <c r="B860" s="88"/>
      <c r="C860" s="25"/>
      <c r="D860" s="25"/>
    </row>
    <row r="861">
      <c r="A861" s="11"/>
      <c r="B861" s="88"/>
      <c r="C861" s="25"/>
      <c r="D861" s="25"/>
    </row>
    <row r="862">
      <c r="A862" s="11"/>
      <c r="B862" s="88"/>
      <c r="C862" s="25"/>
      <c r="D862" s="25"/>
    </row>
    <row r="863">
      <c r="A863" s="11"/>
      <c r="B863" s="88"/>
      <c r="C863" s="25"/>
      <c r="D863" s="25"/>
    </row>
    <row r="864">
      <c r="A864" s="11"/>
      <c r="B864" s="88"/>
      <c r="C864" s="25"/>
      <c r="D864" s="25"/>
    </row>
    <row r="865">
      <c r="A865" s="11"/>
      <c r="B865" s="88"/>
      <c r="C865" s="25"/>
      <c r="D865" s="25"/>
    </row>
    <row r="866">
      <c r="A866" s="11"/>
      <c r="B866" s="88"/>
      <c r="C866" s="25"/>
      <c r="D866" s="25"/>
    </row>
    <row r="867">
      <c r="A867" s="11"/>
      <c r="B867" s="88"/>
      <c r="C867" s="25"/>
      <c r="D867" s="25"/>
    </row>
    <row r="868">
      <c r="A868" s="11"/>
      <c r="B868" s="88"/>
      <c r="C868" s="25"/>
      <c r="D868" s="25"/>
    </row>
    <row r="869">
      <c r="A869" s="11"/>
      <c r="B869" s="88"/>
      <c r="C869" s="25"/>
      <c r="D869" s="25"/>
    </row>
    <row r="870">
      <c r="A870" s="11"/>
      <c r="B870" s="88"/>
      <c r="C870" s="25"/>
      <c r="D870" s="25"/>
    </row>
    <row r="871">
      <c r="A871" s="11"/>
      <c r="B871" s="88"/>
      <c r="C871" s="25"/>
      <c r="D871" s="25"/>
    </row>
    <row r="872">
      <c r="A872" s="11"/>
      <c r="B872" s="88"/>
      <c r="C872" s="25"/>
      <c r="D872" s="25"/>
    </row>
    <row r="873">
      <c r="A873" s="11"/>
      <c r="B873" s="88"/>
      <c r="C873" s="25"/>
      <c r="D873" s="25"/>
    </row>
    <row r="874">
      <c r="A874" s="11"/>
      <c r="B874" s="88"/>
      <c r="C874" s="25"/>
      <c r="D874" s="25"/>
    </row>
    <row r="875">
      <c r="A875" s="11"/>
      <c r="B875" s="88"/>
      <c r="C875" s="25"/>
      <c r="D875" s="25"/>
    </row>
    <row r="876">
      <c r="A876" s="11"/>
      <c r="B876" s="88"/>
      <c r="C876" s="25"/>
      <c r="D876" s="25"/>
    </row>
    <row r="877">
      <c r="A877" s="11"/>
      <c r="B877" s="88"/>
      <c r="C877" s="25"/>
      <c r="D877" s="25"/>
    </row>
    <row r="878">
      <c r="A878" s="11"/>
      <c r="B878" s="88"/>
      <c r="C878" s="25"/>
      <c r="D878" s="25"/>
    </row>
    <row r="879">
      <c r="A879" s="11"/>
      <c r="B879" s="88"/>
      <c r="C879" s="25"/>
      <c r="D879" s="25"/>
    </row>
    <row r="880">
      <c r="A880" s="11"/>
      <c r="B880" s="88"/>
      <c r="C880" s="25"/>
      <c r="D880" s="25"/>
    </row>
    <row r="881">
      <c r="A881" s="11"/>
      <c r="B881" s="88"/>
      <c r="C881" s="25"/>
      <c r="D881" s="25"/>
    </row>
    <row r="882">
      <c r="A882" s="11"/>
      <c r="B882" s="88"/>
      <c r="C882" s="25"/>
      <c r="D882" s="25"/>
    </row>
    <row r="883">
      <c r="A883" s="11"/>
      <c r="B883" s="88"/>
      <c r="C883" s="25"/>
      <c r="D883" s="25"/>
    </row>
    <row r="884">
      <c r="A884" s="11"/>
      <c r="B884" s="88"/>
      <c r="C884" s="25"/>
      <c r="D884" s="25"/>
    </row>
    <row r="885">
      <c r="A885" s="11"/>
      <c r="B885" s="88"/>
      <c r="C885" s="25"/>
      <c r="D885" s="25"/>
    </row>
    <row r="886">
      <c r="A886" s="11"/>
      <c r="B886" s="88"/>
      <c r="C886" s="25"/>
      <c r="D886" s="25"/>
    </row>
    <row r="887">
      <c r="A887" s="11"/>
      <c r="B887" s="88"/>
      <c r="C887" s="25"/>
      <c r="D887" s="25"/>
    </row>
    <row r="888">
      <c r="A888" s="11"/>
      <c r="B888" s="88"/>
      <c r="C888" s="25"/>
      <c r="D888" s="25"/>
    </row>
    <row r="889">
      <c r="A889" s="11"/>
      <c r="B889" s="88"/>
      <c r="C889" s="25"/>
      <c r="D889" s="25"/>
    </row>
    <row r="890">
      <c r="A890" s="11"/>
      <c r="B890" s="88"/>
      <c r="C890" s="25"/>
      <c r="D890" s="25"/>
    </row>
    <row r="891">
      <c r="A891" s="11"/>
      <c r="B891" s="88"/>
      <c r="C891" s="25"/>
      <c r="D891" s="25"/>
    </row>
    <row r="892">
      <c r="A892" s="11"/>
      <c r="B892" s="88"/>
      <c r="C892" s="25"/>
      <c r="D892" s="25"/>
    </row>
    <row r="893">
      <c r="A893" s="11"/>
      <c r="B893" s="88"/>
      <c r="C893" s="25"/>
      <c r="D893" s="25"/>
    </row>
    <row r="894">
      <c r="A894" s="11"/>
      <c r="B894" s="88"/>
      <c r="C894" s="25"/>
      <c r="D894" s="25"/>
    </row>
    <row r="895">
      <c r="A895" s="11"/>
      <c r="B895" s="88"/>
      <c r="C895" s="25"/>
      <c r="D895" s="25"/>
    </row>
    <row r="896">
      <c r="A896" s="11"/>
      <c r="B896" s="88"/>
      <c r="C896" s="25"/>
      <c r="D896" s="25"/>
    </row>
    <row r="897">
      <c r="A897" s="11"/>
      <c r="B897" s="88"/>
      <c r="C897" s="25"/>
      <c r="D897" s="25"/>
    </row>
    <row r="898">
      <c r="A898" s="11"/>
      <c r="B898" s="88"/>
      <c r="C898" s="25"/>
      <c r="D898" s="25"/>
    </row>
    <row r="899">
      <c r="A899" s="11"/>
      <c r="B899" s="88"/>
      <c r="C899" s="25"/>
      <c r="D899" s="25"/>
    </row>
    <row r="900">
      <c r="A900" s="11"/>
      <c r="B900" s="88"/>
      <c r="C900" s="25"/>
      <c r="D900" s="25"/>
    </row>
    <row r="901">
      <c r="A901" s="11"/>
      <c r="B901" s="88"/>
      <c r="C901" s="25"/>
      <c r="D901" s="25"/>
    </row>
    <row r="902">
      <c r="A902" s="11"/>
      <c r="B902" s="88"/>
      <c r="C902" s="25"/>
      <c r="D902" s="25"/>
    </row>
    <row r="903">
      <c r="A903" s="11"/>
      <c r="B903" s="88"/>
      <c r="C903" s="25"/>
      <c r="D903" s="25"/>
    </row>
    <row r="904">
      <c r="A904" s="11"/>
      <c r="B904" s="88"/>
      <c r="C904" s="25"/>
      <c r="D904" s="25"/>
    </row>
    <row r="905">
      <c r="A905" s="11"/>
      <c r="B905" s="88"/>
      <c r="C905" s="25"/>
      <c r="D905" s="25"/>
    </row>
    <row r="906">
      <c r="A906" s="11"/>
      <c r="B906" s="88"/>
      <c r="C906" s="25"/>
      <c r="D906" s="25"/>
    </row>
    <row r="907">
      <c r="A907" s="11"/>
      <c r="B907" s="88"/>
      <c r="C907" s="25"/>
      <c r="D907" s="25"/>
    </row>
    <row r="908">
      <c r="A908" s="11"/>
      <c r="B908" s="88"/>
      <c r="C908" s="25"/>
      <c r="D908" s="25"/>
    </row>
    <row r="909">
      <c r="A909" s="11"/>
      <c r="B909" s="88"/>
      <c r="C909" s="25"/>
      <c r="D909" s="25"/>
    </row>
    <row r="910">
      <c r="A910" s="11"/>
      <c r="B910" s="88"/>
      <c r="C910" s="25"/>
      <c r="D910" s="25"/>
    </row>
    <row r="911">
      <c r="A911" s="11"/>
      <c r="B911" s="88"/>
      <c r="C911" s="25"/>
      <c r="D911" s="25"/>
    </row>
    <row r="912">
      <c r="A912" s="11"/>
      <c r="B912" s="88"/>
      <c r="C912" s="25"/>
      <c r="D912" s="25"/>
    </row>
    <row r="913">
      <c r="A913" s="11"/>
      <c r="B913" s="88"/>
      <c r="C913" s="25"/>
      <c r="D913" s="25"/>
    </row>
    <row r="914">
      <c r="A914" s="11"/>
      <c r="B914" s="88"/>
      <c r="C914" s="25"/>
      <c r="D914" s="25"/>
    </row>
    <row r="915">
      <c r="A915" s="11"/>
      <c r="B915" s="88"/>
      <c r="C915" s="25"/>
      <c r="D915" s="25"/>
    </row>
    <row r="916">
      <c r="A916" s="11"/>
      <c r="B916" s="88"/>
      <c r="C916" s="25"/>
      <c r="D916" s="25"/>
    </row>
    <row r="917">
      <c r="A917" s="11"/>
      <c r="B917" s="88"/>
      <c r="C917" s="25"/>
      <c r="D917" s="25"/>
    </row>
    <row r="918">
      <c r="A918" s="11"/>
      <c r="B918" s="88"/>
      <c r="C918" s="25"/>
      <c r="D918" s="25"/>
    </row>
    <row r="919">
      <c r="A919" s="11"/>
      <c r="B919" s="88"/>
      <c r="C919" s="25"/>
      <c r="D919" s="25"/>
    </row>
    <row r="920">
      <c r="A920" s="11"/>
      <c r="B920" s="88"/>
      <c r="C920" s="25"/>
      <c r="D920" s="25"/>
    </row>
    <row r="921">
      <c r="A921" s="11"/>
      <c r="B921" s="88"/>
      <c r="C921" s="25"/>
      <c r="D921" s="25"/>
    </row>
    <row r="922">
      <c r="A922" s="11"/>
      <c r="B922" s="88"/>
      <c r="C922" s="25"/>
      <c r="D922" s="25"/>
    </row>
    <row r="923">
      <c r="A923" s="11"/>
      <c r="B923" s="88"/>
      <c r="C923" s="25"/>
      <c r="D923" s="25"/>
    </row>
    <row r="924">
      <c r="A924" s="11"/>
      <c r="B924" s="88"/>
      <c r="C924" s="25"/>
      <c r="D924" s="25"/>
    </row>
    <row r="925">
      <c r="A925" s="11"/>
      <c r="B925" s="88"/>
      <c r="C925" s="25"/>
      <c r="D925" s="25"/>
    </row>
    <row r="926">
      <c r="A926" s="11"/>
      <c r="B926" s="88"/>
      <c r="C926" s="25"/>
      <c r="D926" s="25"/>
    </row>
    <row r="927">
      <c r="A927" s="11"/>
      <c r="B927" s="88"/>
      <c r="C927" s="25"/>
      <c r="D927" s="25"/>
    </row>
    <row r="928">
      <c r="A928" s="11"/>
      <c r="B928" s="88"/>
      <c r="C928" s="25"/>
      <c r="D928" s="25"/>
    </row>
    <row r="929">
      <c r="A929" s="11"/>
      <c r="B929" s="88"/>
      <c r="C929" s="25"/>
      <c r="D929" s="25"/>
    </row>
    <row r="930">
      <c r="A930" s="11"/>
      <c r="B930" s="88"/>
      <c r="C930" s="25"/>
      <c r="D930" s="25"/>
    </row>
    <row r="931">
      <c r="A931" s="11"/>
      <c r="B931" s="88"/>
      <c r="C931" s="25"/>
      <c r="D931" s="25"/>
    </row>
    <row r="932">
      <c r="A932" s="11"/>
      <c r="B932" s="88"/>
      <c r="C932" s="25"/>
      <c r="D932" s="25"/>
    </row>
    <row r="933">
      <c r="A933" s="11"/>
      <c r="B933" s="88"/>
      <c r="C933" s="25"/>
      <c r="D933" s="25"/>
    </row>
    <row r="934">
      <c r="A934" s="11"/>
      <c r="B934" s="88"/>
      <c r="C934" s="25"/>
      <c r="D934" s="25"/>
    </row>
    <row r="935">
      <c r="A935" s="11"/>
      <c r="B935" s="88"/>
      <c r="C935" s="25"/>
      <c r="D935" s="25"/>
    </row>
    <row r="936">
      <c r="A936" s="11"/>
      <c r="B936" s="88"/>
      <c r="C936" s="25"/>
      <c r="D936" s="25"/>
    </row>
    <row r="937">
      <c r="A937" s="11"/>
      <c r="B937" s="88"/>
      <c r="C937" s="25"/>
      <c r="D937" s="25"/>
    </row>
    <row r="938">
      <c r="A938" s="11"/>
      <c r="B938" s="88"/>
      <c r="C938" s="25"/>
      <c r="D938" s="25"/>
    </row>
    <row r="939">
      <c r="A939" s="11"/>
      <c r="B939" s="88"/>
      <c r="C939" s="25"/>
      <c r="D939" s="25"/>
    </row>
    <row r="940">
      <c r="A940" s="11"/>
      <c r="B940" s="88"/>
      <c r="C940" s="25"/>
      <c r="D940" s="25"/>
    </row>
    <row r="941">
      <c r="A941" s="11"/>
      <c r="B941" s="88"/>
      <c r="C941" s="25"/>
      <c r="D941" s="25"/>
    </row>
    <row r="942">
      <c r="A942" s="11"/>
      <c r="B942" s="88"/>
      <c r="C942" s="25"/>
      <c r="D942" s="25"/>
    </row>
    <row r="943">
      <c r="A943" s="11"/>
      <c r="B943" s="88"/>
      <c r="C943" s="25"/>
      <c r="D943" s="25"/>
    </row>
    <row r="944">
      <c r="A944" s="11"/>
      <c r="B944" s="88"/>
      <c r="C944" s="25"/>
      <c r="D944" s="25"/>
    </row>
    <row r="945">
      <c r="A945" s="11"/>
      <c r="B945" s="88"/>
      <c r="C945" s="25"/>
      <c r="D945" s="25"/>
    </row>
    <row r="946">
      <c r="A946" s="11"/>
      <c r="B946" s="88"/>
      <c r="C946" s="25"/>
      <c r="D946" s="25"/>
    </row>
    <row r="947">
      <c r="A947" s="11"/>
      <c r="B947" s="88"/>
      <c r="C947" s="25"/>
      <c r="D947" s="25"/>
    </row>
    <row r="948">
      <c r="A948" s="11"/>
      <c r="B948" s="88"/>
      <c r="C948" s="25"/>
      <c r="D948" s="25"/>
    </row>
    <row r="949">
      <c r="A949" s="11"/>
      <c r="B949" s="88"/>
      <c r="C949" s="25"/>
      <c r="D949" s="25"/>
    </row>
    <row r="950">
      <c r="A950" s="11"/>
      <c r="B950" s="88"/>
      <c r="C950" s="25"/>
      <c r="D950" s="25"/>
    </row>
    <row r="951">
      <c r="A951" s="11"/>
      <c r="B951" s="88"/>
      <c r="C951" s="25"/>
      <c r="D951" s="25"/>
    </row>
    <row r="952">
      <c r="A952" s="11"/>
      <c r="B952" s="88"/>
      <c r="C952" s="25"/>
      <c r="D952" s="25"/>
    </row>
    <row r="953">
      <c r="A953" s="11"/>
      <c r="B953" s="88"/>
      <c r="C953" s="25"/>
      <c r="D953" s="25"/>
    </row>
    <row r="954">
      <c r="A954" s="11"/>
      <c r="B954" s="88"/>
      <c r="C954" s="25"/>
      <c r="D954" s="25"/>
    </row>
    <row r="955">
      <c r="A955" s="11"/>
      <c r="B955" s="88"/>
      <c r="C955" s="25"/>
      <c r="D955" s="25"/>
    </row>
    <row r="956">
      <c r="A956" s="11"/>
      <c r="B956" s="88"/>
      <c r="C956" s="25"/>
      <c r="D956" s="25"/>
    </row>
    <row r="957">
      <c r="A957" s="11"/>
      <c r="B957" s="88"/>
      <c r="C957" s="25"/>
      <c r="D957" s="25"/>
    </row>
    <row r="958">
      <c r="A958" s="11"/>
      <c r="B958" s="88"/>
      <c r="C958" s="25"/>
      <c r="D958" s="25"/>
    </row>
    <row r="959">
      <c r="A959" s="11"/>
      <c r="B959" s="88"/>
      <c r="C959" s="25"/>
      <c r="D959" s="25"/>
    </row>
    <row r="960">
      <c r="A960" s="11"/>
      <c r="B960" s="88"/>
      <c r="C960" s="25"/>
      <c r="D960" s="25"/>
    </row>
    <row r="961">
      <c r="A961" s="11"/>
      <c r="B961" s="88"/>
      <c r="C961" s="25"/>
      <c r="D961" s="25"/>
    </row>
    <row r="962">
      <c r="A962" s="11"/>
      <c r="B962" s="88"/>
      <c r="C962" s="25"/>
      <c r="D962" s="25"/>
    </row>
    <row r="963">
      <c r="A963" s="11"/>
      <c r="B963" s="88"/>
      <c r="C963" s="25"/>
      <c r="D963" s="25"/>
    </row>
    <row r="964">
      <c r="A964" s="11"/>
      <c r="B964" s="88"/>
      <c r="C964" s="25"/>
      <c r="D964" s="25"/>
    </row>
    <row r="965">
      <c r="A965" s="11"/>
      <c r="B965" s="88"/>
      <c r="C965" s="25"/>
      <c r="D965" s="25"/>
    </row>
    <row r="966">
      <c r="A966" s="11"/>
      <c r="B966" s="88"/>
      <c r="C966" s="25"/>
      <c r="D966" s="25"/>
    </row>
    <row r="967">
      <c r="A967" s="11"/>
      <c r="B967" s="88"/>
      <c r="C967" s="25"/>
      <c r="D967" s="25"/>
    </row>
    <row r="968">
      <c r="A968" s="11"/>
      <c r="B968" s="88"/>
      <c r="C968" s="25"/>
      <c r="D968" s="25"/>
    </row>
    <row r="969">
      <c r="A969" s="11"/>
      <c r="B969" s="88"/>
      <c r="C969" s="25"/>
      <c r="D969" s="25"/>
    </row>
    <row r="970">
      <c r="A970" s="11"/>
      <c r="B970" s="88"/>
      <c r="C970" s="25"/>
      <c r="D970" s="25"/>
    </row>
    <row r="971">
      <c r="A971" s="11"/>
      <c r="B971" s="88"/>
      <c r="C971" s="25"/>
      <c r="D971" s="25"/>
    </row>
    <row r="972">
      <c r="A972" s="11"/>
      <c r="B972" s="88"/>
      <c r="C972" s="25"/>
      <c r="D972" s="25"/>
    </row>
    <row r="973">
      <c r="A973" s="11"/>
      <c r="B973" s="88"/>
      <c r="C973" s="25"/>
      <c r="D973" s="25"/>
    </row>
    <row r="974">
      <c r="A974" s="11"/>
      <c r="B974" s="88"/>
      <c r="C974" s="25"/>
      <c r="D974" s="25"/>
    </row>
    <row r="975">
      <c r="A975" s="11"/>
      <c r="B975" s="88"/>
      <c r="C975" s="25"/>
      <c r="D975" s="25"/>
    </row>
    <row r="976">
      <c r="A976" s="11"/>
      <c r="B976" s="88"/>
      <c r="C976" s="25"/>
      <c r="D976" s="25"/>
    </row>
    <row r="977">
      <c r="A977" s="11"/>
      <c r="B977" s="88"/>
      <c r="C977" s="25"/>
      <c r="D977" s="25"/>
    </row>
    <row r="978">
      <c r="A978" s="11"/>
      <c r="B978" s="88"/>
      <c r="C978" s="25"/>
      <c r="D978" s="25"/>
    </row>
    <row r="979">
      <c r="A979" s="11"/>
      <c r="B979" s="88"/>
      <c r="C979" s="25"/>
      <c r="D979" s="25"/>
    </row>
    <row r="980">
      <c r="A980" s="11"/>
      <c r="B980" s="88"/>
      <c r="C980" s="25"/>
      <c r="D980" s="25"/>
    </row>
    <row r="981">
      <c r="A981" s="11"/>
      <c r="B981" s="88"/>
      <c r="C981" s="25"/>
      <c r="D981" s="25"/>
    </row>
    <row r="982">
      <c r="A982" s="11"/>
      <c r="B982" s="88"/>
      <c r="C982" s="25"/>
      <c r="D982" s="25"/>
    </row>
    <row r="983">
      <c r="A983" s="11"/>
      <c r="B983" s="88"/>
      <c r="C983" s="25"/>
      <c r="D983" s="25"/>
    </row>
    <row r="984">
      <c r="A984" s="11"/>
      <c r="B984" s="88"/>
      <c r="C984" s="25"/>
      <c r="D984" s="25"/>
    </row>
    <row r="985">
      <c r="A985" s="11"/>
      <c r="B985" s="88"/>
      <c r="C985" s="25"/>
      <c r="D985" s="25"/>
    </row>
    <row r="986">
      <c r="A986" s="11"/>
      <c r="B986" s="88"/>
      <c r="C986" s="25"/>
      <c r="D986" s="25"/>
    </row>
    <row r="987">
      <c r="A987" s="11"/>
      <c r="B987" s="88"/>
      <c r="C987" s="25"/>
      <c r="D987" s="25"/>
    </row>
    <row r="988">
      <c r="A988" s="11"/>
      <c r="B988" s="88"/>
      <c r="C988" s="25"/>
      <c r="D988" s="25"/>
    </row>
    <row r="989">
      <c r="A989" s="11"/>
      <c r="B989" s="88"/>
      <c r="C989" s="25"/>
      <c r="D989" s="25"/>
    </row>
    <row r="990">
      <c r="A990" s="11"/>
      <c r="B990" s="88"/>
      <c r="C990" s="25"/>
      <c r="D990" s="25"/>
    </row>
    <row r="991">
      <c r="A991" s="11"/>
      <c r="B991" s="88"/>
      <c r="C991" s="25"/>
      <c r="D991" s="25"/>
    </row>
    <row r="992">
      <c r="A992" s="11"/>
      <c r="B992" s="88"/>
      <c r="C992" s="25"/>
      <c r="D992" s="25"/>
    </row>
    <row r="993">
      <c r="A993" s="11"/>
      <c r="B993" s="88"/>
      <c r="C993" s="25"/>
      <c r="D993" s="25"/>
    </row>
    <row r="994">
      <c r="A994" s="11"/>
      <c r="B994" s="88"/>
      <c r="C994" s="25"/>
      <c r="D994" s="25"/>
    </row>
    <row r="995">
      <c r="A995" s="11"/>
      <c r="B995" s="88"/>
      <c r="C995" s="25"/>
      <c r="D995" s="25"/>
    </row>
    <row r="996">
      <c r="A996" s="11"/>
      <c r="B996" s="88"/>
      <c r="C996" s="25"/>
      <c r="D996" s="25"/>
    </row>
    <row r="997">
      <c r="A997" s="11"/>
      <c r="B997" s="88"/>
      <c r="C997" s="25"/>
      <c r="D997" s="25"/>
    </row>
    <row r="998">
      <c r="A998" s="11"/>
      <c r="B998" s="88"/>
      <c r="C998" s="25"/>
      <c r="D998" s="25"/>
    </row>
    <row r="999">
      <c r="A999" s="11"/>
      <c r="B999" s="88"/>
      <c r="C999" s="25"/>
      <c r="D999" s="25"/>
    </row>
    <row r="1000">
      <c r="A1000" s="11"/>
      <c r="B1000" s="88"/>
      <c r="C1000" s="25"/>
      <c r="D1000" s="25"/>
    </row>
    <row r="1001">
      <c r="A1001" s="11"/>
      <c r="B1001" s="88"/>
      <c r="C1001" s="25"/>
      <c r="D1001" s="25"/>
    </row>
  </sheetData>
  <mergeCells count="14">
    <mergeCell ref="A8:A10"/>
    <mergeCell ref="A11:A12"/>
    <mergeCell ref="A14:A15"/>
    <mergeCell ref="A16:A18"/>
    <mergeCell ref="D11:D12"/>
    <mergeCell ref="D14:D15"/>
    <mergeCell ref="D16:D18"/>
    <mergeCell ref="A2:A3"/>
    <mergeCell ref="D2:D3"/>
    <mergeCell ref="A4:A5"/>
    <mergeCell ref="D4:D5"/>
    <mergeCell ref="A6:A7"/>
    <mergeCell ref="D6:D7"/>
    <mergeCell ref="D9:D10"/>
  </mergeCells>
  <dataValidations>
    <dataValidation type="list" allowBlank="1" showErrorMessage="1" sqref="A2 A4 A6 A8 A11 A13:A14 A16 A19:A101">
      <formula1>"Meta,Google,TikTok,LinkedIn,Apple Search Ads,Taboola,GA4,Google Tag Manager (GTM)"</formula1>
    </dataValidation>
  </dataValidations>
  <hyperlinks>
    <hyperlink r:id="rId1" ref="C2"/>
    <hyperlink r:id="rId2" ref="C4"/>
    <hyperlink r:id="rId3" ref="C6"/>
    <hyperlink r:id="rId4" ref="C8"/>
    <hyperlink r:id="rId5" ref="C11"/>
    <hyperlink display="To gain access to Taboola, it has to go through their ad account rep&#10;&#10;Taboola currently has no feature to add users from the advertiser's end&#10;&#10;Contact details for DA's Taboola ad rep can be found here" location="'Ad Reps'!A6:E6" ref="C13"/>
    <hyperlink r:id="rId6" ref="C14"/>
    <hyperlink r:id="rId7" ref="C16"/>
  </hyperlinks>
  <drawing r:id="rId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75"/>
    <col customWidth="1" min="2" max="2" width="42.88"/>
    <col customWidth="1" min="3" max="3" width="30.13"/>
  </cols>
  <sheetData>
    <row r="1">
      <c r="A1" s="89" t="s">
        <v>1351</v>
      </c>
    </row>
    <row r="2">
      <c r="A2" s="4" t="s">
        <v>1352</v>
      </c>
    </row>
    <row r="4">
      <c r="A4" s="4" t="s">
        <v>1353</v>
      </c>
    </row>
    <row r="6">
      <c r="A6" s="4" t="s">
        <v>1354</v>
      </c>
    </row>
    <row r="8">
      <c r="A8" s="4" t="s">
        <v>1355</v>
      </c>
    </row>
    <row r="10">
      <c r="A10" s="90" t="s">
        <v>1356</v>
      </c>
      <c r="B10" s="90" t="s">
        <v>1357</v>
      </c>
      <c r="C10" s="91" t="s">
        <v>836</v>
      </c>
    </row>
    <row r="11">
      <c r="A11" s="91" t="s">
        <v>1358</v>
      </c>
      <c r="B11" s="91" t="s">
        <v>1359</v>
      </c>
      <c r="C11" s="92"/>
    </row>
    <row r="12">
      <c r="A12" s="91" t="s">
        <v>1360</v>
      </c>
      <c r="B12" s="91" t="s">
        <v>1361</v>
      </c>
      <c r="C12" s="91" t="s">
        <v>1362</v>
      </c>
    </row>
    <row r="13">
      <c r="A13" s="91" t="s">
        <v>1363</v>
      </c>
      <c r="B13" s="91" t="s">
        <v>1364</v>
      </c>
      <c r="C13" s="91" t="s">
        <v>1365</v>
      </c>
    </row>
    <row r="14">
      <c r="A14" s="92"/>
      <c r="B14" s="92"/>
      <c r="C14" s="92"/>
    </row>
    <row r="15">
      <c r="A15" s="93" t="s">
        <v>1366</v>
      </c>
      <c r="B15" s="90" t="s">
        <v>1357</v>
      </c>
      <c r="C15" s="92"/>
    </row>
    <row r="16">
      <c r="A16" s="92" t="s">
        <v>656</v>
      </c>
      <c r="B16" s="92" t="s">
        <v>1367</v>
      </c>
      <c r="C16" s="92"/>
    </row>
    <row r="19">
      <c r="A19" s="89" t="s">
        <v>1368</v>
      </c>
    </row>
    <row r="20">
      <c r="A20" s="94" t="s">
        <v>1369</v>
      </c>
      <c r="B20" s="52" t="s">
        <v>1370</v>
      </c>
      <c r="C20" s="10"/>
      <c r="D20" s="10"/>
      <c r="E20" s="10"/>
      <c r="F20" s="10"/>
      <c r="G20" s="10"/>
      <c r="H20" s="10"/>
    </row>
    <row r="21">
      <c r="B21" s="4" t="s">
        <v>1371</v>
      </c>
      <c r="C21" s="10"/>
      <c r="D21" s="10"/>
      <c r="E21" s="10"/>
      <c r="F21" s="10"/>
      <c r="G21" s="10"/>
      <c r="H21" s="10"/>
    </row>
    <row r="22">
      <c r="B22" s="4" t="s">
        <v>1372</v>
      </c>
      <c r="C22" s="10"/>
      <c r="D22" s="10"/>
      <c r="E22" s="10"/>
      <c r="F22" s="10"/>
      <c r="G22" s="10"/>
      <c r="H22" s="10"/>
    </row>
    <row r="23">
      <c r="A23" s="24" t="s">
        <v>1373</v>
      </c>
      <c r="B23" s="52" t="s">
        <v>1374</v>
      </c>
      <c r="C23" s="10"/>
      <c r="D23" s="10"/>
      <c r="E23" s="10"/>
      <c r="F23" s="10"/>
      <c r="G23" s="10"/>
      <c r="H23" s="10"/>
    </row>
    <row r="24">
      <c r="B24" s="4" t="s">
        <v>1375</v>
      </c>
      <c r="C24" s="10"/>
      <c r="D24" s="10"/>
      <c r="E24" s="10"/>
      <c r="F24" s="10"/>
      <c r="G24" s="10"/>
      <c r="H24" s="10"/>
    </row>
    <row r="25">
      <c r="B25" s="4" t="s">
        <v>1376</v>
      </c>
      <c r="C25" s="10"/>
      <c r="D25" s="10"/>
      <c r="E25" s="10"/>
      <c r="F25" s="10"/>
      <c r="G25" s="10"/>
      <c r="H25" s="10"/>
    </row>
    <row r="26">
      <c r="A26" s="10"/>
      <c r="B26" s="10"/>
      <c r="C26" s="10"/>
      <c r="D26" s="10"/>
      <c r="E26" s="10"/>
      <c r="F26" s="10"/>
      <c r="G26" s="10"/>
      <c r="H26" s="10"/>
    </row>
    <row r="27">
      <c r="A27" s="10"/>
      <c r="B27" s="10"/>
      <c r="C27" s="10"/>
      <c r="D27" s="10"/>
      <c r="E27" s="10"/>
      <c r="F27" s="10"/>
      <c r="G27" s="10"/>
      <c r="H27" s="10"/>
    </row>
    <row r="28">
      <c r="A28" s="10"/>
      <c r="B28" s="10"/>
      <c r="C28" s="10"/>
      <c r="D28" s="10"/>
      <c r="E28" s="10"/>
      <c r="F28" s="10"/>
      <c r="G28" s="10"/>
      <c r="H28" s="10"/>
    </row>
  </sheetData>
  <mergeCells count="4">
    <mergeCell ref="A1:H1"/>
    <mergeCell ref="A19:H19"/>
    <mergeCell ref="A20:A22"/>
    <mergeCell ref="A23:A25"/>
  </mergeCells>
  <hyperlinks>
    <hyperlink display="Refer to this sheet to view what Aspire credit card (in terms of currency) should be linked to the various marketing tools &amp; platforms" location="'Relevant Docs'!A90:C90" ref="B20"/>
    <hyperlink r:id="rId1" ref="B23"/>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13.38"/>
    <col customWidth="1" min="3" max="3" width="13.63"/>
    <col customWidth="1" min="4" max="4" width="24.38"/>
    <col customWidth="1" min="5" max="5" width="18.88"/>
    <col customWidth="1" min="6" max="6" width="19.0"/>
    <col customWidth="1" min="7" max="7" width="24.5"/>
    <col customWidth="1" min="8" max="8" width="30.63"/>
  </cols>
  <sheetData>
    <row r="1">
      <c r="A1" s="95" t="s">
        <v>1377</v>
      </c>
      <c r="B1" s="96" t="s">
        <v>1378</v>
      </c>
      <c r="C1" s="96" t="s">
        <v>1379</v>
      </c>
      <c r="D1" s="95" t="s">
        <v>1380</v>
      </c>
      <c r="E1" s="97" t="s">
        <v>1381</v>
      </c>
      <c r="F1" s="95" t="s">
        <v>1382</v>
      </c>
      <c r="G1" s="95" t="s">
        <v>1383</v>
      </c>
      <c r="H1" s="95" t="s">
        <v>1384</v>
      </c>
    </row>
    <row r="2">
      <c r="A2" s="24" t="s">
        <v>948</v>
      </c>
      <c r="B2" s="98">
        <v>46211.0</v>
      </c>
      <c r="C2" s="98">
        <v>46276.0</v>
      </c>
      <c r="D2" s="24" t="s">
        <v>1385</v>
      </c>
      <c r="E2" s="33">
        <v>7400.0</v>
      </c>
      <c r="F2" s="24" t="s">
        <v>1386</v>
      </c>
      <c r="G2" s="46" t="s">
        <v>1387</v>
      </c>
      <c r="H2" s="24" t="s">
        <v>1388</v>
      </c>
    </row>
    <row r="3">
      <c r="G3" s="46" t="s">
        <v>1389</v>
      </c>
    </row>
    <row r="4">
      <c r="G4" s="46" t="s">
        <v>1390</v>
      </c>
    </row>
    <row r="5">
      <c r="G5" s="46" t="s">
        <v>1391</v>
      </c>
    </row>
    <row r="6">
      <c r="G6" s="46" t="s">
        <v>1392</v>
      </c>
    </row>
    <row r="7">
      <c r="G7" s="46" t="s">
        <v>1393</v>
      </c>
      <c r="H7" s="24" t="s">
        <v>1394</v>
      </c>
    </row>
    <row r="8">
      <c r="A8" s="24" t="s">
        <v>280</v>
      </c>
      <c r="B8" s="98">
        <v>46182.0</v>
      </c>
      <c r="C8" s="98">
        <v>46237.0</v>
      </c>
      <c r="D8" s="24" t="s">
        <v>1395</v>
      </c>
      <c r="E8" s="33">
        <v>5000.0</v>
      </c>
      <c r="F8" s="24" t="s">
        <v>1396</v>
      </c>
      <c r="G8" s="46" t="s">
        <v>1397</v>
      </c>
      <c r="H8" s="24" t="s">
        <v>1398</v>
      </c>
    </row>
    <row r="9">
      <c r="G9" s="46" t="s">
        <v>852</v>
      </c>
    </row>
    <row r="10">
      <c r="G10" s="46" t="s">
        <v>1399</v>
      </c>
    </row>
    <row r="11">
      <c r="G11" s="46" t="s">
        <v>1400</v>
      </c>
    </row>
    <row r="12" ht="41.25" customHeight="1">
      <c r="A12" s="24" t="s">
        <v>945</v>
      </c>
      <c r="B12" s="98">
        <v>46197.0</v>
      </c>
      <c r="C12" s="98">
        <v>46283.0</v>
      </c>
      <c r="D12" s="5" t="s">
        <v>1401</v>
      </c>
      <c r="E12" s="33">
        <v>45000.0</v>
      </c>
      <c r="F12" s="24" t="s">
        <v>1402</v>
      </c>
      <c r="G12" s="46" t="s">
        <v>1403</v>
      </c>
      <c r="H12" s="24" t="s">
        <v>1404</v>
      </c>
    </row>
    <row r="13" ht="28.5" customHeight="1">
      <c r="G13" s="46" t="s">
        <v>1405</v>
      </c>
    </row>
    <row r="14" ht="32.25" customHeight="1">
      <c r="G14" s="46" t="s">
        <v>856</v>
      </c>
    </row>
    <row r="15">
      <c r="G15" s="46" t="s">
        <v>1406</v>
      </c>
    </row>
    <row r="16">
      <c r="G16" s="46" t="s">
        <v>914</v>
      </c>
    </row>
    <row r="17">
      <c r="A17" s="24" t="s">
        <v>1407</v>
      </c>
      <c r="B17" s="98">
        <v>46230.0</v>
      </c>
      <c r="C17" s="98">
        <v>46283.0</v>
      </c>
      <c r="D17" s="24" t="s">
        <v>1408</v>
      </c>
      <c r="E17" s="33">
        <v>10000.0</v>
      </c>
      <c r="F17" s="24" t="s">
        <v>1409</v>
      </c>
      <c r="G17" s="46" t="s">
        <v>1410</v>
      </c>
      <c r="H17" s="24" t="s">
        <v>1411</v>
      </c>
    </row>
    <row r="18">
      <c r="G18" s="46" t="s">
        <v>1412</v>
      </c>
    </row>
    <row r="19">
      <c r="G19" s="46" t="s">
        <v>1413</v>
      </c>
    </row>
    <row r="20">
      <c r="G20" s="46" t="s">
        <v>1414</v>
      </c>
    </row>
    <row r="21">
      <c r="G21" s="46" t="s">
        <v>1415</v>
      </c>
    </row>
    <row r="22">
      <c r="G22" s="46" t="s">
        <v>1416</v>
      </c>
    </row>
    <row r="23">
      <c r="A23" s="24" t="s">
        <v>1417</v>
      </c>
      <c r="B23" s="24" t="s">
        <v>1418</v>
      </c>
      <c r="D23" s="24" t="s">
        <v>1419</v>
      </c>
      <c r="E23" s="33">
        <v>3300.0</v>
      </c>
      <c r="F23" s="24" t="s">
        <v>1420</v>
      </c>
      <c r="G23" s="46" t="s">
        <v>1421</v>
      </c>
      <c r="H23" s="24" t="s">
        <v>87</v>
      </c>
    </row>
    <row r="24">
      <c r="A24" s="25"/>
      <c r="B24" s="99"/>
      <c r="C24" s="99"/>
      <c r="D24" s="25"/>
      <c r="E24" s="28"/>
      <c r="F24" s="25"/>
      <c r="G24" s="25"/>
      <c r="H24" s="25"/>
    </row>
    <row r="25">
      <c r="A25" s="25"/>
      <c r="B25" s="99"/>
      <c r="C25" s="99"/>
      <c r="D25" s="25"/>
      <c r="E25" s="28"/>
      <c r="F25" s="25"/>
      <c r="G25" s="25"/>
      <c r="H25" s="25"/>
    </row>
    <row r="26">
      <c r="A26" s="25"/>
      <c r="B26" s="99"/>
      <c r="C26" s="99"/>
      <c r="D26" s="25"/>
      <c r="E26" s="28"/>
      <c r="F26" s="25"/>
      <c r="G26" s="25"/>
      <c r="H26" s="25"/>
    </row>
    <row r="27">
      <c r="A27" s="25"/>
      <c r="B27" s="99"/>
      <c r="C27" s="99"/>
      <c r="D27" s="25"/>
      <c r="E27" s="28"/>
      <c r="F27" s="25"/>
      <c r="G27" s="25"/>
      <c r="H27" s="25"/>
    </row>
    <row r="28">
      <c r="A28" s="25"/>
      <c r="B28" s="99"/>
      <c r="C28" s="99"/>
      <c r="D28" s="25"/>
      <c r="E28" s="28"/>
      <c r="F28" s="25"/>
      <c r="G28" s="25"/>
      <c r="H28" s="25"/>
    </row>
    <row r="29">
      <c r="A29" s="25"/>
      <c r="B29" s="99"/>
      <c r="C29" s="99"/>
      <c r="D29" s="25"/>
      <c r="E29" s="28"/>
      <c r="F29" s="25"/>
      <c r="G29" s="25"/>
      <c r="H29" s="25"/>
    </row>
    <row r="30">
      <c r="A30" s="25"/>
      <c r="B30" s="99"/>
      <c r="C30" s="99"/>
      <c r="D30" s="25"/>
      <c r="E30" s="28"/>
      <c r="F30" s="25"/>
      <c r="G30" s="25"/>
      <c r="H30" s="25"/>
    </row>
    <row r="31">
      <c r="A31" s="25"/>
      <c r="B31" s="99"/>
      <c r="C31" s="99"/>
      <c r="D31" s="25"/>
      <c r="E31" s="28"/>
      <c r="F31" s="25"/>
      <c r="G31" s="25"/>
      <c r="H31" s="25"/>
    </row>
    <row r="32">
      <c r="A32" s="25"/>
      <c r="B32" s="99"/>
      <c r="C32" s="99"/>
      <c r="D32" s="25"/>
      <c r="E32" s="28"/>
      <c r="F32" s="25"/>
      <c r="G32" s="25"/>
      <c r="H32" s="25"/>
    </row>
    <row r="33">
      <c r="A33" s="25"/>
      <c r="B33" s="99"/>
      <c r="C33" s="99"/>
      <c r="D33" s="25"/>
      <c r="E33" s="28"/>
      <c r="F33" s="25"/>
      <c r="G33" s="25"/>
      <c r="H33" s="25"/>
    </row>
    <row r="34">
      <c r="A34" s="25"/>
      <c r="B34" s="99"/>
      <c r="C34" s="99"/>
      <c r="D34" s="25"/>
      <c r="E34" s="28"/>
      <c r="F34" s="25"/>
      <c r="G34" s="25"/>
      <c r="H34" s="25"/>
    </row>
    <row r="35">
      <c r="A35" s="25"/>
      <c r="B35" s="99"/>
      <c r="C35" s="99"/>
      <c r="D35" s="25"/>
      <c r="E35" s="28"/>
      <c r="F35" s="25"/>
      <c r="G35" s="25"/>
      <c r="H35" s="25"/>
    </row>
    <row r="36">
      <c r="A36" s="25"/>
      <c r="B36" s="99"/>
      <c r="C36" s="99"/>
      <c r="D36" s="25"/>
      <c r="E36" s="28"/>
      <c r="F36" s="25"/>
      <c r="G36" s="25"/>
      <c r="H36" s="25"/>
    </row>
    <row r="37">
      <c r="A37" s="25"/>
      <c r="B37" s="99"/>
      <c r="C37" s="99"/>
      <c r="D37" s="25"/>
      <c r="E37" s="28"/>
      <c r="F37" s="25"/>
      <c r="G37" s="25"/>
      <c r="H37" s="25"/>
    </row>
    <row r="38">
      <c r="A38" s="25"/>
      <c r="B38" s="99"/>
      <c r="C38" s="99"/>
      <c r="D38" s="25"/>
      <c r="E38" s="28"/>
      <c r="F38" s="25"/>
      <c r="G38" s="25"/>
      <c r="H38" s="25"/>
    </row>
    <row r="39">
      <c r="A39" s="25"/>
      <c r="B39" s="99"/>
      <c r="C39" s="99"/>
      <c r="D39" s="25"/>
      <c r="E39" s="28"/>
      <c r="F39" s="25"/>
      <c r="G39" s="25"/>
      <c r="H39" s="25"/>
    </row>
    <row r="40">
      <c r="A40" s="25"/>
      <c r="B40" s="99"/>
      <c r="C40" s="99"/>
      <c r="D40" s="25"/>
      <c r="E40" s="28"/>
      <c r="F40" s="25"/>
      <c r="G40" s="25"/>
      <c r="H40" s="25"/>
    </row>
    <row r="41">
      <c r="A41" s="25"/>
      <c r="B41" s="99"/>
      <c r="C41" s="99"/>
      <c r="D41" s="25"/>
      <c r="E41" s="28"/>
      <c r="F41" s="25"/>
      <c r="G41" s="25"/>
      <c r="H41" s="25"/>
    </row>
    <row r="42">
      <c r="A42" s="25"/>
      <c r="B42" s="99"/>
      <c r="C42" s="99"/>
      <c r="D42" s="25"/>
      <c r="E42" s="28"/>
      <c r="F42" s="25"/>
      <c r="G42" s="25"/>
      <c r="H42" s="25"/>
    </row>
    <row r="43">
      <c r="A43" s="25"/>
      <c r="B43" s="99"/>
      <c r="C43" s="99"/>
      <c r="D43" s="25"/>
      <c r="E43" s="28"/>
      <c r="F43" s="25"/>
      <c r="G43" s="25"/>
      <c r="H43" s="25"/>
    </row>
    <row r="44">
      <c r="A44" s="25"/>
      <c r="B44" s="99"/>
      <c r="C44" s="99"/>
      <c r="D44" s="25"/>
      <c r="E44" s="28"/>
      <c r="F44" s="25"/>
      <c r="G44" s="25"/>
      <c r="H44" s="25"/>
    </row>
    <row r="45">
      <c r="A45" s="25"/>
      <c r="B45" s="99"/>
      <c r="C45" s="99"/>
      <c r="D45" s="25"/>
      <c r="E45" s="28"/>
      <c r="F45" s="25"/>
      <c r="G45" s="25"/>
      <c r="H45" s="25"/>
    </row>
    <row r="46">
      <c r="A46" s="25"/>
      <c r="B46" s="99"/>
      <c r="C46" s="99"/>
      <c r="D46" s="25"/>
      <c r="E46" s="28"/>
      <c r="F46" s="25"/>
      <c r="G46" s="25"/>
      <c r="H46" s="25"/>
    </row>
    <row r="47">
      <c r="A47" s="25"/>
      <c r="B47" s="99"/>
      <c r="C47" s="99"/>
      <c r="D47" s="25"/>
      <c r="E47" s="28"/>
      <c r="F47" s="25"/>
      <c r="G47" s="25"/>
      <c r="H47" s="25"/>
    </row>
    <row r="48">
      <c r="A48" s="25"/>
      <c r="B48" s="99"/>
      <c r="C48" s="99"/>
      <c r="D48" s="25"/>
      <c r="E48" s="28"/>
      <c r="F48" s="25"/>
      <c r="G48" s="25"/>
      <c r="H48" s="25"/>
    </row>
    <row r="49">
      <c r="A49" s="25"/>
      <c r="B49" s="99"/>
      <c r="C49" s="99"/>
      <c r="D49" s="25"/>
      <c r="E49" s="28"/>
      <c r="F49" s="25"/>
      <c r="G49" s="25"/>
      <c r="H49" s="25"/>
    </row>
    <row r="50">
      <c r="A50" s="25"/>
      <c r="B50" s="99"/>
      <c r="C50" s="99"/>
      <c r="D50" s="25"/>
      <c r="E50" s="28"/>
      <c r="F50" s="25"/>
      <c r="G50" s="25"/>
      <c r="H50" s="25"/>
    </row>
    <row r="51">
      <c r="A51" s="25"/>
      <c r="B51" s="99"/>
      <c r="C51" s="99"/>
      <c r="D51" s="25"/>
      <c r="E51" s="28"/>
      <c r="F51" s="25"/>
      <c r="G51" s="25"/>
      <c r="H51" s="25"/>
    </row>
    <row r="52">
      <c r="A52" s="25"/>
      <c r="B52" s="99"/>
      <c r="C52" s="99"/>
      <c r="D52" s="25"/>
      <c r="E52" s="28"/>
      <c r="F52" s="25"/>
      <c r="G52" s="25"/>
      <c r="H52" s="25"/>
    </row>
    <row r="53">
      <c r="A53" s="25"/>
      <c r="B53" s="99"/>
      <c r="C53" s="99"/>
      <c r="D53" s="25"/>
      <c r="E53" s="28"/>
      <c r="F53" s="25"/>
      <c r="G53" s="25"/>
      <c r="H53" s="25"/>
    </row>
    <row r="54">
      <c r="A54" s="25"/>
      <c r="B54" s="99"/>
      <c r="C54" s="99"/>
      <c r="D54" s="25"/>
      <c r="E54" s="28"/>
      <c r="F54" s="25"/>
      <c r="G54" s="25"/>
      <c r="H54" s="25"/>
    </row>
    <row r="55">
      <c r="A55" s="25"/>
      <c r="B55" s="99"/>
      <c r="C55" s="99"/>
      <c r="D55" s="25"/>
      <c r="E55" s="28"/>
      <c r="F55" s="25"/>
      <c r="G55" s="25"/>
      <c r="H55" s="25"/>
    </row>
    <row r="56">
      <c r="A56" s="25"/>
      <c r="B56" s="99"/>
      <c r="C56" s="99"/>
      <c r="D56" s="25"/>
      <c r="E56" s="28"/>
      <c r="F56" s="25"/>
      <c r="G56" s="25"/>
      <c r="H56" s="25"/>
    </row>
    <row r="57">
      <c r="A57" s="25"/>
      <c r="B57" s="99"/>
      <c r="C57" s="99"/>
      <c r="D57" s="25"/>
      <c r="E57" s="28"/>
      <c r="F57" s="25"/>
      <c r="G57" s="25"/>
      <c r="H57" s="25"/>
    </row>
    <row r="58">
      <c r="A58" s="25"/>
      <c r="B58" s="99"/>
      <c r="C58" s="99"/>
      <c r="D58" s="25"/>
      <c r="E58" s="28"/>
      <c r="F58" s="25"/>
      <c r="G58" s="25"/>
      <c r="H58" s="25"/>
    </row>
    <row r="59">
      <c r="A59" s="25"/>
      <c r="B59" s="99"/>
      <c r="C59" s="99"/>
      <c r="D59" s="25"/>
      <c r="E59" s="28"/>
      <c r="F59" s="25"/>
      <c r="G59" s="25"/>
      <c r="H59" s="25"/>
    </row>
    <row r="60">
      <c r="A60" s="25"/>
      <c r="B60" s="99"/>
      <c r="C60" s="99"/>
      <c r="D60" s="25"/>
      <c r="E60" s="28"/>
      <c r="F60" s="25"/>
      <c r="G60" s="25"/>
      <c r="H60" s="25"/>
    </row>
    <row r="61">
      <c r="A61" s="25"/>
      <c r="B61" s="99"/>
      <c r="C61" s="99"/>
      <c r="D61" s="25"/>
      <c r="E61" s="28"/>
      <c r="F61" s="25"/>
      <c r="G61" s="25"/>
      <c r="H61" s="25"/>
    </row>
    <row r="62">
      <c r="A62" s="25"/>
      <c r="B62" s="99"/>
      <c r="C62" s="99"/>
      <c r="D62" s="25"/>
      <c r="E62" s="28"/>
      <c r="F62" s="25"/>
      <c r="G62" s="25"/>
      <c r="H62" s="25"/>
    </row>
    <row r="63">
      <c r="A63" s="25"/>
      <c r="B63" s="99"/>
      <c r="C63" s="99"/>
      <c r="D63" s="25"/>
      <c r="E63" s="28"/>
      <c r="F63" s="25"/>
      <c r="G63" s="25"/>
      <c r="H63" s="25"/>
    </row>
    <row r="64">
      <c r="A64" s="25"/>
      <c r="B64" s="99"/>
      <c r="C64" s="99"/>
      <c r="D64" s="25"/>
      <c r="E64" s="28"/>
      <c r="F64" s="25"/>
      <c r="G64" s="25"/>
      <c r="H64" s="25"/>
    </row>
    <row r="65">
      <c r="A65" s="25"/>
      <c r="B65" s="99"/>
      <c r="C65" s="99"/>
      <c r="D65" s="25"/>
      <c r="E65" s="28"/>
      <c r="F65" s="25"/>
      <c r="G65" s="25"/>
      <c r="H65" s="25"/>
    </row>
    <row r="66">
      <c r="A66" s="25"/>
      <c r="B66" s="99"/>
      <c r="C66" s="99"/>
      <c r="D66" s="25"/>
      <c r="E66" s="28"/>
      <c r="F66" s="25"/>
      <c r="G66" s="25"/>
      <c r="H66" s="25"/>
    </row>
    <row r="67">
      <c r="A67" s="25"/>
      <c r="B67" s="99"/>
      <c r="C67" s="99"/>
      <c r="D67" s="25"/>
      <c r="E67" s="28"/>
      <c r="F67" s="25"/>
      <c r="G67" s="25"/>
      <c r="H67" s="25"/>
    </row>
    <row r="68">
      <c r="A68" s="25"/>
      <c r="B68" s="99"/>
      <c r="C68" s="99"/>
      <c r="D68" s="25"/>
      <c r="E68" s="28"/>
      <c r="F68" s="25"/>
      <c r="G68" s="25"/>
      <c r="H68" s="25"/>
    </row>
    <row r="69">
      <c r="A69" s="25"/>
      <c r="B69" s="99"/>
      <c r="C69" s="99"/>
      <c r="D69" s="25"/>
      <c r="E69" s="28"/>
      <c r="F69" s="25"/>
      <c r="G69" s="25"/>
      <c r="H69" s="25"/>
    </row>
    <row r="70">
      <c r="A70" s="25"/>
      <c r="B70" s="99"/>
      <c r="C70" s="99"/>
      <c r="D70" s="25"/>
      <c r="E70" s="28"/>
      <c r="F70" s="25"/>
      <c r="G70" s="25"/>
      <c r="H70" s="25"/>
    </row>
    <row r="71">
      <c r="A71" s="25"/>
      <c r="B71" s="99"/>
      <c r="C71" s="99"/>
      <c r="D71" s="25"/>
      <c r="E71" s="28"/>
      <c r="F71" s="25"/>
      <c r="G71" s="25"/>
      <c r="H71" s="25"/>
    </row>
    <row r="72">
      <c r="A72" s="25"/>
      <c r="B72" s="99"/>
      <c r="C72" s="99"/>
      <c r="D72" s="25"/>
      <c r="E72" s="28"/>
      <c r="F72" s="25"/>
      <c r="G72" s="25"/>
      <c r="H72" s="25"/>
    </row>
    <row r="73">
      <c r="A73" s="25"/>
      <c r="B73" s="99"/>
      <c r="C73" s="99"/>
      <c r="D73" s="25"/>
      <c r="E73" s="28"/>
      <c r="F73" s="25"/>
      <c r="G73" s="25"/>
      <c r="H73" s="25"/>
    </row>
    <row r="74">
      <c r="A74" s="25"/>
      <c r="B74" s="99"/>
      <c r="C74" s="99"/>
      <c r="D74" s="25"/>
      <c r="E74" s="28"/>
      <c r="F74" s="25"/>
      <c r="G74" s="25"/>
      <c r="H74" s="25"/>
    </row>
    <row r="75">
      <c r="A75" s="25"/>
      <c r="B75" s="99"/>
      <c r="C75" s="99"/>
      <c r="D75" s="25"/>
      <c r="E75" s="28"/>
      <c r="F75" s="25"/>
      <c r="G75" s="25"/>
      <c r="H75" s="25"/>
    </row>
    <row r="76">
      <c r="A76" s="25"/>
      <c r="B76" s="99"/>
      <c r="C76" s="99"/>
      <c r="D76" s="25"/>
      <c r="E76" s="28"/>
      <c r="F76" s="25"/>
      <c r="G76" s="25"/>
      <c r="H76" s="25"/>
    </row>
    <row r="77">
      <c r="A77" s="25"/>
      <c r="B77" s="99"/>
      <c r="C77" s="99"/>
      <c r="D77" s="25"/>
      <c r="E77" s="28"/>
      <c r="F77" s="25"/>
      <c r="G77" s="25"/>
      <c r="H77" s="25"/>
    </row>
    <row r="78">
      <c r="A78" s="25"/>
      <c r="B78" s="99"/>
      <c r="C78" s="99"/>
      <c r="D78" s="25"/>
      <c r="E78" s="28"/>
      <c r="F78" s="25"/>
      <c r="G78" s="25"/>
      <c r="H78" s="25"/>
    </row>
    <row r="79">
      <c r="A79" s="25"/>
      <c r="B79" s="99"/>
      <c r="C79" s="99"/>
      <c r="D79" s="25"/>
      <c r="E79" s="28"/>
      <c r="F79" s="25"/>
      <c r="G79" s="25"/>
      <c r="H79" s="25"/>
    </row>
    <row r="80">
      <c r="A80" s="25"/>
      <c r="B80" s="99"/>
      <c r="C80" s="99"/>
      <c r="D80" s="25"/>
      <c r="E80" s="28"/>
      <c r="F80" s="25"/>
      <c r="G80" s="25"/>
      <c r="H80" s="25"/>
    </row>
    <row r="81">
      <c r="A81" s="25"/>
      <c r="B81" s="99"/>
      <c r="C81" s="99"/>
      <c r="D81" s="25"/>
      <c r="E81" s="28"/>
      <c r="F81" s="25"/>
      <c r="G81" s="25"/>
      <c r="H81" s="25"/>
    </row>
    <row r="82">
      <c r="A82" s="25"/>
      <c r="B82" s="99"/>
      <c r="C82" s="99"/>
      <c r="D82" s="25"/>
      <c r="E82" s="28"/>
      <c r="F82" s="25"/>
      <c r="G82" s="25"/>
      <c r="H82" s="25"/>
    </row>
    <row r="83">
      <c r="A83" s="25"/>
      <c r="B83" s="99"/>
      <c r="C83" s="99"/>
      <c r="D83" s="25"/>
      <c r="E83" s="28"/>
      <c r="F83" s="25"/>
      <c r="G83" s="25"/>
      <c r="H83" s="25"/>
    </row>
    <row r="84">
      <c r="A84" s="25"/>
      <c r="B84" s="99"/>
      <c r="C84" s="99"/>
      <c r="D84" s="25"/>
      <c r="E84" s="28"/>
      <c r="F84" s="25"/>
      <c r="G84" s="25"/>
      <c r="H84" s="25"/>
    </row>
    <row r="85">
      <c r="A85" s="25"/>
      <c r="B85" s="99"/>
      <c r="C85" s="99"/>
      <c r="D85" s="25"/>
      <c r="E85" s="28"/>
      <c r="F85" s="25"/>
      <c r="G85" s="25"/>
      <c r="H85" s="25"/>
    </row>
    <row r="86">
      <c r="A86" s="25"/>
      <c r="B86" s="99"/>
      <c r="C86" s="99"/>
      <c r="D86" s="25"/>
      <c r="E86" s="28"/>
      <c r="F86" s="25"/>
      <c r="G86" s="25"/>
      <c r="H86" s="25"/>
    </row>
    <row r="87">
      <c r="A87" s="25"/>
      <c r="B87" s="99"/>
      <c r="C87" s="99"/>
      <c r="D87" s="25"/>
      <c r="E87" s="28"/>
      <c r="F87" s="25"/>
      <c r="G87" s="25"/>
      <c r="H87" s="25"/>
    </row>
    <row r="88">
      <c r="A88" s="25"/>
      <c r="B88" s="99"/>
      <c r="C88" s="99"/>
      <c r="D88" s="25"/>
      <c r="E88" s="28"/>
      <c r="F88" s="25"/>
      <c r="G88" s="25"/>
      <c r="H88" s="25"/>
    </row>
    <row r="89">
      <c r="A89" s="25"/>
      <c r="B89" s="99"/>
      <c r="C89" s="99"/>
      <c r="D89" s="25"/>
      <c r="E89" s="28"/>
      <c r="F89" s="25"/>
      <c r="G89" s="25"/>
      <c r="H89" s="25"/>
    </row>
    <row r="90">
      <c r="A90" s="25"/>
      <c r="B90" s="99"/>
      <c r="C90" s="99"/>
      <c r="D90" s="25"/>
      <c r="E90" s="28"/>
      <c r="F90" s="25"/>
      <c r="G90" s="25"/>
      <c r="H90" s="25"/>
    </row>
    <row r="91">
      <c r="A91" s="25"/>
      <c r="B91" s="99"/>
      <c r="C91" s="99"/>
      <c r="D91" s="25"/>
      <c r="E91" s="28"/>
      <c r="F91" s="25"/>
      <c r="G91" s="25"/>
      <c r="H91" s="25"/>
    </row>
    <row r="92">
      <c r="A92" s="25"/>
      <c r="B92" s="99"/>
      <c r="C92" s="99"/>
      <c r="D92" s="25"/>
      <c r="E92" s="28"/>
      <c r="F92" s="25"/>
      <c r="G92" s="25"/>
      <c r="H92" s="25"/>
    </row>
    <row r="93">
      <c r="A93" s="25"/>
      <c r="B93" s="99"/>
      <c r="C93" s="99"/>
      <c r="D93" s="25"/>
      <c r="E93" s="28"/>
      <c r="F93" s="25"/>
      <c r="G93" s="25"/>
      <c r="H93" s="25"/>
    </row>
    <row r="94">
      <c r="A94" s="25"/>
      <c r="B94" s="99"/>
      <c r="C94" s="99"/>
      <c r="D94" s="25"/>
      <c r="E94" s="28"/>
      <c r="F94" s="25"/>
      <c r="G94" s="25"/>
      <c r="H94" s="25"/>
    </row>
    <row r="95">
      <c r="A95" s="25"/>
      <c r="B95" s="99"/>
      <c r="C95" s="99"/>
      <c r="D95" s="25"/>
      <c r="E95" s="28"/>
      <c r="F95" s="25"/>
      <c r="G95" s="25"/>
      <c r="H95" s="25"/>
    </row>
    <row r="96">
      <c r="A96" s="25"/>
      <c r="B96" s="99"/>
      <c r="C96" s="99"/>
      <c r="D96" s="25"/>
      <c r="E96" s="28"/>
      <c r="F96" s="25"/>
      <c r="G96" s="25"/>
      <c r="H96" s="25"/>
    </row>
    <row r="97">
      <c r="A97" s="25"/>
      <c r="B97" s="99"/>
      <c r="C97" s="99"/>
      <c r="D97" s="25"/>
      <c r="E97" s="28"/>
      <c r="F97" s="25"/>
      <c r="G97" s="25"/>
      <c r="H97" s="25"/>
    </row>
    <row r="98">
      <c r="A98" s="25"/>
      <c r="B98" s="99"/>
      <c r="C98" s="99"/>
      <c r="D98" s="25"/>
      <c r="E98" s="28"/>
      <c r="F98" s="25"/>
      <c r="G98" s="25"/>
      <c r="H98" s="25"/>
    </row>
    <row r="99">
      <c r="A99" s="25"/>
      <c r="B99" s="99"/>
      <c r="C99" s="99"/>
      <c r="D99" s="25"/>
      <c r="E99" s="28"/>
      <c r="F99" s="25"/>
      <c r="G99" s="25"/>
      <c r="H99" s="25"/>
    </row>
    <row r="100">
      <c r="A100" s="25"/>
      <c r="B100" s="99"/>
      <c r="C100" s="99"/>
      <c r="D100" s="25"/>
      <c r="E100" s="28"/>
      <c r="F100" s="25"/>
      <c r="G100" s="25"/>
      <c r="H100" s="25"/>
    </row>
    <row r="101">
      <c r="A101" s="25"/>
      <c r="B101" s="99"/>
      <c r="C101" s="99"/>
      <c r="D101" s="25"/>
      <c r="E101" s="28"/>
      <c r="F101" s="25"/>
      <c r="G101" s="25"/>
      <c r="H101" s="25"/>
    </row>
    <row r="102">
      <c r="A102" s="25"/>
      <c r="B102" s="99"/>
      <c r="C102" s="99"/>
      <c r="D102" s="25"/>
      <c r="E102" s="28"/>
      <c r="F102" s="25"/>
      <c r="G102" s="25"/>
      <c r="H102" s="25"/>
    </row>
    <row r="103">
      <c r="A103" s="25"/>
      <c r="B103" s="99"/>
      <c r="C103" s="99"/>
      <c r="D103" s="25"/>
      <c r="E103" s="28"/>
      <c r="F103" s="25"/>
      <c r="G103" s="25"/>
      <c r="H103" s="25"/>
    </row>
    <row r="104">
      <c r="A104" s="25"/>
      <c r="B104" s="99"/>
      <c r="C104" s="99"/>
      <c r="D104" s="25"/>
      <c r="E104" s="28"/>
      <c r="F104" s="25"/>
      <c r="G104" s="25"/>
      <c r="H104" s="25"/>
    </row>
    <row r="105">
      <c r="A105" s="25"/>
      <c r="B105" s="99"/>
      <c r="C105" s="99"/>
      <c r="D105" s="25"/>
      <c r="E105" s="28"/>
      <c r="F105" s="25"/>
      <c r="G105" s="25"/>
      <c r="H105" s="25"/>
    </row>
    <row r="106">
      <c r="A106" s="25"/>
      <c r="B106" s="99"/>
      <c r="C106" s="99"/>
      <c r="D106" s="25"/>
      <c r="E106" s="28"/>
      <c r="F106" s="25"/>
      <c r="G106" s="25"/>
      <c r="H106" s="25"/>
    </row>
    <row r="107">
      <c r="A107" s="25"/>
      <c r="B107" s="99"/>
      <c r="C107" s="99"/>
      <c r="D107" s="25"/>
      <c r="E107" s="28"/>
      <c r="F107" s="25"/>
      <c r="G107" s="25"/>
      <c r="H107" s="25"/>
    </row>
    <row r="108">
      <c r="A108" s="25"/>
      <c r="B108" s="99"/>
      <c r="C108" s="99"/>
      <c r="D108" s="25"/>
      <c r="E108" s="28"/>
      <c r="F108" s="25"/>
      <c r="G108" s="25"/>
      <c r="H108" s="25"/>
    </row>
    <row r="109">
      <c r="A109" s="25"/>
      <c r="B109" s="99"/>
      <c r="C109" s="99"/>
      <c r="D109" s="25"/>
      <c r="E109" s="28"/>
      <c r="F109" s="25"/>
      <c r="G109" s="25"/>
      <c r="H109" s="25"/>
    </row>
    <row r="110">
      <c r="A110" s="25"/>
      <c r="B110" s="99"/>
      <c r="C110" s="99"/>
      <c r="D110" s="25"/>
      <c r="E110" s="28"/>
      <c r="F110" s="25"/>
      <c r="G110" s="25"/>
      <c r="H110" s="25"/>
    </row>
    <row r="111">
      <c r="A111" s="25"/>
      <c r="B111" s="99"/>
      <c r="C111" s="99"/>
      <c r="D111" s="25"/>
      <c r="E111" s="28"/>
      <c r="F111" s="25"/>
      <c r="G111" s="25"/>
      <c r="H111" s="25"/>
    </row>
    <row r="112">
      <c r="A112" s="25"/>
      <c r="B112" s="99"/>
      <c r="C112" s="99"/>
      <c r="D112" s="25"/>
      <c r="E112" s="28"/>
      <c r="F112" s="25"/>
      <c r="G112" s="25"/>
      <c r="H112" s="25"/>
    </row>
    <row r="113">
      <c r="A113" s="25"/>
      <c r="B113" s="99"/>
      <c r="C113" s="99"/>
      <c r="D113" s="25"/>
      <c r="E113" s="28"/>
      <c r="F113" s="25"/>
      <c r="G113" s="25"/>
      <c r="H113" s="25"/>
    </row>
    <row r="114">
      <c r="A114" s="25"/>
      <c r="B114" s="99"/>
      <c r="C114" s="99"/>
      <c r="D114" s="25"/>
      <c r="E114" s="28"/>
      <c r="F114" s="25"/>
      <c r="G114" s="25"/>
      <c r="H114" s="25"/>
    </row>
    <row r="115">
      <c r="A115" s="25"/>
      <c r="B115" s="99"/>
      <c r="C115" s="99"/>
      <c r="D115" s="25"/>
      <c r="E115" s="28"/>
      <c r="F115" s="25"/>
      <c r="G115" s="25"/>
      <c r="H115" s="25"/>
    </row>
    <row r="116">
      <c r="A116" s="25"/>
      <c r="B116" s="99"/>
      <c r="C116" s="99"/>
      <c r="D116" s="25"/>
      <c r="E116" s="28"/>
      <c r="F116" s="25"/>
      <c r="G116" s="25"/>
      <c r="H116" s="25"/>
    </row>
    <row r="117">
      <c r="A117" s="25"/>
      <c r="B117" s="99"/>
      <c r="C117" s="99"/>
      <c r="D117" s="25"/>
      <c r="E117" s="28"/>
      <c r="F117" s="25"/>
      <c r="G117" s="25"/>
      <c r="H117" s="25"/>
    </row>
    <row r="118">
      <c r="A118" s="25"/>
      <c r="B118" s="99"/>
      <c r="C118" s="99"/>
      <c r="D118" s="25"/>
      <c r="E118" s="28"/>
      <c r="F118" s="25"/>
      <c r="G118" s="25"/>
      <c r="H118" s="25"/>
    </row>
    <row r="119">
      <c r="A119" s="25"/>
      <c r="B119" s="99"/>
      <c r="C119" s="99"/>
      <c r="D119" s="25"/>
      <c r="E119" s="28"/>
      <c r="F119" s="25"/>
      <c r="G119" s="25"/>
      <c r="H119" s="25"/>
    </row>
    <row r="120">
      <c r="A120" s="25"/>
      <c r="B120" s="99"/>
      <c r="C120" s="99"/>
      <c r="D120" s="25"/>
      <c r="E120" s="28"/>
      <c r="F120" s="25"/>
      <c r="G120" s="25"/>
      <c r="H120" s="25"/>
    </row>
    <row r="121">
      <c r="A121" s="25"/>
      <c r="B121" s="99"/>
      <c r="C121" s="99"/>
      <c r="D121" s="25"/>
      <c r="E121" s="28"/>
      <c r="F121" s="25"/>
      <c r="G121" s="25"/>
      <c r="H121" s="25"/>
    </row>
    <row r="122">
      <c r="A122" s="25"/>
      <c r="B122" s="99"/>
      <c r="C122" s="99"/>
      <c r="D122" s="25"/>
      <c r="E122" s="28"/>
      <c r="F122" s="25"/>
      <c r="G122" s="25"/>
      <c r="H122" s="25"/>
    </row>
    <row r="123">
      <c r="A123" s="25"/>
      <c r="B123" s="99"/>
      <c r="C123" s="99"/>
      <c r="D123" s="25"/>
      <c r="E123" s="28"/>
      <c r="F123" s="25"/>
      <c r="G123" s="25"/>
      <c r="H123" s="25"/>
    </row>
    <row r="124">
      <c r="A124" s="25"/>
      <c r="B124" s="99"/>
      <c r="C124" s="99"/>
      <c r="D124" s="25"/>
      <c r="E124" s="28"/>
      <c r="F124" s="25"/>
      <c r="G124" s="25"/>
      <c r="H124" s="25"/>
    </row>
    <row r="125">
      <c r="A125" s="25"/>
      <c r="B125" s="99"/>
      <c r="C125" s="99"/>
      <c r="D125" s="25"/>
      <c r="E125" s="28"/>
      <c r="F125" s="25"/>
      <c r="G125" s="25"/>
      <c r="H125" s="25"/>
    </row>
    <row r="126">
      <c r="A126" s="25"/>
      <c r="B126" s="99"/>
      <c r="C126" s="99"/>
      <c r="D126" s="25"/>
      <c r="E126" s="28"/>
      <c r="F126" s="25"/>
      <c r="G126" s="25"/>
      <c r="H126" s="25"/>
    </row>
    <row r="127">
      <c r="A127" s="25"/>
      <c r="B127" s="99"/>
      <c r="C127" s="99"/>
      <c r="D127" s="25"/>
      <c r="E127" s="28"/>
      <c r="F127" s="25"/>
      <c r="G127" s="25"/>
      <c r="H127" s="25"/>
    </row>
    <row r="128">
      <c r="A128" s="25"/>
      <c r="B128" s="99"/>
      <c r="C128" s="99"/>
      <c r="D128" s="25"/>
      <c r="E128" s="28"/>
      <c r="F128" s="25"/>
      <c r="G128" s="25"/>
      <c r="H128" s="25"/>
    </row>
    <row r="129">
      <c r="A129" s="25"/>
      <c r="B129" s="99"/>
      <c r="C129" s="99"/>
      <c r="D129" s="25"/>
      <c r="E129" s="28"/>
      <c r="F129" s="25"/>
      <c r="G129" s="25"/>
      <c r="H129" s="25"/>
    </row>
    <row r="130">
      <c r="A130" s="25"/>
      <c r="B130" s="99"/>
      <c r="C130" s="99"/>
      <c r="D130" s="25"/>
      <c r="E130" s="28"/>
      <c r="F130" s="25"/>
      <c r="G130" s="25"/>
      <c r="H130" s="25"/>
    </row>
    <row r="131">
      <c r="A131" s="25"/>
      <c r="B131" s="99"/>
      <c r="C131" s="99"/>
      <c r="D131" s="25"/>
      <c r="E131" s="28"/>
      <c r="F131" s="25"/>
      <c r="G131" s="25"/>
      <c r="H131" s="25"/>
    </row>
    <row r="132">
      <c r="A132" s="25"/>
      <c r="B132" s="99"/>
      <c r="C132" s="99"/>
      <c r="D132" s="25"/>
      <c r="E132" s="28"/>
      <c r="F132" s="25"/>
      <c r="G132" s="25"/>
      <c r="H132" s="25"/>
    </row>
    <row r="133">
      <c r="A133" s="25"/>
      <c r="B133" s="99"/>
      <c r="C133" s="99"/>
      <c r="D133" s="25"/>
      <c r="E133" s="28"/>
      <c r="F133" s="25"/>
      <c r="G133" s="25"/>
      <c r="H133" s="25"/>
    </row>
    <row r="134">
      <c r="A134" s="25"/>
      <c r="B134" s="99"/>
      <c r="C134" s="99"/>
      <c r="D134" s="25"/>
      <c r="E134" s="28"/>
      <c r="F134" s="25"/>
      <c r="G134" s="25"/>
      <c r="H134" s="25"/>
    </row>
    <row r="135">
      <c r="A135" s="25"/>
      <c r="B135" s="99"/>
      <c r="C135" s="99"/>
      <c r="D135" s="25"/>
      <c r="E135" s="28"/>
      <c r="F135" s="25"/>
      <c r="G135" s="25"/>
      <c r="H135" s="25"/>
    </row>
    <row r="136">
      <c r="A136" s="25"/>
      <c r="B136" s="99"/>
      <c r="C136" s="99"/>
      <c r="D136" s="25"/>
      <c r="E136" s="28"/>
      <c r="F136" s="25"/>
      <c r="G136" s="25"/>
      <c r="H136" s="25"/>
    </row>
    <row r="137">
      <c r="A137" s="25"/>
      <c r="B137" s="99"/>
      <c r="C137" s="99"/>
      <c r="D137" s="25"/>
      <c r="E137" s="28"/>
      <c r="F137" s="25"/>
      <c r="G137" s="25"/>
      <c r="H137" s="25"/>
    </row>
    <row r="138">
      <c r="A138" s="25"/>
      <c r="B138" s="99"/>
      <c r="C138" s="99"/>
      <c r="D138" s="25"/>
      <c r="E138" s="28"/>
      <c r="F138" s="25"/>
      <c r="G138" s="25"/>
      <c r="H138" s="25"/>
    </row>
    <row r="139">
      <c r="A139" s="25"/>
      <c r="B139" s="99"/>
      <c r="C139" s="99"/>
      <c r="D139" s="25"/>
      <c r="E139" s="28"/>
      <c r="F139" s="25"/>
      <c r="G139" s="25"/>
      <c r="H139" s="25"/>
    </row>
    <row r="140">
      <c r="A140" s="25"/>
      <c r="B140" s="99"/>
      <c r="C140" s="99"/>
      <c r="D140" s="25"/>
      <c r="E140" s="28"/>
      <c r="F140" s="25"/>
      <c r="G140" s="25"/>
      <c r="H140" s="25"/>
    </row>
    <row r="141">
      <c r="A141" s="25"/>
      <c r="B141" s="99"/>
      <c r="C141" s="99"/>
      <c r="D141" s="25"/>
      <c r="E141" s="28"/>
      <c r="F141" s="25"/>
      <c r="G141" s="25"/>
      <c r="H141" s="25"/>
    </row>
    <row r="142">
      <c r="A142" s="25"/>
      <c r="B142" s="99"/>
      <c r="C142" s="99"/>
      <c r="D142" s="25"/>
      <c r="E142" s="28"/>
      <c r="F142" s="25"/>
      <c r="G142" s="25"/>
      <c r="H142" s="25"/>
    </row>
    <row r="143">
      <c r="A143" s="25"/>
      <c r="B143" s="99"/>
      <c r="C143" s="99"/>
      <c r="D143" s="25"/>
      <c r="E143" s="28"/>
      <c r="F143" s="25"/>
      <c r="G143" s="25"/>
      <c r="H143" s="25"/>
    </row>
    <row r="144">
      <c r="A144" s="25"/>
      <c r="B144" s="99"/>
      <c r="C144" s="99"/>
      <c r="D144" s="25"/>
      <c r="E144" s="28"/>
      <c r="F144" s="25"/>
      <c r="G144" s="25"/>
      <c r="H144" s="25"/>
    </row>
    <row r="145">
      <c r="A145" s="25"/>
      <c r="B145" s="99"/>
      <c r="C145" s="99"/>
      <c r="D145" s="25"/>
      <c r="E145" s="28"/>
      <c r="F145" s="25"/>
      <c r="G145" s="25"/>
      <c r="H145" s="25"/>
    </row>
    <row r="146">
      <c r="A146" s="25"/>
      <c r="B146" s="99"/>
      <c r="C146" s="99"/>
      <c r="D146" s="25"/>
      <c r="E146" s="28"/>
      <c r="F146" s="25"/>
      <c r="G146" s="25"/>
      <c r="H146" s="25"/>
    </row>
    <row r="147">
      <c r="A147" s="25"/>
      <c r="B147" s="99"/>
      <c r="C147" s="99"/>
      <c r="D147" s="25"/>
      <c r="E147" s="28"/>
      <c r="F147" s="25"/>
      <c r="G147" s="25"/>
      <c r="H147" s="25"/>
    </row>
    <row r="148">
      <c r="A148" s="25"/>
      <c r="B148" s="99"/>
      <c r="C148" s="99"/>
      <c r="D148" s="25"/>
      <c r="E148" s="28"/>
      <c r="F148" s="25"/>
      <c r="G148" s="25"/>
      <c r="H148" s="25"/>
    </row>
    <row r="149">
      <c r="A149" s="25"/>
      <c r="B149" s="99"/>
      <c r="C149" s="99"/>
      <c r="D149" s="25"/>
      <c r="E149" s="28"/>
      <c r="F149" s="25"/>
      <c r="G149" s="25"/>
      <c r="H149" s="25"/>
    </row>
    <row r="150">
      <c r="A150" s="25"/>
      <c r="B150" s="99"/>
      <c r="C150" s="99"/>
      <c r="D150" s="25"/>
      <c r="E150" s="28"/>
      <c r="F150" s="25"/>
      <c r="G150" s="25"/>
      <c r="H150" s="25"/>
    </row>
    <row r="151">
      <c r="A151" s="25"/>
      <c r="B151" s="99"/>
      <c r="C151" s="99"/>
      <c r="D151" s="25"/>
      <c r="E151" s="28"/>
      <c r="F151" s="25"/>
      <c r="G151" s="25"/>
      <c r="H151" s="25"/>
    </row>
    <row r="152">
      <c r="A152" s="25"/>
      <c r="B152" s="99"/>
      <c r="C152" s="99"/>
      <c r="D152" s="25"/>
      <c r="E152" s="28"/>
      <c r="F152" s="25"/>
      <c r="G152" s="25"/>
      <c r="H152" s="25"/>
    </row>
    <row r="153">
      <c r="A153" s="25"/>
      <c r="B153" s="99"/>
      <c r="C153" s="99"/>
      <c r="D153" s="25"/>
      <c r="E153" s="28"/>
      <c r="F153" s="25"/>
      <c r="G153" s="25"/>
      <c r="H153" s="25"/>
    </row>
    <row r="154">
      <c r="A154" s="25"/>
      <c r="B154" s="99"/>
      <c r="C154" s="99"/>
      <c r="D154" s="25"/>
      <c r="E154" s="28"/>
      <c r="F154" s="25"/>
      <c r="G154" s="25"/>
      <c r="H154" s="25"/>
    </row>
    <row r="155">
      <c r="A155" s="25"/>
      <c r="B155" s="99"/>
      <c r="C155" s="99"/>
      <c r="D155" s="25"/>
      <c r="E155" s="28"/>
      <c r="F155" s="25"/>
      <c r="G155" s="25"/>
      <c r="H155" s="25"/>
    </row>
    <row r="156">
      <c r="A156" s="25"/>
      <c r="B156" s="99"/>
      <c r="C156" s="99"/>
      <c r="D156" s="25"/>
      <c r="E156" s="28"/>
      <c r="F156" s="25"/>
      <c r="G156" s="25"/>
      <c r="H156" s="25"/>
    </row>
    <row r="157">
      <c r="A157" s="25"/>
      <c r="B157" s="99"/>
      <c r="C157" s="99"/>
      <c r="D157" s="25"/>
      <c r="E157" s="28"/>
      <c r="F157" s="25"/>
      <c r="G157" s="25"/>
      <c r="H157" s="25"/>
    </row>
    <row r="158">
      <c r="A158" s="25"/>
      <c r="B158" s="99"/>
      <c r="C158" s="99"/>
      <c r="D158" s="25"/>
      <c r="E158" s="28"/>
      <c r="F158" s="25"/>
      <c r="G158" s="25"/>
      <c r="H158" s="25"/>
    </row>
    <row r="159">
      <c r="A159" s="25"/>
      <c r="B159" s="99"/>
      <c r="C159" s="99"/>
      <c r="D159" s="25"/>
      <c r="E159" s="28"/>
      <c r="F159" s="25"/>
      <c r="G159" s="25"/>
      <c r="H159" s="25"/>
    </row>
    <row r="160">
      <c r="A160" s="25"/>
      <c r="B160" s="99"/>
      <c r="C160" s="99"/>
      <c r="D160" s="25"/>
      <c r="E160" s="28"/>
      <c r="F160" s="25"/>
      <c r="G160" s="25"/>
      <c r="H160" s="25"/>
    </row>
    <row r="161">
      <c r="A161" s="25"/>
      <c r="B161" s="99"/>
      <c r="C161" s="99"/>
      <c r="D161" s="25"/>
      <c r="E161" s="28"/>
      <c r="F161" s="25"/>
      <c r="G161" s="25"/>
      <c r="H161" s="25"/>
    </row>
    <row r="162">
      <c r="A162" s="25"/>
      <c r="B162" s="99"/>
      <c r="C162" s="99"/>
      <c r="D162" s="25"/>
      <c r="E162" s="28"/>
      <c r="F162" s="25"/>
      <c r="G162" s="25"/>
      <c r="H162" s="25"/>
    </row>
    <row r="163">
      <c r="A163" s="25"/>
      <c r="B163" s="99"/>
      <c r="C163" s="99"/>
      <c r="D163" s="25"/>
      <c r="E163" s="28"/>
      <c r="F163" s="25"/>
      <c r="G163" s="25"/>
      <c r="H163" s="25"/>
    </row>
    <row r="164">
      <c r="A164" s="25"/>
      <c r="B164" s="99"/>
      <c r="C164" s="99"/>
      <c r="D164" s="25"/>
      <c r="E164" s="28"/>
      <c r="F164" s="25"/>
      <c r="G164" s="25"/>
      <c r="H164" s="25"/>
    </row>
    <row r="165">
      <c r="A165" s="25"/>
      <c r="B165" s="99"/>
      <c r="C165" s="99"/>
      <c r="D165" s="25"/>
      <c r="E165" s="28"/>
      <c r="F165" s="25"/>
      <c r="G165" s="25"/>
      <c r="H165" s="25"/>
    </row>
    <row r="166">
      <c r="A166" s="25"/>
      <c r="B166" s="99"/>
      <c r="C166" s="99"/>
      <c r="D166" s="25"/>
      <c r="E166" s="28"/>
      <c r="F166" s="25"/>
      <c r="G166" s="25"/>
      <c r="H166" s="25"/>
    </row>
    <row r="167">
      <c r="A167" s="25"/>
      <c r="B167" s="99"/>
      <c r="C167" s="99"/>
      <c r="D167" s="25"/>
      <c r="E167" s="28"/>
      <c r="F167" s="25"/>
      <c r="G167" s="25"/>
      <c r="H167" s="25"/>
    </row>
    <row r="168">
      <c r="A168" s="25"/>
      <c r="B168" s="99"/>
      <c r="C168" s="99"/>
      <c r="D168" s="25"/>
      <c r="E168" s="28"/>
      <c r="F168" s="25"/>
      <c r="G168" s="25"/>
      <c r="H168" s="25"/>
    </row>
    <row r="169">
      <c r="A169" s="25"/>
      <c r="B169" s="99"/>
      <c r="C169" s="99"/>
      <c r="D169" s="25"/>
      <c r="E169" s="28"/>
      <c r="F169" s="25"/>
      <c r="G169" s="25"/>
      <c r="H169" s="25"/>
    </row>
    <row r="170">
      <c r="A170" s="25"/>
      <c r="B170" s="99"/>
      <c r="C170" s="99"/>
      <c r="D170" s="25"/>
      <c r="E170" s="28"/>
      <c r="F170" s="25"/>
      <c r="G170" s="25"/>
      <c r="H170" s="25"/>
    </row>
    <row r="171">
      <c r="A171" s="25"/>
      <c r="B171" s="99"/>
      <c r="C171" s="99"/>
      <c r="D171" s="25"/>
      <c r="E171" s="28"/>
      <c r="F171" s="25"/>
      <c r="G171" s="25"/>
      <c r="H171" s="25"/>
    </row>
    <row r="172">
      <c r="A172" s="25"/>
      <c r="B172" s="99"/>
      <c r="C172" s="99"/>
      <c r="D172" s="25"/>
      <c r="E172" s="28"/>
      <c r="F172" s="25"/>
      <c r="G172" s="25"/>
      <c r="H172" s="25"/>
    </row>
    <row r="173">
      <c r="A173" s="25"/>
      <c r="B173" s="99"/>
      <c r="C173" s="99"/>
      <c r="D173" s="25"/>
      <c r="E173" s="28"/>
      <c r="F173" s="25"/>
      <c r="G173" s="25"/>
      <c r="H173" s="25"/>
    </row>
    <row r="174">
      <c r="A174" s="25"/>
      <c r="B174" s="99"/>
      <c r="C174" s="99"/>
      <c r="D174" s="25"/>
      <c r="E174" s="28"/>
      <c r="F174" s="25"/>
      <c r="G174" s="25"/>
      <c r="H174" s="25"/>
    </row>
    <row r="175">
      <c r="A175" s="25"/>
      <c r="B175" s="99"/>
      <c r="C175" s="99"/>
      <c r="D175" s="25"/>
      <c r="E175" s="28"/>
      <c r="F175" s="25"/>
      <c r="G175" s="25"/>
      <c r="H175" s="25"/>
    </row>
    <row r="176">
      <c r="A176" s="25"/>
      <c r="B176" s="99"/>
      <c r="C176" s="99"/>
      <c r="D176" s="25"/>
      <c r="E176" s="28"/>
      <c r="F176" s="25"/>
      <c r="G176" s="25"/>
      <c r="H176" s="25"/>
    </row>
    <row r="177">
      <c r="A177" s="25"/>
      <c r="B177" s="99"/>
      <c r="C177" s="99"/>
      <c r="D177" s="25"/>
      <c r="E177" s="28"/>
      <c r="F177" s="25"/>
      <c r="G177" s="25"/>
      <c r="H177" s="25"/>
    </row>
    <row r="178">
      <c r="A178" s="25"/>
      <c r="B178" s="99"/>
      <c r="C178" s="99"/>
      <c r="D178" s="25"/>
      <c r="E178" s="28"/>
      <c r="F178" s="25"/>
      <c r="G178" s="25"/>
      <c r="H178" s="25"/>
    </row>
    <row r="179">
      <c r="A179" s="25"/>
      <c r="B179" s="99"/>
      <c r="C179" s="99"/>
      <c r="D179" s="25"/>
      <c r="E179" s="28"/>
      <c r="F179" s="25"/>
      <c r="G179" s="25"/>
      <c r="H179" s="25"/>
    </row>
    <row r="180">
      <c r="A180" s="25"/>
      <c r="B180" s="99"/>
      <c r="C180" s="99"/>
      <c r="D180" s="25"/>
      <c r="E180" s="28"/>
      <c r="F180" s="25"/>
      <c r="G180" s="25"/>
      <c r="H180" s="25"/>
    </row>
    <row r="181">
      <c r="A181" s="25"/>
      <c r="B181" s="99"/>
      <c r="C181" s="99"/>
      <c r="D181" s="25"/>
      <c r="E181" s="28"/>
      <c r="F181" s="25"/>
      <c r="G181" s="25"/>
      <c r="H181" s="25"/>
    </row>
    <row r="182">
      <c r="A182" s="25"/>
      <c r="B182" s="99"/>
      <c r="C182" s="99"/>
      <c r="D182" s="25"/>
      <c r="E182" s="28"/>
      <c r="F182" s="25"/>
      <c r="G182" s="25"/>
      <c r="H182" s="25"/>
    </row>
    <row r="183">
      <c r="A183" s="25"/>
      <c r="B183" s="99"/>
      <c r="C183" s="99"/>
      <c r="D183" s="25"/>
      <c r="E183" s="28"/>
      <c r="F183" s="25"/>
      <c r="G183" s="25"/>
      <c r="H183" s="25"/>
    </row>
    <row r="184">
      <c r="A184" s="25"/>
      <c r="B184" s="99"/>
      <c r="C184" s="99"/>
      <c r="D184" s="25"/>
      <c r="E184" s="28"/>
      <c r="F184" s="25"/>
      <c r="G184" s="25"/>
      <c r="H184" s="25"/>
    </row>
    <row r="185">
      <c r="A185" s="25"/>
      <c r="B185" s="99"/>
      <c r="C185" s="99"/>
      <c r="D185" s="25"/>
      <c r="E185" s="28"/>
      <c r="F185" s="25"/>
      <c r="G185" s="25"/>
      <c r="H185" s="25"/>
    </row>
    <row r="186">
      <c r="A186" s="25"/>
      <c r="B186" s="99"/>
      <c r="C186" s="99"/>
      <c r="D186" s="25"/>
      <c r="E186" s="28"/>
      <c r="F186" s="25"/>
      <c r="G186" s="25"/>
      <c r="H186" s="25"/>
    </row>
    <row r="187">
      <c r="A187" s="25"/>
      <c r="B187" s="99"/>
      <c r="C187" s="99"/>
      <c r="D187" s="25"/>
      <c r="E187" s="28"/>
      <c r="F187" s="25"/>
      <c r="G187" s="25"/>
      <c r="H187" s="25"/>
    </row>
    <row r="188">
      <c r="A188" s="25"/>
      <c r="B188" s="99"/>
      <c r="C188" s="99"/>
      <c r="D188" s="25"/>
      <c r="E188" s="28"/>
      <c r="F188" s="25"/>
      <c r="G188" s="25"/>
      <c r="H188" s="25"/>
    </row>
    <row r="189">
      <c r="A189" s="25"/>
      <c r="B189" s="99"/>
      <c r="C189" s="99"/>
      <c r="D189" s="25"/>
      <c r="E189" s="28"/>
      <c r="F189" s="25"/>
      <c r="G189" s="25"/>
      <c r="H189" s="25"/>
    </row>
    <row r="190">
      <c r="A190" s="25"/>
      <c r="B190" s="99"/>
      <c r="C190" s="99"/>
      <c r="D190" s="25"/>
      <c r="E190" s="28"/>
      <c r="F190" s="25"/>
      <c r="G190" s="25"/>
      <c r="H190" s="25"/>
    </row>
    <row r="191">
      <c r="A191" s="25"/>
      <c r="B191" s="99"/>
      <c r="C191" s="99"/>
      <c r="D191" s="25"/>
      <c r="E191" s="28"/>
      <c r="F191" s="25"/>
      <c r="G191" s="25"/>
      <c r="H191" s="25"/>
    </row>
    <row r="192">
      <c r="A192" s="25"/>
      <c r="B192" s="99"/>
      <c r="C192" s="99"/>
      <c r="D192" s="25"/>
      <c r="E192" s="28"/>
      <c r="F192" s="25"/>
      <c r="G192" s="25"/>
      <c r="H192" s="25"/>
    </row>
    <row r="193">
      <c r="A193" s="25"/>
      <c r="B193" s="99"/>
      <c r="C193" s="99"/>
      <c r="D193" s="25"/>
      <c r="E193" s="28"/>
      <c r="F193" s="25"/>
      <c r="G193" s="25"/>
      <c r="H193" s="25"/>
    </row>
    <row r="194">
      <c r="A194" s="25"/>
      <c r="B194" s="99"/>
      <c r="C194" s="99"/>
      <c r="D194" s="25"/>
      <c r="E194" s="28"/>
      <c r="F194" s="25"/>
      <c r="G194" s="25"/>
      <c r="H194" s="25"/>
    </row>
    <row r="195">
      <c r="A195" s="25"/>
      <c r="B195" s="99"/>
      <c r="C195" s="99"/>
      <c r="D195" s="25"/>
      <c r="E195" s="28"/>
      <c r="F195" s="25"/>
      <c r="G195" s="25"/>
      <c r="H195" s="25"/>
    </row>
    <row r="196">
      <c r="A196" s="25"/>
      <c r="B196" s="99"/>
      <c r="C196" s="99"/>
      <c r="D196" s="25"/>
      <c r="E196" s="28"/>
      <c r="F196" s="25"/>
      <c r="G196" s="25"/>
      <c r="H196" s="25"/>
    </row>
    <row r="197">
      <c r="A197" s="25"/>
      <c r="B197" s="99"/>
      <c r="C197" s="99"/>
      <c r="D197" s="25"/>
      <c r="E197" s="28"/>
      <c r="F197" s="25"/>
      <c r="G197" s="25"/>
      <c r="H197" s="25"/>
    </row>
    <row r="198">
      <c r="A198" s="25"/>
      <c r="B198" s="99"/>
      <c r="C198" s="99"/>
      <c r="D198" s="25"/>
      <c r="E198" s="28"/>
      <c r="F198" s="25"/>
      <c r="G198" s="25"/>
      <c r="H198" s="25"/>
    </row>
    <row r="199">
      <c r="A199" s="25"/>
      <c r="B199" s="99"/>
      <c r="C199" s="99"/>
      <c r="D199" s="25"/>
      <c r="E199" s="28"/>
      <c r="F199" s="25"/>
      <c r="G199" s="25"/>
      <c r="H199" s="25"/>
    </row>
    <row r="200">
      <c r="A200" s="25"/>
      <c r="B200" s="99"/>
      <c r="C200" s="99"/>
      <c r="D200" s="25"/>
      <c r="E200" s="28"/>
      <c r="F200" s="25"/>
      <c r="G200" s="25"/>
      <c r="H200" s="25"/>
    </row>
    <row r="201">
      <c r="A201" s="25"/>
      <c r="B201" s="99"/>
      <c r="C201" s="99"/>
      <c r="D201" s="25"/>
      <c r="E201" s="28"/>
      <c r="F201" s="25"/>
      <c r="G201" s="25"/>
      <c r="H201" s="25"/>
    </row>
    <row r="202">
      <c r="A202" s="25"/>
      <c r="B202" s="99"/>
      <c r="C202" s="99"/>
      <c r="D202" s="25"/>
      <c r="E202" s="28"/>
      <c r="F202" s="25"/>
      <c r="G202" s="25"/>
      <c r="H202" s="25"/>
    </row>
    <row r="203">
      <c r="A203" s="25"/>
      <c r="B203" s="99"/>
      <c r="C203" s="99"/>
      <c r="D203" s="25"/>
      <c r="E203" s="28"/>
      <c r="F203" s="25"/>
      <c r="G203" s="25"/>
      <c r="H203" s="25"/>
    </row>
    <row r="204">
      <c r="A204" s="25"/>
      <c r="B204" s="99"/>
      <c r="C204" s="99"/>
      <c r="D204" s="25"/>
      <c r="E204" s="28"/>
      <c r="F204" s="25"/>
      <c r="G204" s="25"/>
      <c r="H204" s="25"/>
    </row>
    <row r="205">
      <c r="A205" s="25"/>
      <c r="B205" s="99"/>
      <c r="C205" s="99"/>
      <c r="D205" s="25"/>
      <c r="E205" s="28"/>
      <c r="F205" s="25"/>
      <c r="G205" s="25"/>
      <c r="H205" s="25"/>
    </row>
    <row r="206">
      <c r="A206" s="25"/>
      <c r="B206" s="99"/>
      <c r="C206" s="99"/>
      <c r="D206" s="25"/>
      <c r="E206" s="28"/>
      <c r="F206" s="25"/>
      <c r="G206" s="25"/>
      <c r="H206" s="25"/>
    </row>
    <row r="207">
      <c r="A207" s="25"/>
      <c r="B207" s="99"/>
      <c r="C207" s="99"/>
      <c r="D207" s="25"/>
      <c r="E207" s="28"/>
      <c r="F207" s="25"/>
      <c r="G207" s="25"/>
      <c r="H207" s="25"/>
    </row>
    <row r="208">
      <c r="A208" s="25"/>
      <c r="B208" s="99"/>
      <c r="C208" s="99"/>
      <c r="D208" s="25"/>
      <c r="E208" s="28"/>
      <c r="F208" s="25"/>
      <c r="G208" s="25"/>
      <c r="H208" s="25"/>
    </row>
    <row r="209">
      <c r="A209" s="25"/>
      <c r="B209" s="99"/>
      <c r="C209" s="99"/>
      <c r="D209" s="25"/>
      <c r="E209" s="28"/>
      <c r="F209" s="25"/>
      <c r="G209" s="25"/>
      <c r="H209" s="25"/>
    </row>
    <row r="210">
      <c r="A210" s="25"/>
      <c r="B210" s="99"/>
      <c r="C210" s="99"/>
      <c r="D210" s="25"/>
      <c r="E210" s="28"/>
      <c r="F210" s="25"/>
      <c r="G210" s="25"/>
      <c r="H210" s="25"/>
    </row>
    <row r="211">
      <c r="A211" s="25"/>
      <c r="B211" s="99"/>
      <c r="C211" s="99"/>
      <c r="D211" s="25"/>
      <c r="E211" s="28"/>
      <c r="F211" s="25"/>
      <c r="G211" s="25"/>
      <c r="H211" s="25"/>
    </row>
    <row r="212">
      <c r="A212" s="25"/>
      <c r="B212" s="99"/>
      <c r="C212" s="99"/>
      <c r="D212" s="25"/>
      <c r="E212" s="28"/>
      <c r="F212" s="25"/>
      <c r="G212" s="25"/>
      <c r="H212" s="25"/>
    </row>
    <row r="213">
      <c r="A213" s="25"/>
      <c r="B213" s="99"/>
      <c r="C213" s="99"/>
      <c r="D213" s="25"/>
      <c r="E213" s="28"/>
      <c r="F213" s="25"/>
      <c r="G213" s="25"/>
      <c r="H213" s="25"/>
    </row>
    <row r="214">
      <c r="A214" s="25"/>
      <c r="B214" s="99"/>
      <c r="C214" s="99"/>
      <c r="D214" s="25"/>
      <c r="E214" s="28"/>
      <c r="F214" s="25"/>
      <c r="G214" s="25"/>
      <c r="H214" s="25"/>
    </row>
    <row r="215">
      <c r="A215" s="25"/>
      <c r="B215" s="99"/>
      <c r="C215" s="99"/>
      <c r="D215" s="25"/>
      <c r="E215" s="28"/>
      <c r="F215" s="25"/>
      <c r="G215" s="25"/>
      <c r="H215" s="25"/>
    </row>
    <row r="216">
      <c r="A216" s="25"/>
      <c r="B216" s="99"/>
      <c r="C216" s="99"/>
      <c r="D216" s="25"/>
      <c r="E216" s="28"/>
      <c r="F216" s="25"/>
      <c r="G216" s="25"/>
      <c r="H216" s="25"/>
    </row>
    <row r="217">
      <c r="A217" s="25"/>
      <c r="B217" s="99"/>
      <c r="C217" s="99"/>
      <c r="D217" s="25"/>
      <c r="E217" s="28"/>
      <c r="F217" s="25"/>
      <c r="G217" s="25"/>
      <c r="H217" s="25"/>
    </row>
    <row r="218">
      <c r="A218" s="25"/>
      <c r="B218" s="99"/>
      <c r="C218" s="99"/>
      <c r="D218" s="25"/>
      <c r="E218" s="28"/>
      <c r="F218" s="25"/>
      <c r="G218" s="25"/>
      <c r="H218" s="25"/>
    </row>
    <row r="219">
      <c r="A219" s="25"/>
      <c r="B219" s="99"/>
      <c r="C219" s="99"/>
      <c r="D219" s="25"/>
      <c r="E219" s="28"/>
      <c r="F219" s="25"/>
      <c r="G219" s="25"/>
      <c r="H219" s="25"/>
    </row>
    <row r="220">
      <c r="A220" s="25"/>
      <c r="B220" s="99"/>
      <c r="C220" s="99"/>
      <c r="D220" s="25"/>
      <c r="E220" s="28"/>
      <c r="F220" s="25"/>
      <c r="G220" s="25"/>
      <c r="H220" s="25"/>
    </row>
    <row r="221">
      <c r="A221" s="25"/>
      <c r="B221" s="99"/>
      <c r="C221" s="99"/>
      <c r="D221" s="25"/>
      <c r="E221" s="28"/>
      <c r="F221" s="25"/>
      <c r="G221" s="25"/>
      <c r="H221" s="25"/>
    </row>
    <row r="222">
      <c r="A222" s="25"/>
      <c r="B222" s="99"/>
      <c r="C222" s="99"/>
      <c r="D222" s="25"/>
      <c r="E222" s="28"/>
      <c r="F222" s="25"/>
      <c r="G222" s="25"/>
      <c r="H222" s="25"/>
    </row>
    <row r="223">
      <c r="A223" s="25"/>
      <c r="B223" s="99"/>
      <c r="C223" s="99"/>
      <c r="D223" s="25"/>
      <c r="E223" s="28"/>
      <c r="F223" s="25"/>
      <c r="G223" s="25"/>
      <c r="H223" s="25"/>
    </row>
    <row r="224">
      <c r="A224" s="25"/>
      <c r="B224" s="99"/>
      <c r="C224" s="99"/>
      <c r="D224" s="25"/>
      <c r="E224" s="28"/>
      <c r="F224" s="25"/>
      <c r="G224" s="25"/>
      <c r="H224" s="25"/>
    </row>
    <row r="225">
      <c r="A225" s="25"/>
      <c r="B225" s="99"/>
      <c r="C225" s="99"/>
      <c r="D225" s="25"/>
      <c r="E225" s="28"/>
      <c r="F225" s="25"/>
      <c r="G225" s="25"/>
      <c r="H225" s="25"/>
    </row>
    <row r="226">
      <c r="A226" s="25"/>
      <c r="B226" s="99"/>
      <c r="C226" s="99"/>
      <c r="D226" s="25"/>
      <c r="E226" s="28"/>
      <c r="F226" s="25"/>
      <c r="G226" s="25"/>
      <c r="H226" s="25"/>
    </row>
    <row r="227">
      <c r="A227" s="25"/>
      <c r="B227" s="99"/>
      <c r="C227" s="99"/>
      <c r="D227" s="25"/>
      <c r="E227" s="28"/>
      <c r="F227" s="25"/>
      <c r="G227" s="25"/>
      <c r="H227" s="25"/>
    </row>
    <row r="228">
      <c r="A228" s="25"/>
      <c r="B228" s="99"/>
      <c r="C228" s="99"/>
      <c r="D228" s="25"/>
      <c r="E228" s="28"/>
      <c r="F228" s="25"/>
      <c r="G228" s="25"/>
      <c r="H228" s="25"/>
    </row>
    <row r="229">
      <c r="A229" s="25"/>
      <c r="B229" s="99"/>
      <c r="C229" s="99"/>
      <c r="D229" s="25"/>
      <c r="E229" s="28"/>
      <c r="F229" s="25"/>
      <c r="G229" s="25"/>
      <c r="H229" s="25"/>
    </row>
    <row r="230">
      <c r="A230" s="25"/>
      <c r="B230" s="99"/>
      <c r="C230" s="99"/>
      <c r="D230" s="25"/>
      <c r="E230" s="28"/>
      <c r="F230" s="25"/>
      <c r="G230" s="25"/>
      <c r="H230" s="25"/>
    </row>
    <row r="231">
      <c r="A231" s="25"/>
      <c r="B231" s="99"/>
      <c r="C231" s="99"/>
      <c r="D231" s="25"/>
      <c r="E231" s="28"/>
      <c r="F231" s="25"/>
      <c r="G231" s="25"/>
      <c r="H231" s="25"/>
    </row>
    <row r="232">
      <c r="A232" s="25"/>
      <c r="B232" s="99"/>
      <c r="C232" s="99"/>
      <c r="D232" s="25"/>
      <c r="E232" s="28"/>
      <c r="F232" s="25"/>
      <c r="G232" s="25"/>
      <c r="H232" s="25"/>
    </row>
    <row r="233">
      <c r="A233" s="25"/>
      <c r="B233" s="99"/>
      <c r="C233" s="99"/>
      <c r="D233" s="25"/>
      <c r="E233" s="28"/>
      <c r="F233" s="25"/>
      <c r="G233" s="25"/>
      <c r="H233" s="25"/>
    </row>
    <row r="234">
      <c r="A234" s="25"/>
      <c r="B234" s="99"/>
      <c r="C234" s="99"/>
      <c r="D234" s="25"/>
      <c r="E234" s="28"/>
      <c r="F234" s="25"/>
      <c r="G234" s="25"/>
      <c r="H234" s="25"/>
    </row>
    <row r="235">
      <c r="A235" s="25"/>
      <c r="B235" s="99"/>
      <c r="C235" s="99"/>
      <c r="D235" s="25"/>
      <c r="E235" s="28"/>
      <c r="F235" s="25"/>
      <c r="G235" s="25"/>
      <c r="H235" s="25"/>
    </row>
    <row r="236">
      <c r="A236" s="25"/>
      <c r="B236" s="99"/>
      <c r="C236" s="99"/>
      <c r="D236" s="25"/>
      <c r="E236" s="28"/>
      <c r="F236" s="25"/>
      <c r="G236" s="25"/>
      <c r="H236" s="25"/>
    </row>
    <row r="237">
      <c r="A237" s="25"/>
      <c r="B237" s="99"/>
      <c r="C237" s="99"/>
      <c r="D237" s="25"/>
      <c r="E237" s="28"/>
      <c r="F237" s="25"/>
      <c r="G237" s="25"/>
      <c r="H237" s="25"/>
    </row>
    <row r="238">
      <c r="A238" s="25"/>
      <c r="B238" s="99"/>
      <c r="C238" s="99"/>
      <c r="D238" s="25"/>
      <c r="E238" s="28"/>
      <c r="F238" s="25"/>
      <c r="G238" s="25"/>
      <c r="H238" s="25"/>
    </row>
    <row r="239">
      <c r="A239" s="25"/>
      <c r="B239" s="99"/>
      <c r="C239" s="99"/>
      <c r="D239" s="25"/>
      <c r="E239" s="28"/>
      <c r="F239" s="25"/>
      <c r="G239" s="25"/>
      <c r="H239" s="25"/>
    </row>
    <row r="240">
      <c r="A240" s="25"/>
      <c r="B240" s="99"/>
      <c r="C240" s="99"/>
      <c r="D240" s="25"/>
      <c r="E240" s="28"/>
      <c r="F240" s="25"/>
      <c r="G240" s="25"/>
      <c r="H240" s="25"/>
    </row>
    <row r="241">
      <c r="A241" s="25"/>
      <c r="B241" s="99"/>
      <c r="C241" s="99"/>
      <c r="D241" s="25"/>
      <c r="E241" s="28"/>
      <c r="F241" s="25"/>
      <c r="G241" s="25"/>
      <c r="H241" s="25"/>
    </row>
    <row r="242">
      <c r="A242" s="25"/>
      <c r="B242" s="99"/>
      <c r="C242" s="99"/>
      <c r="D242" s="25"/>
      <c r="E242" s="28"/>
      <c r="F242" s="25"/>
      <c r="G242" s="25"/>
      <c r="H242" s="25"/>
    </row>
    <row r="243">
      <c r="A243" s="25"/>
      <c r="B243" s="99"/>
      <c r="C243" s="99"/>
      <c r="D243" s="25"/>
      <c r="E243" s="28"/>
      <c r="F243" s="25"/>
      <c r="G243" s="25"/>
      <c r="H243" s="25"/>
    </row>
    <row r="244">
      <c r="A244" s="25"/>
      <c r="B244" s="99"/>
      <c r="C244" s="99"/>
      <c r="D244" s="25"/>
      <c r="E244" s="28"/>
      <c r="F244" s="25"/>
      <c r="G244" s="25"/>
      <c r="H244" s="25"/>
    </row>
    <row r="245">
      <c r="A245" s="25"/>
      <c r="B245" s="99"/>
      <c r="C245" s="99"/>
      <c r="D245" s="25"/>
      <c r="E245" s="28"/>
      <c r="F245" s="25"/>
      <c r="G245" s="25"/>
      <c r="H245" s="25"/>
    </row>
    <row r="246">
      <c r="A246" s="25"/>
      <c r="B246" s="99"/>
      <c r="C246" s="99"/>
      <c r="D246" s="25"/>
      <c r="E246" s="28"/>
      <c r="F246" s="25"/>
      <c r="G246" s="25"/>
      <c r="H246" s="25"/>
    </row>
    <row r="247">
      <c r="A247" s="25"/>
      <c r="B247" s="99"/>
      <c r="C247" s="99"/>
      <c r="D247" s="25"/>
      <c r="E247" s="28"/>
      <c r="F247" s="25"/>
      <c r="G247" s="25"/>
      <c r="H247" s="25"/>
    </row>
    <row r="248">
      <c r="A248" s="25"/>
      <c r="B248" s="99"/>
      <c r="C248" s="99"/>
      <c r="D248" s="25"/>
      <c r="E248" s="28"/>
      <c r="F248" s="25"/>
      <c r="G248" s="25"/>
      <c r="H248" s="25"/>
    </row>
    <row r="249">
      <c r="A249" s="25"/>
      <c r="B249" s="99"/>
      <c r="C249" s="99"/>
      <c r="D249" s="25"/>
      <c r="E249" s="28"/>
      <c r="F249" s="25"/>
      <c r="G249" s="25"/>
      <c r="H249" s="25"/>
    </row>
    <row r="250">
      <c r="A250" s="25"/>
      <c r="B250" s="99"/>
      <c r="C250" s="99"/>
      <c r="D250" s="25"/>
      <c r="E250" s="28"/>
      <c r="F250" s="25"/>
      <c r="G250" s="25"/>
      <c r="H250" s="25"/>
    </row>
    <row r="251">
      <c r="A251" s="25"/>
      <c r="B251" s="99"/>
      <c r="C251" s="99"/>
      <c r="D251" s="25"/>
      <c r="E251" s="28"/>
      <c r="F251" s="25"/>
      <c r="G251" s="25"/>
      <c r="H251" s="25"/>
    </row>
    <row r="252">
      <c r="A252" s="25"/>
      <c r="B252" s="99"/>
      <c r="C252" s="99"/>
      <c r="D252" s="25"/>
      <c r="E252" s="28"/>
      <c r="F252" s="25"/>
      <c r="G252" s="25"/>
      <c r="H252" s="25"/>
    </row>
    <row r="253">
      <c r="A253" s="25"/>
      <c r="B253" s="99"/>
      <c r="C253" s="99"/>
      <c r="D253" s="25"/>
      <c r="E253" s="28"/>
      <c r="F253" s="25"/>
      <c r="G253" s="25"/>
      <c r="H253" s="25"/>
    </row>
    <row r="254">
      <c r="A254" s="25"/>
      <c r="B254" s="99"/>
      <c r="C254" s="99"/>
      <c r="D254" s="25"/>
      <c r="E254" s="28"/>
      <c r="F254" s="25"/>
      <c r="G254" s="25"/>
      <c r="H254" s="25"/>
    </row>
    <row r="255">
      <c r="A255" s="25"/>
      <c r="B255" s="99"/>
      <c r="C255" s="99"/>
      <c r="D255" s="25"/>
      <c r="E255" s="28"/>
      <c r="F255" s="25"/>
      <c r="G255" s="25"/>
      <c r="H255" s="25"/>
    </row>
    <row r="256">
      <c r="A256" s="25"/>
      <c r="B256" s="99"/>
      <c r="C256" s="99"/>
      <c r="D256" s="25"/>
      <c r="E256" s="28"/>
      <c r="F256" s="25"/>
      <c r="G256" s="25"/>
      <c r="H256" s="25"/>
    </row>
    <row r="257">
      <c r="A257" s="25"/>
      <c r="B257" s="99"/>
      <c r="C257" s="99"/>
      <c r="D257" s="25"/>
      <c r="E257" s="28"/>
      <c r="F257" s="25"/>
      <c r="G257" s="25"/>
      <c r="H257" s="25"/>
    </row>
    <row r="258">
      <c r="A258" s="25"/>
      <c r="B258" s="99"/>
      <c r="C258" s="99"/>
      <c r="D258" s="25"/>
      <c r="E258" s="28"/>
      <c r="F258" s="25"/>
      <c r="G258" s="25"/>
      <c r="H258" s="25"/>
    </row>
    <row r="259">
      <c r="A259" s="25"/>
      <c r="B259" s="99"/>
      <c r="C259" s="99"/>
      <c r="D259" s="25"/>
      <c r="E259" s="28"/>
      <c r="F259" s="25"/>
      <c r="G259" s="25"/>
      <c r="H259" s="25"/>
    </row>
    <row r="260">
      <c r="A260" s="25"/>
      <c r="B260" s="99"/>
      <c r="C260" s="99"/>
      <c r="D260" s="25"/>
      <c r="E260" s="28"/>
      <c r="F260" s="25"/>
      <c r="G260" s="25"/>
      <c r="H260" s="25"/>
    </row>
    <row r="261">
      <c r="A261" s="25"/>
      <c r="B261" s="99"/>
      <c r="C261" s="99"/>
      <c r="D261" s="25"/>
      <c r="E261" s="28"/>
      <c r="F261" s="25"/>
      <c r="G261" s="25"/>
      <c r="H261" s="25"/>
    </row>
    <row r="262">
      <c r="A262" s="25"/>
      <c r="B262" s="99"/>
      <c r="C262" s="99"/>
      <c r="D262" s="25"/>
      <c r="E262" s="28"/>
      <c r="F262" s="25"/>
      <c r="G262" s="25"/>
      <c r="H262" s="25"/>
    </row>
    <row r="263">
      <c r="A263" s="25"/>
      <c r="B263" s="99"/>
      <c r="C263" s="99"/>
      <c r="D263" s="25"/>
      <c r="E263" s="28"/>
      <c r="F263" s="25"/>
      <c r="G263" s="25"/>
      <c r="H263" s="25"/>
    </row>
    <row r="264">
      <c r="A264" s="25"/>
      <c r="B264" s="99"/>
      <c r="C264" s="99"/>
      <c r="D264" s="25"/>
      <c r="E264" s="28"/>
      <c r="F264" s="25"/>
      <c r="G264" s="25"/>
      <c r="H264" s="25"/>
    </row>
    <row r="265">
      <c r="A265" s="25"/>
      <c r="B265" s="99"/>
      <c r="C265" s="99"/>
      <c r="D265" s="25"/>
      <c r="E265" s="28"/>
      <c r="F265" s="25"/>
      <c r="G265" s="25"/>
      <c r="H265" s="25"/>
    </row>
    <row r="266">
      <c r="A266" s="25"/>
      <c r="B266" s="99"/>
      <c r="C266" s="99"/>
      <c r="D266" s="25"/>
      <c r="E266" s="28"/>
      <c r="F266" s="25"/>
      <c r="G266" s="25"/>
      <c r="H266" s="25"/>
    </row>
    <row r="267">
      <c r="A267" s="25"/>
      <c r="B267" s="99"/>
      <c r="C267" s="99"/>
      <c r="D267" s="25"/>
      <c r="E267" s="28"/>
      <c r="F267" s="25"/>
      <c r="G267" s="25"/>
      <c r="H267" s="25"/>
    </row>
    <row r="268">
      <c r="A268" s="25"/>
      <c r="B268" s="99"/>
      <c r="C268" s="99"/>
      <c r="D268" s="25"/>
      <c r="E268" s="28"/>
      <c r="F268" s="25"/>
      <c r="G268" s="25"/>
      <c r="H268" s="25"/>
    </row>
    <row r="269">
      <c r="A269" s="25"/>
      <c r="B269" s="99"/>
      <c r="C269" s="99"/>
      <c r="D269" s="25"/>
      <c r="E269" s="28"/>
      <c r="F269" s="25"/>
      <c r="G269" s="25"/>
      <c r="H269" s="25"/>
    </row>
    <row r="270">
      <c r="A270" s="25"/>
      <c r="B270" s="99"/>
      <c r="C270" s="99"/>
      <c r="D270" s="25"/>
      <c r="E270" s="28"/>
      <c r="F270" s="25"/>
      <c r="G270" s="25"/>
      <c r="H270" s="25"/>
    </row>
    <row r="271">
      <c r="A271" s="25"/>
      <c r="B271" s="99"/>
      <c r="C271" s="99"/>
      <c r="D271" s="25"/>
      <c r="E271" s="28"/>
      <c r="F271" s="25"/>
      <c r="G271" s="25"/>
      <c r="H271" s="25"/>
    </row>
    <row r="272">
      <c r="A272" s="25"/>
      <c r="B272" s="99"/>
      <c r="C272" s="99"/>
      <c r="D272" s="25"/>
      <c r="E272" s="28"/>
      <c r="F272" s="25"/>
      <c r="G272" s="25"/>
      <c r="H272" s="25"/>
    </row>
    <row r="273">
      <c r="A273" s="25"/>
      <c r="B273" s="99"/>
      <c r="C273" s="99"/>
      <c r="D273" s="25"/>
      <c r="E273" s="28"/>
      <c r="F273" s="25"/>
      <c r="G273" s="25"/>
      <c r="H273" s="25"/>
    </row>
    <row r="274">
      <c r="A274" s="25"/>
      <c r="B274" s="99"/>
      <c r="C274" s="99"/>
      <c r="D274" s="25"/>
      <c r="E274" s="28"/>
      <c r="F274" s="25"/>
      <c r="G274" s="25"/>
      <c r="H274" s="25"/>
    </row>
    <row r="275">
      <c r="A275" s="25"/>
      <c r="B275" s="99"/>
      <c r="C275" s="99"/>
      <c r="D275" s="25"/>
      <c r="E275" s="28"/>
      <c r="F275" s="25"/>
      <c r="G275" s="25"/>
      <c r="H275" s="25"/>
    </row>
    <row r="276">
      <c r="A276" s="25"/>
      <c r="B276" s="99"/>
      <c r="C276" s="99"/>
      <c r="D276" s="25"/>
      <c r="E276" s="28"/>
      <c r="F276" s="25"/>
      <c r="G276" s="25"/>
      <c r="H276" s="25"/>
    </row>
    <row r="277">
      <c r="A277" s="25"/>
      <c r="B277" s="99"/>
      <c r="C277" s="99"/>
      <c r="D277" s="25"/>
      <c r="E277" s="28"/>
      <c r="F277" s="25"/>
      <c r="G277" s="25"/>
      <c r="H277" s="25"/>
    </row>
    <row r="278">
      <c r="A278" s="25"/>
      <c r="B278" s="99"/>
      <c r="C278" s="99"/>
      <c r="D278" s="25"/>
      <c r="E278" s="28"/>
      <c r="F278" s="25"/>
      <c r="G278" s="25"/>
      <c r="H278" s="25"/>
    </row>
    <row r="279">
      <c r="A279" s="25"/>
      <c r="B279" s="99"/>
      <c r="C279" s="99"/>
      <c r="D279" s="25"/>
      <c r="E279" s="28"/>
      <c r="F279" s="25"/>
      <c r="G279" s="25"/>
      <c r="H279" s="25"/>
    </row>
    <row r="280">
      <c r="A280" s="25"/>
      <c r="B280" s="99"/>
      <c r="C280" s="99"/>
      <c r="D280" s="25"/>
      <c r="E280" s="28"/>
      <c r="F280" s="25"/>
      <c r="G280" s="25"/>
      <c r="H280" s="25"/>
    </row>
    <row r="281">
      <c r="A281" s="25"/>
      <c r="B281" s="99"/>
      <c r="C281" s="99"/>
      <c r="D281" s="25"/>
      <c r="E281" s="28"/>
      <c r="F281" s="25"/>
      <c r="G281" s="25"/>
      <c r="H281" s="25"/>
    </row>
    <row r="282">
      <c r="A282" s="25"/>
      <c r="B282" s="99"/>
      <c r="C282" s="99"/>
      <c r="D282" s="25"/>
      <c r="E282" s="28"/>
      <c r="F282" s="25"/>
      <c r="G282" s="25"/>
      <c r="H282" s="25"/>
    </row>
    <row r="283">
      <c r="A283" s="25"/>
      <c r="B283" s="99"/>
      <c r="C283" s="99"/>
      <c r="D283" s="25"/>
      <c r="E283" s="28"/>
      <c r="F283" s="25"/>
      <c r="G283" s="25"/>
      <c r="H283" s="25"/>
    </row>
    <row r="284">
      <c r="A284" s="25"/>
      <c r="B284" s="99"/>
      <c r="C284" s="99"/>
      <c r="D284" s="25"/>
      <c r="E284" s="28"/>
      <c r="F284" s="25"/>
      <c r="G284" s="25"/>
      <c r="H284" s="25"/>
    </row>
    <row r="285">
      <c r="A285" s="25"/>
      <c r="B285" s="99"/>
      <c r="C285" s="99"/>
      <c r="D285" s="25"/>
      <c r="E285" s="28"/>
      <c r="F285" s="25"/>
      <c r="G285" s="25"/>
      <c r="H285" s="25"/>
    </row>
    <row r="286">
      <c r="A286" s="25"/>
      <c r="B286" s="99"/>
      <c r="C286" s="99"/>
      <c r="D286" s="25"/>
      <c r="E286" s="28"/>
      <c r="F286" s="25"/>
      <c r="G286" s="25"/>
      <c r="H286" s="25"/>
    </row>
    <row r="287">
      <c r="A287" s="25"/>
      <c r="B287" s="99"/>
      <c r="C287" s="99"/>
      <c r="D287" s="25"/>
      <c r="E287" s="28"/>
      <c r="F287" s="25"/>
      <c r="G287" s="25"/>
      <c r="H287" s="25"/>
    </row>
    <row r="288">
      <c r="A288" s="25"/>
      <c r="B288" s="99"/>
      <c r="C288" s="99"/>
      <c r="D288" s="25"/>
      <c r="E288" s="28"/>
      <c r="F288" s="25"/>
      <c r="G288" s="25"/>
      <c r="H288" s="25"/>
    </row>
    <row r="289">
      <c r="A289" s="25"/>
      <c r="B289" s="99"/>
      <c r="C289" s="99"/>
      <c r="D289" s="25"/>
      <c r="E289" s="28"/>
      <c r="F289" s="25"/>
      <c r="G289" s="25"/>
      <c r="H289" s="25"/>
    </row>
    <row r="290">
      <c r="A290" s="25"/>
      <c r="B290" s="99"/>
      <c r="C290" s="99"/>
      <c r="D290" s="25"/>
      <c r="E290" s="28"/>
      <c r="F290" s="25"/>
      <c r="G290" s="25"/>
      <c r="H290" s="25"/>
    </row>
    <row r="291">
      <c r="A291" s="25"/>
      <c r="B291" s="99"/>
      <c r="C291" s="99"/>
      <c r="D291" s="25"/>
      <c r="E291" s="28"/>
      <c r="F291" s="25"/>
      <c r="G291" s="25"/>
      <c r="H291" s="25"/>
    </row>
    <row r="292">
      <c r="A292" s="25"/>
      <c r="B292" s="99"/>
      <c r="C292" s="99"/>
      <c r="D292" s="25"/>
      <c r="E292" s="28"/>
      <c r="F292" s="25"/>
      <c r="G292" s="25"/>
      <c r="H292" s="25"/>
    </row>
    <row r="293">
      <c r="A293" s="25"/>
      <c r="B293" s="99"/>
      <c r="C293" s="99"/>
      <c r="D293" s="25"/>
      <c r="E293" s="28"/>
      <c r="F293" s="25"/>
      <c r="G293" s="25"/>
      <c r="H293" s="25"/>
    </row>
    <row r="294">
      <c r="A294" s="25"/>
      <c r="B294" s="99"/>
      <c r="C294" s="99"/>
      <c r="D294" s="25"/>
      <c r="E294" s="28"/>
      <c r="F294" s="25"/>
      <c r="G294" s="25"/>
      <c r="H294" s="25"/>
    </row>
    <row r="295">
      <c r="A295" s="25"/>
      <c r="B295" s="99"/>
      <c r="C295" s="99"/>
      <c r="D295" s="25"/>
      <c r="E295" s="28"/>
      <c r="F295" s="25"/>
      <c r="G295" s="25"/>
      <c r="H295" s="25"/>
    </row>
    <row r="296">
      <c r="A296" s="25"/>
      <c r="B296" s="99"/>
      <c r="C296" s="99"/>
      <c r="D296" s="25"/>
      <c r="E296" s="28"/>
      <c r="F296" s="25"/>
      <c r="G296" s="25"/>
      <c r="H296" s="25"/>
    </row>
    <row r="297">
      <c r="A297" s="25"/>
      <c r="B297" s="99"/>
      <c r="C297" s="99"/>
      <c r="D297" s="25"/>
      <c r="E297" s="28"/>
      <c r="F297" s="25"/>
      <c r="G297" s="25"/>
      <c r="H297" s="25"/>
    </row>
    <row r="298">
      <c r="A298" s="25"/>
      <c r="B298" s="99"/>
      <c r="C298" s="99"/>
      <c r="D298" s="25"/>
      <c r="E298" s="28"/>
      <c r="F298" s="25"/>
      <c r="G298" s="25"/>
      <c r="H298" s="25"/>
    </row>
    <row r="299">
      <c r="A299" s="25"/>
      <c r="B299" s="99"/>
      <c r="C299" s="99"/>
      <c r="D299" s="25"/>
      <c r="E299" s="28"/>
      <c r="F299" s="25"/>
      <c r="G299" s="25"/>
      <c r="H299" s="25"/>
    </row>
    <row r="300">
      <c r="A300" s="25"/>
      <c r="B300" s="99"/>
      <c r="C300" s="99"/>
      <c r="D300" s="25"/>
      <c r="E300" s="28"/>
      <c r="F300" s="25"/>
      <c r="G300" s="25"/>
      <c r="H300" s="25"/>
    </row>
    <row r="301">
      <c r="A301" s="25"/>
      <c r="B301" s="99"/>
      <c r="C301" s="99"/>
      <c r="D301" s="25"/>
      <c r="E301" s="28"/>
      <c r="F301" s="25"/>
      <c r="G301" s="25"/>
      <c r="H301" s="25"/>
    </row>
    <row r="302">
      <c r="A302" s="25"/>
      <c r="B302" s="99"/>
      <c r="C302" s="99"/>
      <c r="D302" s="25"/>
      <c r="E302" s="28"/>
      <c r="F302" s="25"/>
      <c r="G302" s="25"/>
      <c r="H302" s="25"/>
    </row>
    <row r="303">
      <c r="A303" s="25"/>
      <c r="B303" s="99"/>
      <c r="C303" s="99"/>
      <c r="D303" s="25"/>
      <c r="E303" s="28"/>
      <c r="F303" s="25"/>
      <c r="G303" s="25"/>
      <c r="H303" s="25"/>
    </row>
    <row r="304">
      <c r="A304" s="25"/>
      <c r="B304" s="99"/>
      <c r="C304" s="99"/>
      <c r="D304" s="25"/>
      <c r="E304" s="28"/>
      <c r="F304" s="25"/>
      <c r="G304" s="25"/>
      <c r="H304" s="25"/>
    </row>
    <row r="305">
      <c r="A305" s="25"/>
      <c r="B305" s="99"/>
      <c r="C305" s="99"/>
      <c r="D305" s="25"/>
      <c r="E305" s="28"/>
      <c r="F305" s="25"/>
      <c r="G305" s="25"/>
      <c r="H305" s="25"/>
    </row>
    <row r="306">
      <c r="A306" s="25"/>
      <c r="B306" s="99"/>
      <c r="C306" s="99"/>
      <c r="D306" s="25"/>
      <c r="E306" s="28"/>
      <c r="F306" s="25"/>
      <c r="G306" s="25"/>
      <c r="H306" s="25"/>
    </row>
    <row r="307">
      <c r="A307" s="25"/>
      <c r="B307" s="99"/>
      <c r="C307" s="99"/>
      <c r="D307" s="25"/>
      <c r="E307" s="28"/>
      <c r="F307" s="25"/>
      <c r="G307" s="25"/>
      <c r="H307" s="25"/>
    </row>
    <row r="308">
      <c r="A308" s="25"/>
      <c r="B308" s="99"/>
      <c r="C308" s="99"/>
      <c r="D308" s="25"/>
      <c r="E308" s="28"/>
      <c r="F308" s="25"/>
      <c r="G308" s="25"/>
      <c r="H308" s="25"/>
    </row>
    <row r="309">
      <c r="A309" s="25"/>
      <c r="B309" s="99"/>
      <c r="C309" s="99"/>
      <c r="D309" s="25"/>
      <c r="E309" s="28"/>
      <c r="F309" s="25"/>
      <c r="G309" s="25"/>
      <c r="H309" s="25"/>
    </row>
    <row r="310">
      <c r="A310" s="25"/>
      <c r="B310" s="99"/>
      <c r="C310" s="99"/>
      <c r="D310" s="25"/>
      <c r="E310" s="28"/>
      <c r="F310" s="25"/>
      <c r="G310" s="25"/>
      <c r="H310" s="25"/>
    </row>
    <row r="311">
      <c r="A311" s="25"/>
      <c r="B311" s="99"/>
      <c r="C311" s="99"/>
      <c r="D311" s="25"/>
      <c r="E311" s="28"/>
      <c r="F311" s="25"/>
      <c r="G311" s="25"/>
      <c r="H311" s="25"/>
    </row>
    <row r="312">
      <c r="A312" s="25"/>
      <c r="B312" s="99"/>
      <c r="C312" s="99"/>
      <c r="D312" s="25"/>
      <c r="E312" s="28"/>
      <c r="F312" s="25"/>
      <c r="G312" s="25"/>
      <c r="H312" s="25"/>
    </row>
    <row r="313">
      <c r="A313" s="25"/>
      <c r="B313" s="99"/>
      <c r="C313" s="99"/>
      <c r="D313" s="25"/>
      <c r="E313" s="28"/>
      <c r="F313" s="25"/>
      <c r="G313" s="25"/>
      <c r="H313" s="25"/>
    </row>
    <row r="314">
      <c r="A314" s="25"/>
      <c r="B314" s="99"/>
      <c r="C314" s="99"/>
      <c r="D314" s="25"/>
      <c r="E314" s="28"/>
      <c r="F314" s="25"/>
      <c r="G314" s="25"/>
      <c r="H314" s="25"/>
    </row>
    <row r="315">
      <c r="A315" s="25"/>
      <c r="B315" s="99"/>
      <c r="C315" s="99"/>
      <c r="D315" s="25"/>
      <c r="E315" s="28"/>
      <c r="F315" s="25"/>
      <c r="G315" s="25"/>
      <c r="H315" s="25"/>
    </row>
    <row r="316">
      <c r="A316" s="25"/>
      <c r="B316" s="99"/>
      <c r="C316" s="99"/>
      <c r="D316" s="25"/>
      <c r="E316" s="28"/>
      <c r="F316" s="25"/>
      <c r="G316" s="25"/>
      <c r="H316" s="25"/>
    </row>
    <row r="317">
      <c r="A317" s="25"/>
      <c r="B317" s="99"/>
      <c r="C317" s="99"/>
      <c r="D317" s="25"/>
      <c r="E317" s="28"/>
      <c r="F317" s="25"/>
      <c r="G317" s="25"/>
      <c r="H317" s="25"/>
    </row>
    <row r="318">
      <c r="A318" s="25"/>
      <c r="B318" s="99"/>
      <c r="C318" s="99"/>
      <c r="D318" s="25"/>
      <c r="E318" s="28"/>
      <c r="F318" s="25"/>
      <c r="G318" s="25"/>
      <c r="H318" s="25"/>
    </row>
    <row r="319">
      <c r="A319" s="25"/>
      <c r="B319" s="99"/>
      <c r="C319" s="99"/>
      <c r="D319" s="25"/>
      <c r="E319" s="28"/>
      <c r="F319" s="25"/>
      <c r="G319" s="25"/>
      <c r="H319" s="25"/>
    </row>
    <row r="320">
      <c r="A320" s="25"/>
      <c r="B320" s="99"/>
      <c r="C320" s="99"/>
      <c r="D320" s="25"/>
      <c r="E320" s="28"/>
      <c r="F320" s="25"/>
      <c r="G320" s="25"/>
      <c r="H320" s="25"/>
    </row>
    <row r="321">
      <c r="A321" s="25"/>
      <c r="B321" s="99"/>
      <c r="C321" s="99"/>
      <c r="D321" s="25"/>
      <c r="E321" s="28"/>
      <c r="F321" s="25"/>
      <c r="G321" s="25"/>
      <c r="H321" s="25"/>
    </row>
    <row r="322">
      <c r="A322" s="25"/>
      <c r="B322" s="99"/>
      <c r="C322" s="99"/>
      <c r="D322" s="25"/>
      <c r="E322" s="28"/>
      <c r="F322" s="25"/>
      <c r="G322" s="25"/>
      <c r="H322" s="25"/>
    </row>
    <row r="323">
      <c r="A323" s="25"/>
      <c r="B323" s="99"/>
      <c r="C323" s="99"/>
      <c r="D323" s="25"/>
      <c r="E323" s="28"/>
      <c r="F323" s="25"/>
      <c r="G323" s="25"/>
      <c r="H323" s="25"/>
    </row>
    <row r="324">
      <c r="A324" s="25"/>
      <c r="B324" s="99"/>
      <c r="C324" s="99"/>
      <c r="D324" s="25"/>
      <c r="E324" s="28"/>
      <c r="F324" s="25"/>
      <c r="G324" s="25"/>
      <c r="H324" s="25"/>
    </row>
    <row r="325">
      <c r="A325" s="25"/>
      <c r="B325" s="99"/>
      <c r="C325" s="99"/>
      <c r="D325" s="25"/>
      <c r="E325" s="28"/>
      <c r="F325" s="25"/>
      <c r="G325" s="25"/>
      <c r="H325" s="25"/>
    </row>
    <row r="326">
      <c r="A326" s="25"/>
      <c r="B326" s="99"/>
      <c r="C326" s="99"/>
      <c r="D326" s="25"/>
      <c r="E326" s="28"/>
      <c r="F326" s="25"/>
      <c r="G326" s="25"/>
      <c r="H326" s="25"/>
    </row>
    <row r="327">
      <c r="A327" s="25"/>
      <c r="B327" s="99"/>
      <c r="C327" s="99"/>
      <c r="D327" s="25"/>
      <c r="E327" s="28"/>
      <c r="F327" s="25"/>
      <c r="G327" s="25"/>
      <c r="H327" s="25"/>
    </row>
    <row r="328">
      <c r="A328" s="25"/>
      <c r="B328" s="99"/>
      <c r="C328" s="99"/>
      <c r="D328" s="25"/>
      <c r="E328" s="28"/>
      <c r="F328" s="25"/>
      <c r="G328" s="25"/>
      <c r="H328" s="25"/>
    </row>
    <row r="329">
      <c r="A329" s="25"/>
      <c r="B329" s="99"/>
      <c r="C329" s="99"/>
      <c r="D329" s="25"/>
      <c r="E329" s="28"/>
      <c r="F329" s="25"/>
      <c r="G329" s="25"/>
      <c r="H329" s="25"/>
    </row>
    <row r="330">
      <c r="A330" s="25"/>
      <c r="B330" s="99"/>
      <c r="C330" s="99"/>
      <c r="D330" s="25"/>
      <c r="E330" s="28"/>
      <c r="F330" s="25"/>
      <c r="G330" s="25"/>
      <c r="H330" s="25"/>
    </row>
    <row r="331">
      <c r="A331" s="25"/>
      <c r="B331" s="99"/>
      <c r="C331" s="99"/>
      <c r="D331" s="25"/>
      <c r="E331" s="28"/>
      <c r="F331" s="25"/>
      <c r="G331" s="25"/>
      <c r="H331" s="25"/>
    </row>
    <row r="332">
      <c r="A332" s="25"/>
      <c r="B332" s="99"/>
      <c r="C332" s="99"/>
      <c r="D332" s="25"/>
      <c r="E332" s="28"/>
      <c r="F332" s="25"/>
      <c r="G332" s="25"/>
      <c r="H332" s="25"/>
    </row>
    <row r="333">
      <c r="A333" s="25"/>
      <c r="B333" s="99"/>
      <c r="C333" s="99"/>
      <c r="D333" s="25"/>
      <c r="E333" s="28"/>
      <c r="F333" s="25"/>
      <c r="G333" s="25"/>
      <c r="H333" s="25"/>
    </row>
    <row r="334">
      <c r="A334" s="25"/>
      <c r="B334" s="99"/>
      <c r="C334" s="99"/>
      <c r="D334" s="25"/>
      <c r="E334" s="28"/>
      <c r="F334" s="25"/>
      <c r="G334" s="25"/>
      <c r="H334" s="25"/>
    </row>
    <row r="335">
      <c r="A335" s="25"/>
      <c r="B335" s="99"/>
      <c r="C335" s="99"/>
      <c r="D335" s="25"/>
      <c r="E335" s="28"/>
      <c r="F335" s="25"/>
      <c r="G335" s="25"/>
      <c r="H335" s="25"/>
    </row>
    <row r="336">
      <c r="A336" s="25"/>
      <c r="B336" s="99"/>
      <c r="C336" s="99"/>
      <c r="D336" s="25"/>
      <c r="E336" s="28"/>
      <c r="F336" s="25"/>
      <c r="G336" s="25"/>
      <c r="H336" s="25"/>
    </row>
    <row r="337">
      <c r="A337" s="25"/>
      <c r="B337" s="99"/>
      <c r="C337" s="99"/>
      <c r="D337" s="25"/>
      <c r="E337" s="28"/>
      <c r="F337" s="25"/>
      <c r="G337" s="25"/>
      <c r="H337" s="25"/>
    </row>
    <row r="338">
      <c r="A338" s="25"/>
      <c r="B338" s="99"/>
      <c r="C338" s="99"/>
      <c r="D338" s="25"/>
      <c r="E338" s="28"/>
      <c r="F338" s="25"/>
      <c r="G338" s="25"/>
      <c r="H338" s="25"/>
    </row>
    <row r="339">
      <c r="A339" s="25"/>
      <c r="B339" s="99"/>
      <c r="C339" s="99"/>
      <c r="D339" s="25"/>
      <c r="E339" s="28"/>
      <c r="F339" s="25"/>
      <c r="G339" s="25"/>
      <c r="H339" s="25"/>
    </row>
    <row r="340">
      <c r="A340" s="25"/>
      <c r="B340" s="99"/>
      <c r="C340" s="99"/>
      <c r="D340" s="25"/>
      <c r="E340" s="28"/>
      <c r="F340" s="25"/>
      <c r="G340" s="25"/>
      <c r="H340" s="25"/>
    </row>
    <row r="341">
      <c r="A341" s="25"/>
      <c r="B341" s="99"/>
      <c r="C341" s="99"/>
      <c r="D341" s="25"/>
      <c r="E341" s="28"/>
      <c r="F341" s="25"/>
      <c r="G341" s="25"/>
      <c r="H341" s="25"/>
    </row>
    <row r="342">
      <c r="A342" s="25"/>
      <c r="B342" s="99"/>
      <c r="C342" s="99"/>
      <c r="D342" s="25"/>
      <c r="E342" s="28"/>
      <c r="F342" s="25"/>
      <c r="G342" s="25"/>
      <c r="H342" s="25"/>
    </row>
    <row r="343">
      <c r="A343" s="25"/>
      <c r="B343" s="99"/>
      <c r="C343" s="99"/>
      <c r="D343" s="25"/>
      <c r="E343" s="28"/>
      <c r="F343" s="25"/>
      <c r="G343" s="25"/>
      <c r="H343" s="25"/>
    </row>
    <row r="344">
      <c r="A344" s="25"/>
      <c r="B344" s="99"/>
      <c r="C344" s="99"/>
      <c r="D344" s="25"/>
      <c r="E344" s="28"/>
      <c r="F344" s="25"/>
      <c r="G344" s="25"/>
      <c r="H344" s="25"/>
    </row>
    <row r="345">
      <c r="A345" s="25"/>
      <c r="B345" s="99"/>
      <c r="C345" s="99"/>
      <c r="D345" s="25"/>
      <c r="E345" s="28"/>
      <c r="F345" s="25"/>
      <c r="G345" s="25"/>
      <c r="H345" s="25"/>
    </row>
    <row r="346">
      <c r="A346" s="25"/>
      <c r="B346" s="99"/>
      <c r="C346" s="99"/>
      <c r="D346" s="25"/>
      <c r="E346" s="28"/>
      <c r="F346" s="25"/>
      <c r="G346" s="25"/>
      <c r="H346" s="25"/>
    </row>
    <row r="347">
      <c r="A347" s="25"/>
      <c r="B347" s="99"/>
      <c r="C347" s="99"/>
      <c r="D347" s="25"/>
      <c r="E347" s="28"/>
      <c r="F347" s="25"/>
      <c r="G347" s="25"/>
      <c r="H347" s="25"/>
    </row>
    <row r="348">
      <c r="A348" s="25"/>
      <c r="B348" s="99"/>
      <c r="C348" s="99"/>
      <c r="D348" s="25"/>
      <c r="E348" s="28"/>
      <c r="F348" s="25"/>
      <c r="G348" s="25"/>
      <c r="H348" s="25"/>
    </row>
    <row r="349">
      <c r="A349" s="25"/>
      <c r="B349" s="99"/>
      <c r="C349" s="99"/>
      <c r="D349" s="25"/>
      <c r="E349" s="28"/>
      <c r="F349" s="25"/>
      <c r="G349" s="25"/>
      <c r="H349" s="25"/>
    </row>
    <row r="350">
      <c r="A350" s="25"/>
      <c r="B350" s="99"/>
      <c r="C350" s="99"/>
      <c r="D350" s="25"/>
      <c r="E350" s="28"/>
      <c r="F350" s="25"/>
      <c r="G350" s="25"/>
      <c r="H350" s="25"/>
    </row>
    <row r="351">
      <c r="A351" s="25"/>
      <c r="B351" s="99"/>
      <c r="C351" s="99"/>
      <c r="D351" s="25"/>
      <c r="E351" s="28"/>
      <c r="F351" s="25"/>
      <c r="G351" s="25"/>
      <c r="H351" s="25"/>
    </row>
    <row r="352">
      <c r="A352" s="25"/>
      <c r="B352" s="99"/>
      <c r="C352" s="99"/>
      <c r="D352" s="25"/>
      <c r="E352" s="28"/>
      <c r="F352" s="25"/>
      <c r="G352" s="25"/>
      <c r="H352" s="25"/>
    </row>
    <row r="353">
      <c r="A353" s="25"/>
      <c r="B353" s="99"/>
      <c r="C353" s="99"/>
      <c r="D353" s="25"/>
      <c r="E353" s="28"/>
      <c r="F353" s="25"/>
      <c r="G353" s="25"/>
      <c r="H353" s="25"/>
    </row>
    <row r="354">
      <c r="A354" s="25"/>
      <c r="B354" s="99"/>
      <c r="C354" s="99"/>
      <c r="D354" s="25"/>
      <c r="E354" s="28"/>
      <c r="F354" s="25"/>
      <c r="G354" s="25"/>
      <c r="H354" s="25"/>
    </row>
    <row r="355">
      <c r="A355" s="25"/>
      <c r="B355" s="99"/>
      <c r="C355" s="99"/>
      <c r="D355" s="25"/>
      <c r="E355" s="28"/>
      <c r="F355" s="25"/>
      <c r="G355" s="25"/>
      <c r="H355" s="25"/>
    </row>
    <row r="356">
      <c r="A356" s="25"/>
      <c r="B356" s="99"/>
      <c r="C356" s="99"/>
      <c r="D356" s="25"/>
      <c r="E356" s="28"/>
      <c r="F356" s="25"/>
      <c r="G356" s="25"/>
      <c r="H356" s="25"/>
    </row>
    <row r="357">
      <c r="A357" s="25"/>
      <c r="B357" s="99"/>
      <c r="C357" s="99"/>
      <c r="D357" s="25"/>
      <c r="E357" s="28"/>
      <c r="F357" s="25"/>
      <c r="G357" s="25"/>
      <c r="H357" s="25"/>
    </row>
    <row r="358">
      <c r="A358" s="25"/>
      <c r="B358" s="99"/>
      <c r="C358" s="99"/>
      <c r="D358" s="25"/>
      <c r="E358" s="28"/>
      <c r="F358" s="25"/>
      <c r="G358" s="25"/>
      <c r="H358" s="25"/>
    </row>
    <row r="359">
      <c r="A359" s="25"/>
      <c r="B359" s="99"/>
      <c r="C359" s="99"/>
      <c r="D359" s="25"/>
      <c r="E359" s="28"/>
      <c r="F359" s="25"/>
      <c r="G359" s="25"/>
      <c r="H359" s="25"/>
    </row>
    <row r="360">
      <c r="A360" s="25"/>
      <c r="B360" s="99"/>
      <c r="C360" s="99"/>
      <c r="D360" s="25"/>
      <c r="E360" s="28"/>
      <c r="F360" s="25"/>
      <c r="G360" s="25"/>
      <c r="H360" s="25"/>
    </row>
    <row r="361">
      <c r="A361" s="25"/>
      <c r="B361" s="99"/>
      <c r="C361" s="99"/>
      <c r="D361" s="25"/>
      <c r="E361" s="28"/>
      <c r="F361" s="25"/>
      <c r="G361" s="25"/>
      <c r="H361" s="25"/>
    </row>
    <row r="362">
      <c r="A362" s="25"/>
      <c r="B362" s="99"/>
      <c r="C362" s="99"/>
      <c r="D362" s="25"/>
      <c r="E362" s="28"/>
      <c r="F362" s="25"/>
      <c r="G362" s="25"/>
      <c r="H362" s="25"/>
    </row>
    <row r="363">
      <c r="A363" s="25"/>
      <c r="B363" s="99"/>
      <c r="C363" s="99"/>
      <c r="D363" s="25"/>
      <c r="E363" s="28"/>
      <c r="F363" s="25"/>
      <c r="G363" s="25"/>
      <c r="H363" s="25"/>
    </row>
    <row r="364">
      <c r="A364" s="25"/>
      <c r="B364" s="99"/>
      <c r="C364" s="99"/>
      <c r="D364" s="25"/>
      <c r="E364" s="28"/>
      <c r="F364" s="25"/>
      <c r="G364" s="25"/>
      <c r="H364" s="25"/>
    </row>
    <row r="365">
      <c r="A365" s="25"/>
      <c r="B365" s="99"/>
      <c r="C365" s="99"/>
      <c r="D365" s="25"/>
      <c r="E365" s="28"/>
      <c r="F365" s="25"/>
      <c r="G365" s="25"/>
      <c r="H365" s="25"/>
    </row>
    <row r="366">
      <c r="A366" s="25"/>
      <c r="B366" s="99"/>
      <c r="C366" s="99"/>
      <c r="D366" s="25"/>
      <c r="E366" s="28"/>
      <c r="F366" s="25"/>
      <c r="G366" s="25"/>
      <c r="H366" s="25"/>
    </row>
    <row r="367">
      <c r="A367" s="25"/>
      <c r="B367" s="99"/>
      <c r="C367" s="99"/>
      <c r="D367" s="25"/>
      <c r="E367" s="28"/>
      <c r="F367" s="25"/>
      <c r="G367" s="25"/>
      <c r="H367" s="25"/>
    </row>
    <row r="368">
      <c r="A368" s="25"/>
      <c r="B368" s="99"/>
      <c r="C368" s="99"/>
      <c r="D368" s="25"/>
      <c r="E368" s="28"/>
      <c r="F368" s="25"/>
      <c r="G368" s="25"/>
      <c r="H368" s="25"/>
    </row>
    <row r="369">
      <c r="A369" s="25"/>
      <c r="B369" s="99"/>
      <c r="C369" s="99"/>
      <c r="D369" s="25"/>
      <c r="E369" s="28"/>
      <c r="F369" s="25"/>
      <c r="G369" s="25"/>
      <c r="H369" s="25"/>
    </row>
    <row r="370">
      <c r="A370" s="25"/>
      <c r="B370" s="99"/>
      <c r="C370" s="99"/>
      <c r="D370" s="25"/>
      <c r="E370" s="28"/>
      <c r="F370" s="25"/>
      <c r="G370" s="25"/>
      <c r="H370" s="25"/>
    </row>
    <row r="371">
      <c r="A371" s="25"/>
      <c r="B371" s="99"/>
      <c r="C371" s="99"/>
      <c r="D371" s="25"/>
      <c r="E371" s="28"/>
      <c r="F371" s="25"/>
      <c r="G371" s="25"/>
      <c r="H371" s="25"/>
    </row>
    <row r="372">
      <c r="A372" s="25"/>
      <c r="B372" s="99"/>
      <c r="C372" s="99"/>
      <c r="D372" s="25"/>
      <c r="E372" s="28"/>
      <c r="F372" s="25"/>
      <c r="G372" s="25"/>
      <c r="H372" s="25"/>
    </row>
    <row r="373">
      <c r="A373" s="25"/>
      <c r="B373" s="99"/>
      <c r="C373" s="99"/>
      <c r="D373" s="25"/>
      <c r="E373" s="28"/>
      <c r="F373" s="25"/>
      <c r="G373" s="25"/>
      <c r="H373" s="25"/>
    </row>
    <row r="374">
      <c r="A374" s="25"/>
      <c r="B374" s="99"/>
      <c r="C374" s="99"/>
      <c r="D374" s="25"/>
      <c r="E374" s="28"/>
      <c r="F374" s="25"/>
      <c r="G374" s="25"/>
      <c r="H374" s="25"/>
    </row>
    <row r="375">
      <c r="A375" s="25"/>
      <c r="B375" s="99"/>
      <c r="C375" s="99"/>
      <c r="D375" s="25"/>
      <c r="E375" s="28"/>
      <c r="F375" s="25"/>
      <c r="G375" s="25"/>
      <c r="H375" s="25"/>
    </row>
    <row r="376">
      <c r="A376" s="25"/>
      <c r="B376" s="99"/>
      <c r="C376" s="99"/>
      <c r="D376" s="25"/>
      <c r="E376" s="28"/>
      <c r="F376" s="25"/>
      <c r="G376" s="25"/>
      <c r="H376" s="25"/>
    </row>
    <row r="377">
      <c r="A377" s="25"/>
      <c r="B377" s="99"/>
      <c r="C377" s="99"/>
      <c r="D377" s="25"/>
      <c r="E377" s="28"/>
      <c r="F377" s="25"/>
      <c r="G377" s="25"/>
      <c r="H377" s="25"/>
    </row>
    <row r="378">
      <c r="A378" s="25"/>
      <c r="B378" s="99"/>
      <c r="C378" s="99"/>
      <c r="D378" s="25"/>
      <c r="E378" s="28"/>
      <c r="F378" s="25"/>
      <c r="G378" s="25"/>
      <c r="H378" s="25"/>
    </row>
    <row r="379">
      <c r="A379" s="25"/>
      <c r="B379" s="99"/>
      <c r="C379" s="99"/>
      <c r="D379" s="25"/>
      <c r="E379" s="28"/>
      <c r="F379" s="25"/>
      <c r="G379" s="25"/>
      <c r="H379" s="25"/>
    </row>
    <row r="380">
      <c r="A380" s="25"/>
      <c r="B380" s="99"/>
      <c r="C380" s="99"/>
      <c r="D380" s="25"/>
      <c r="E380" s="28"/>
      <c r="F380" s="25"/>
      <c r="G380" s="25"/>
      <c r="H380" s="25"/>
    </row>
    <row r="381">
      <c r="A381" s="25"/>
      <c r="B381" s="99"/>
      <c r="C381" s="99"/>
      <c r="D381" s="25"/>
      <c r="E381" s="28"/>
      <c r="F381" s="25"/>
      <c r="G381" s="25"/>
      <c r="H381" s="25"/>
    </row>
    <row r="382">
      <c r="A382" s="25"/>
      <c r="B382" s="99"/>
      <c r="C382" s="99"/>
      <c r="D382" s="25"/>
      <c r="E382" s="28"/>
      <c r="F382" s="25"/>
      <c r="G382" s="25"/>
      <c r="H382" s="25"/>
    </row>
    <row r="383">
      <c r="A383" s="25"/>
      <c r="B383" s="99"/>
      <c r="C383" s="99"/>
      <c r="D383" s="25"/>
      <c r="E383" s="28"/>
      <c r="F383" s="25"/>
      <c r="G383" s="25"/>
      <c r="H383" s="25"/>
    </row>
    <row r="384">
      <c r="A384" s="25"/>
      <c r="B384" s="99"/>
      <c r="C384" s="99"/>
      <c r="D384" s="25"/>
      <c r="E384" s="28"/>
      <c r="F384" s="25"/>
      <c r="G384" s="25"/>
      <c r="H384" s="25"/>
    </row>
    <row r="385">
      <c r="A385" s="25"/>
      <c r="B385" s="99"/>
      <c r="C385" s="99"/>
      <c r="D385" s="25"/>
      <c r="E385" s="28"/>
      <c r="F385" s="25"/>
      <c r="G385" s="25"/>
      <c r="H385" s="25"/>
    </row>
    <row r="386">
      <c r="A386" s="25"/>
      <c r="B386" s="99"/>
      <c r="C386" s="99"/>
      <c r="D386" s="25"/>
      <c r="E386" s="28"/>
      <c r="F386" s="25"/>
      <c r="G386" s="25"/>
      <c r="H386" s="25"/>
    </row>
    <row r="387">
      <c r="A387" s="25"/>
      <c r="B387" s="99"/>
      <c r="C387" s="99"/>
      <c r="D387" s="25"/>
      <c r="E387" s="28"/>
      <c r="F387" s="25"/>
      <c r="G387" s="25"/>
      <c r="H387" s="25"/>
    </row>
    <row r="388">
      <c r="A388" s="25"/>
      <c r="B388" s="99"/>
      <c r="C388" s="99"/>
      <c r="D388" s="25"/>
      <c r="E388" s="28"/>
      <c r="F388" s="25"/>
      <c r="G388" s="25"/>
      <c r="H388" s="25"/>
    </row>
    <row r="389">
      <c r="A389" s="25"/>
      <c r="B389" s="99"/>
      <c r="C389" s="99"/>
      <c r="D389" s="25"/>
      <c r="E389" s="28"/>
      <c r="F389" s="25"/>
      <c r="G389" s="25"/>
      <c r="H389" s="25"/>
    </row>
    <row r="390">
      <c r="A390" s="25"/>
      <c r="B390" s="99"/>
      <c r="C390" s="99"/>
      <c r="D390" s="25"/>
      <c r="E390" s="28"/>
      <c r="F390" s="25"/>
      <c r="G390" s="25"/>
      <c r="H390" s="25"/>
    </row>
    <row r="391">
      <c r="A391" s="25"/>
      <c r="B391" s="99"/>
      <c r="C391" s="99"/>
      <c r="D391" s="25"/>
      <c r="E391" s="28"/>
      <c r="F391" s="25"/>
      <c r="G391" s="25"/>
      <c r="H391" s="25"/>
    </row>
    <row r="392">
      <c r="A392" s="25"/>
      <c r="B392" s="99"/>
      <c r="C392" s="99"/>
      <c r="D392" s="25"/>
      <c r="E392" s="28"/>
      <c r="F392" s="25"/>
      <c r="G392" s="25"/>
      <c r="H392" s="25"/>
    </row>
    <row r="393">
      <c r="A393" s="25"/>
      <c r="B393" s="99"/>
      <c r="C393" s="99"/>
      <c r="D393" s="25"/>
      <c r="E393" s="28"/>
      <c r="F393" s="25"/>
      <c r="G393" s="25"/>
      <c r="H393" s="25"/>
    </row>
    <row r="394">
      <c r="A394" s="25"/>
      <c r="B394" s="99"/>
      <c r="C394" s="99"/>
      <c r="D394" s="25"/>
      <c r="E394" s="28"/>
      <c r="F394" s="25"/>
      <c r="G394" s="25"/>
      <c r="H394" s="25"/>
    </row>
    <row r="395">
      <c r="A395" s="25"/>
      <c r="B395" s="99"/>
      <c r="C395" s="99"/>
      <c r="D395" s="25"/>
      <c r="E395" s="28"/>
      <c r="F395" s="25"/>
      <c r="G395" s="25"/>
      <c r="H395" s="25"/>
    </row>
    <row r="396">
      <c r="A396" s="25"/>
      <c r="B396" s="99"/>
      <c r="C396" s="99"/>
      <c r="D396" s="25"/>
      <c r="E396" s="28"/>
      <c r="F396" s="25"/>
      <c r="G396" s="25"/>
      <c r="H396" s="25"/>
    </row>
    <row r="397">
      <c r="A397" s="25"/>
      <c r="B397" s="99"/>
      <c r="C397" s="99"/>
      <c r="D397" s="25"/>
      <c r="E397" s="28"/>
      <c r="F397" s="25"/>
      <c r="G397" s="25"/>
      <c r="H397" s="25"/>
    </row>
    <row r="398">
      <c r="A398" s="25"/>
      <c r="B398" s="99"/>
      <c r="C398" s="99"/>
      <c r="D398" s="25"/>
      <c r="E398" s="28"/>
      <c r="F398" s="25"/>
      <c r="G398" s="25"/>
      <c r="H398" s="25"/>
    </row>
    <row r="399">
      <c r="A399" s="25"/>
      <c r="B399" s="99"/>
      <c r="C399" s="99"/>
      <c r="D399" s="25"/>
      <c r="E399" s="28"/>
      <c r="F399" s="25"/>
      <c r="G399" s="25"/>
      <c r="H399" s="25"/>
    </row>
    <row r="400">
      <c r="A400" s="25"/>
      <c r="B400" s="99"/>
      <c r="C400" s="99"/>
      <c r="D400" s="25"/>
      <c r="E400" s="28"/>
      <c r="F400" s="25"/>
      <c r="G400" s="25"/>
      <c r="H400" s="25"/>
    </row>
    <row r="401">
      <c r="A401" s="25"/>
      <c r="B401" s="99"/>
      <c r="C401" s="99"/>
      <c r="D401" s="25"/>
      <c r="E401" s="28"/>
      <c r="F401" s="25"/>
      <c r="G401" s="25"/>
      <c r="H401" s="25"/>
    </row>
    <row r="402">
      <c r="A402" s="25"/>
      <c r="B402" s="99"/>
      <c r="C402" s="99"/>
      <c r="D402" s="25"/>
      <c r="E402" s="28"/>
      <c r="F402" s="25"/>
      <c r="G402" s="25"/>
      <c r="H402" s="25"/>
    </row>
    <row r="403">
      <c r="A403" s="25"/>
      <c r="B403" s="99"/>
      <c r="C403" s="99"/>
      <c r="D403" s="25"/>
      <c r="E403" s="28"/>
      <c r="F403" s="25"/>
      <c r="G403" s="25"/>
      <c r="H403" s="25"/>
    </row>
    <row r="404">
      <c r="A404" s="25"/>
      <c r="B404" s="99"/>
      <c r="C404" s="99"/>
      <c r="D404" s="25"/>
      <c r="E404" s="28"/>
      <c r="F404" s="25"/>
      <c r="G404" s="25"/>
      <c r="H404" s="25"/>
    </row>
    <row r="405">
      <c r="A405" s="25"/>
      <c r="B405" s="99"/>
      <c r="C405" s="99"/>
      <c r="D405" s="25"/>
      <c r="E405" s="28"/>
      <c r="F405" s="25"/>
      <c r="G405" s="25"/>
      <c r="H405" s="25"/>
    </row>
    <row r="406">
      <c r="A406" s="25"/>
      <c r="B406" s="99"/>
      <c r="C406" s="99"/>
      <c r="D406" s="25"/>
      <c r="E406" s="28"/>
      <c r="F406" s="25"/>
      <c r="G406" s="25"/>
      <c r="H406" s="25"/>
    </row>
    <row r="407">
      <c r="A407" s="25"/>
      <c r="B407" s="99"/>
      <c r="C407" s="99"/>
      <c r="D407" s="25"/>
      <c r="E407" s="28"/>
      <c r="F407" s="25"/>
      <c r="G407" s="25"/>
      <c r="H407" s="25"/>
    </row>
    <row r="408">
      <c r="A408" s="25"/>
      <c r="B408" s="99"/>
      <c r="C408" s="99"/>
      <c r="D408" s="25"/>
      <c r="E408" s="28"/>
      <c r="F408" s="25"/>
      <c r="G408" s="25"/>
      <c r="H408" s="25"/>
    </row>
    <row r="409">
      <c r="A409" s="25"/>
      <c r="B409" s="99"/>
      <c r="C409" s="99"/>
      <c r="D409" s="25"/>
      <c r="E409" s="28"/>
      <c r="F409" s="25"/>
      <c r="G409" s="25"/>
      <c r="H409" s="25"/>
    </row>
    <row r="410">
      <c r="A410" s="25"/>
      <c r="B410" s="99"/>
      <c r="C410" s="99"/>
      <c r="D410" s="25"/>
      <c r="E410" s="28"/>
      <c r="F410" s="25"/>
      <c r="G410" s="25"/>
      <c r="H410" s="25"/>
    </row>
    <row r="411">
      <c r="A411" s="25"/>
      <c r="B411" s="99"/>
      <c r="C411" s="99"/>
      <c r="D411" s="25"/>
      <c r="E411" s="28"/>
      <c r="F411" s="25"/>
      <c r="G411" s="25"/>
      <c r="H411" s="25"/>
    </row>
    <row r="412">
      <c r="A412" s="25"/>
      <c r="B412" s="99"/>
      <c r="C412" s="99"/>
      <c r="D412" s="25"/>
      <c r="E412" s="28"/>
      <c r="F412" s="25"/>
      <c r="G412" s="25"/>
      <c r="H412" s="25"/>
    </row>
    <row r="413">
      <c r="A413" s="25"/>
      <c r="B413" s="99"/>
      <c r="C413" s="99"/>
      <c r="D413" s="25"/>
      <c r="E413" s="28"/>
      <c r="F413" s="25"/>
      <c r="G413" s="25"/>
      <c r="H413" s="25"/>
    </row>
    <row r="414">
      <c r="A414" s="25"/>
      <c r="B414" s="99"/>
      <c r="C414" s="99"/>
      <c r="D414" s="25"/>
      <c r="E414" s="28"/>
      <c r="F414" s="25"/>
      <c r="G414" s="25"/>
      <c r="H414" s="25"/>
    </row>
    <row r="415">
      <c r="A415" s="25"/>
      <c r="B415" s="99"/>
      <c r="C415" s="99"/>
      <c r="D415" s="25"/>
      <c r="E415" s="28"/>
      <c r="F415" s="25"/>
      <c r="G415" s="25"/>
      <c r="H415" s="25"/>
    </row>
    <row r="416">
      <c r="A416" s="25"/>
      <c r="B416" s="99"/>
      <c r="C416" s="99"/>
      <c r="D416" s="25"/>
      <c r="E416" s="28"/>
      <c r="F416" s="25"/>
      <c r="G416" s="25"/>
      <c r="H416" s="25"/>
    </row>
    <row r="417">
      <c r="A417" s="25"/>
      <c r="B417" s="99"/>
      <c r="C417" s="99"/>
      <c r="D417" s="25"/>
      <c r="E417" s="28"/>
      <c r="F417" s="25"/>
      <c r="G417" s="25"/>
      <c r="H417" s="25"/>
    </row>
    <row r="418">
      <c r="A418" s="25"/>
      <c r="B418" s="99"/>
      <c r="C418" s="99"/>
      <c r="D418" s="25"/>
      <c r="E418" s="28"/>
      <c r="F418" s="25"/>
      <c r="G418" s="25"/>
      <c r="H418" s="25"/>
    </row>
    <row r="419">
      <c r="A419" s="25"/>
      <c r="B419" s="99"/>
      <c r="C419" s="99"/>
      <c r="D419" s="25"/>
      <c r="E419" s="28"/>
      <c r="F419" s="25"/>
      <c r="G419" s="25"/>
      <c r="H419" s="25"/>
    </row>
    <row r="420">
      <c r="A420" s="25"/>
      <c r="B420" s="99"/>
      <c r="C420" s="99"/>
      <c r="D420" s="25"/>
      <c r="E420" s="28"/>
      <c r="F420" s="25"/>
      <c r="G420" s="25"/>
      <c r="H420" s="25"/>
    </row>
    <row r="421">
      <c r="A421" s="25"/>
      <c r="B421" s="99"/>
      <c r="C421" s="99"/>
      <c r="D421" s="25"/>
      <c r="E421" s="28"/>
      <c r="F421" s="25"/>
      <c r="G421" s="25"/>
      <c r="H421" s="25"/>
    </row>
    <row r="422">
      <c r="A422" s="25"/>
      <c r="B422" s="99"/>
      <c r="C422" s="99"/>
      <c r="D422" s="25"/>
      <c r="E422" s="28"/>
      <c r="F422" s="25"/>
      <c r="G422" s="25"/>
      <c r="H422" s="25"/>
    </row>
    <row r="423">
      <c r="A423" s="25"/>
      <c r="B423" s="99"/>
      <c r="C423" s="99"/>
      <c r="D423" s="25"/>
      <c r="E423" s="28"/>
      <c r="F423" s="25"/>
      <c r="G423" s="25"/>
      <c r="H423" s="25"/>
    </row>
    <row r="424">
      <c r="A424" s="25"/>
      <c r="B424" s="99"/>
      <c r="C424" s="99"/>
      <c r="D424" s="25"/>
      <c r="E424" s="28"/>
      <c r="F424" s="25"/>
      <c r="G424" s="25"/>
      <c r="H424" s="25"/>
    </row>
    <row r="425">
      <c r="A425" s="25"/>
      <c r="B425" s="99"/>
      <c r="C425" s="99"/>
      <c r="D425" s="25"/>
      <c r="E425" s="28"/>
      <c r="F425" s="25"/>
      <c r="G425" s="25"/>
      <c r="H425" s="25"/>
    </row>
    <row r="426">
      <c r="A426" s="25"/>
      <c r="B426" s="99"/>
      <c r="C426" s="99"/>
      <c r="D426" s="25"/>
      <c r="E426" s="28"/>
      <c r="F426" s="25"/>
      <c r="G426" s="25"/>
      <c r="H426" s="25"/>
    </row>
    <row r="427">
      <c r="A427" s="25"/>
      <c r="B427" s="99"/>
      <c r="C427" s="99"/>
      <c r="D427" s="25"/>
      <c r="E427" s="28"/>
      <c r="F427" s="25"/>
      <c r="G427" s="25"/>
      <c r="H427" s="25"/>
    </row>
    <row r="428">
      <c r="A428" s="25"/>
      <c r="B428" s="99"/>
      <c r="C428" s="99"/>
      <c r="D428" s="25"/>
      <c r="E428" s="28"/>
      <c r="F428" s="25"/>
      <c r="G428" s="25"/>
      <c r="H428" s="25"/>
    </row>
    <row r="429">
      <c r="A429" s="25"/>
      <c r="B429" s="99"/>
      <c r="C429" s="99"/>
      <c r="D429" s="25"/>
      <c r="E429" s="28"/>
      <c r="F429" s="25"/>
      <c r="G429" s="25"/>
      <c r="H429" s="25"/>
    </row>
    <row r="430">
      <c r="A430" s="25"/>
      <c r="B430" s="99"/>
      <c r="C430" s="99"/>
      <c r="D430" s="25"/>
      <c r="E430" s="28"/>
      <c r="F430" s="25"/>
      <c r="G430" s="25"/>
      <c r="H430" s="25"/>
    </row>
    <row r="431">
      <c r="A431" s="25"/>
      <c r="B431" s="99"/>
      <c r="C431" s="99"/>
      <c r="D431" s="25"/>
      <c r="E431" s="28"/>
      <c r="F431" s="25"/>
      <c r="G431" s="25"/>
      <c r="H431" s="25"/>
    </row>
    <row r="432">
      <c r="A432" s="25"/>
      <c r="B432" s="99"/>
      <c r="C432" s="99"/>
      <c r="D432" s="25"/>
      <c r="E432" s="28"/>
      <c r="F432" s="25"/>
      <c r="G432" s="25"/>
      <c r="H432" s="25"/>
    </row>
    <row r="433">
      <c r="A433" s="25"/>
      <c r="B433" s="99"/>
      <c r="C433" s="99"/>
      <c r="D433" s="25"/>
      <c r="E433" s="28"/>
      <c r="F433" s="25"/>
      <c r="G433" s="25"/>
      <c r="H433" s="25"/>
    </row>
    <row r="434">
      <c r="A434" s="25"/>
      <c r="B434" s="99"/>
      <c r="C434" s="99"/>
      <c r="D434" s="25"/>
      <c r="E434" s="28"/>
      <c r="F434" s="25"/>
      <c r="G434" s="25"/>
      <c r="H434" s="25"/>
    </row>
    <row r="435">
      <c r="A435" s="25"/>
      <c r="B435" s="99"/>
      <c r="C435" s="99"/>
      <c r="D435" s="25"/>
      <c r="E435" s="28"/>
      <c r="F435" s="25"/>
      <c r="G435" s="25"/>
      <c r="H435" s="25"/>
    </row>
    <row r="436">
      <c r="A436" s="25"/>
      <c r="B436" s="99"/>
      <c r="C436" s="99"/>
      <c r="D436" s="25"/>
      <c r="E436" s="28"/>
      <c r="F436" s="25"/>
      <c r="G436" s="25"/>
      <c r="H436" s="25"/>
    </row>
    <row r="437">
      <c r="A437" s="25"/>
      <c r="B437" s="99"/>
      <c r="C437" s="99"/>
      <c r="D437" s="25"/>
      <c r="E437" s="28"/>
      <c r="F437" s="25"/>
      <c r="G437" s="25"/>
      <c r="H437" s="25"/>
    </row>
    <row r="438">
      <c r="A438" s="25"/>
      <c r="B438" s="99"/>
      <c r="C438" s="99"/>
      <c r="D438" s="25"/>
      <c r="E438" s="28"/>
      <c r="F438" s="25"/>
      <c r="G438" s="25"/>
      <c r="H438" s="25"/>
    </row>
    <row r="439">
      <c r="A439" s="25"/>
      <c r="B439" s="99"/>
      <c r="C439" s="99"/>
      <c r="D439" s="25"/>
      <c r="E439" s="28"/>
      <c r="F439" s="25"/>
      <c r="G439" s="25"/>
      <c r="H439" s="25"/>
    </row>
    <row r="440">
      <c r="A440" s="25"/>
      <c r="B440" s="99"/>
      <c r="C440" s="99"/>
      <c r="D440" s="25"/>
      <c r="E440" s="28"/>
      <c r="F440" s="25"/>
      <c r="G440" s="25"/>
      <c r="H440" s="25"/>
    </row>
    <row r="441">
      <c r="A441" s="25"/>
      <c r="B441" s="99"/>
      <c r="C441" s="99"/>
      <c r="D441" s="25"/>
      <c r="E441" s="28"/>
      <c r="F441" s="25"/>
      <c r="G441" s="25"/>
      <c r="H441" s="25"/>
    </row>
    <row r="442">
      <c r="A442" s="25"/>
      <c r="B442" s="99"/>
      <c r="C442" s="99"/>
      <c r="D442" s="25"/>
      <c r="E442" s="28"/>
      <c r="F442" s="25"/>
      <c r="G442" s="25"/>
      <c r="H442" s="25"/>
    </row>
    <row r="443">
      <c r="A443" s="25"/>
      <c r="B443" s="99"/>
      <c r="C443" s="99"/>
      <c r="D443" s="25"/>
      <c r="E443" s="28"/>
      <c r="F443" s="25"/>
      <c r="G443" s="25"/>
      <c r="H443" s="25"/>
    </row>
    <row r="444">
      <c r="A444" s="25"/>
      <c r="B444" s="99"/>
      <c r="C444" s="99"/>
      <c r="D444" s="25"/>
      <c r="E444" s="28"/>
      <c r="F444" s="25"/>
      <c r="G444" s="25"/>
      <c r="H444" s="25"/>
    </row>
    <row r="445">
      <c r="A445" s="25"/>
      <c r="B445" s="99"/>
      <c r="C445" s="99"/>
      <c r="D445" s="25"/>
      <c r="E445" s="28"/>
      <c r="F445" s="25"/>
      <c r="G445" s="25"/>
      <c r="H445" s="25"/>
    </row>
    <row r="446">
      <c r="A446" s="25"/>
      <c r="B446" s="99"/>
      <c r="C446" s="99"/>
      <c r="D446" s="25"/>
      <c r="E446" s="28"/>
      <c r="F446" s="25"/>
      <c r="G446" s="25"/>
      <c r="H446" s="25"/>
    </row>
    <row r="447">
      <c r="A447" s="25"/>
      <c r="B447" s="99"/>
      <c r="C447" s="99"/>
      <c r="D447" s="25"/>
      <c r="E447" s="28"/>
      <c r="F447" s="25"/>
      <c r="G447" s="25"/>
      <c r="H447" s="25"/>
    </row>
    <row r="448">
      <c r="A448" s="25"/>
      <c r="B448" s="99"/>
      <c r="C448" s="99"/>
      <c r="D448" s="25"/>
      <c r="E448" s="28"/>
      <c r="F448" s="25"/>
      <c r="G448" s="25"/>
      <c r="H448" s="25"/>
    </row>
    <row r="449">
      <c r="A449" s="25"/>
      <c r="B449" s="99"/>
      <c r="C449" s="99"/>
      <c r="D449" s="25"/>
      <c r="E449" s="28"/>
      <c r="F449" s="25"/>
      <c r="G449" s="25"/>
      <c r="H449" s="25"/>
    </row>
    <row r="450">
      <c r="A450" s="25"/>
      <c r="B450" s="99"/>
      <c r="C450" s="99"/>
      <c r="D450" s="25"/>
      <c r="E450" s="28"/>
      <c r="F450" s="25"/>
      <c r="G450" s="25"/>
      <c r="H450" s="25"/>
    </row>
    <row r="451">
      <c r="A451" s="25"/>
      <c r="B451" s="99"/>
      <c r="C451" s="99"/>
      <c r="D451" s="25"/>
      <c r="E451" s="28"/>
      <c r="F451" s="25"/>
      <c r="G451" s="25"/>
      <c r="H451" s="25"/>
    </row>
    <row r="452">
      <c r="A452" s="25"/>
      <c r="B452" s="99"/>
      <c r="C452" s="99"/>
      <c r="D452" s="25"/>
      <c r="E452" s="28"/>
      <c r="F452" s="25"/>
      <c r="G452" s="25"/>
      <c r="H452" s="25"/>
    </row>
    <row r="453">
      <c r="A453" s="25"/>
      <c r="B453" s="99"/>
      <c r="C453" s="99"/>
      <c r="D453" s="25"/>
      <c r="E453" s="28"/>
      <c r="F453" s="25"/>
      <c r="G453" s="25"/>
      <c r="H453" s="25"/>
    </row>
    <row r="454">
      <c r="A454" s="25"/>
      <c r="B454" s="99"/>
      <c r="C454" s="99"/>
      <c r="D454" s="25"/>
      <c r="E454" s="28"/>
      <c r="F454" s="25"/>
      <c r="G454" s="25"/>
      <c r="H454" s="25"/>
    </row>
    <row r="455">
      <c r="A455" s="25"/>
      <c r="B455" s="99"/>
      <c r="C455" s="99"/>
      <c r="D455" s="25"/>
      <c r="E455" s="28"/>
      <c r="F455" s="25"/>
      <c r="G455" s="25"/>
      <c r="H455" s="25"/>
    </row>
    <row r="456">
      <c r="A456" s="25"/>
      <c r="B456" s="99"/>
      <c r="C456" s="99"/>
      <c r="D456" s="25"/>
      <c r="E456" s="28"/>
      <c r="F456" s="25"/>
      <c r="G456" s="25"/>
      <c r="H456" s="25"/>
    </row>
    <row r="457">
      <c r="A457" s="25"/>
      <c r="B457" s="99"/>
      <c r="C457" s="99"/>
      <c r="D457" s="25"/>
      <c r="E457" s="28"/>
      <c r="F457" s="25"/>
      <c r="G457" s="25"/>
      <c r="H457" s="25"/>
    </row>
    <row r="458">
      <c r="A458" s="25"/>
      <c r="B458" s="99"/>
      <c r="C458" s="99"/>
      <c r="D458" s="25"/>
      <c r="E458" s="28"/>
      <c r="F458" s="25"/>
      <c r="G458" s="25"/>
      <c r="H458" s="25"/>
    </row>
    <row r="459">
      <c r="A459" s="25"/>
      <c r="B459" s="99"/>
      <c r="C459" s="99"/>
      <c r="D459" s="25"/>
      <c r="E459" s="28"/>
      <c r="F459" s="25"/>
      <c r="G459" s="25"/>
      <c r="H459" s="25"/>
    </row>
    <row r="460">
      <c r="A460" s="25"/>
      <c r="B460" s="99"/>
      <c r="C460" s="99"/>
      <c r="D460" s="25"/>
      <c r="E460" s="28"/>
      <c r="F460" s="25"/>
      <c r="G460" s="25"/>
      <c r="H460" s="25"/>
    </row>
    <row r="461">
      <c r="A461" s="25"/>
      <c r="B461" s="99"/>
      <c r="C461" s="99"/>
      <c r="D461" s="25"/>
      <c r="E461" s="28"/>
      <c r="F461" s="25"/>
      <c r="G461" s="25"/>
      <c r="H461" s="25"/>
    </row>
    <row r="462">
      <c r="A462" s="25"/>
      <c r="B462" s="99"/>
      <c r="C462" s="99"/>
      <c r="D462" s="25"/>
      <c r="E462" s="28"/>
      <c r="F462" s="25"/>
      <c r="G462" s="25"/>
      <c r="H462" s="25"/>
    </row>
    <row r="463">
      <c r="A463" s="25"/>
      <c r="B463" s="99"/>
      <c r="C463" s="99"/>
      <c r="D463" s="25"/>
      <c r="E463" s="28"/>
      <c r="F463" s="25"/>
      <c r="G463" s="25"/>
      <c r="H463" s="25"/>
    </row>
    <row r="464">
      <c r="A464" s="25"/>
      <c r="B464" s="99"/>
      <c r="C464" s="99"/>
      <c r="D464" s="25"/>
      <c r="E464" s="28"/>
      <c r="F464" s="25"/>
      <c r="G464" s="25"/>
      <c r="H464" s="25"/>
    </row>
    <row r="465">
      <c r="A465" s="25"/>
      <c r="B465" s="99"/>
      <c r="C465" s="99"/>
      <c r="D465" s="25"/>
      <c r="E465" s="28"/>
      <c r="F465" s="25"/>
      <c r="G465" s="25"/>
      <c r="H465" s="25"/>
    </row>
    <row r="466">
      <c r="A466" s="25"/>
      <c r="B466" s="99"/>
      <c r="C466" s="99"/>
      <c r="D466" s="25"/>
      <c r="E466" s="28"/>
      <c r="F466" s="25"/>
      <c r="G466" s="25"/>
      <c r="H466" s="25"/>
    </row>
    <row r="467">
      <c r="A467" s="25"/>
      <c r="B467" s="99"/>
      <c r="C467" s="99"/>
      <c r="D467" s="25"/>
      <c r="E467" s="28"/>
      <c r="F467" s="25"/>
      <c r="G467" s="25"/>
      <c r="H467" s="25"/>
    </row>
    <row r="468">
      <c r="A468" s="25"/>
      <c r="B468" s="99"/>
      <c r="C468" s="99"/>
      <c r="D468" s="25"/>
      <c r="E468" s="28"/>
      <c r="F468" s="25"/>
      <c r="G468" s="25"/>
      <c r="H468" s="25"/>
    </row>
    <row r="469">
      <c r="A469" s="25"/>
      <c r="B469" s="99"/>
      <c r="C469" s="99"/>
      <c r="D469" s="25"/>
      <c r="E469" s="28"/>
      <c r="F469" s="25"/>
      <c r="G469" s="25"/>
      <c r="H469" s="25"/>
    </row>
    <row r="470">
      <c r="A470" s="25"/>
      <c r="B470" s="99"/>
      <c r="C470" s="99"/>
      <c r="D470" s="25"/>
      <c r="E470" s="28"/>
      <c r="F470" s="25"/>
      <c r="G470" s="25"/>
      <c r="H470" s="25"/>
    </row>
    <row r="471">
      <c r="A471" s="25"/>
      <c r="B471" s="99"/>
      <c r="C471" s="99"/>
      <c r="D471" s="25"/>
      <c r="E471" s="28"/>
      <c r="F471" s="25"/>
      <c r="G471" s="25"/>
      <c r="H471" s="25"/>
    </row>
    <row r="472">
      <c r="A472" s="25"/>
      <c r="B472" s="99"/>
      <c r="C472" s="99"/>
      <c r="D472" s="25"/>
      <c r="E472" s="28"/>
      <c r="F472" s="25"/>
      <c r="G472" s="25"/>
      <c r="H472" s="25"/>
    </row>
    <row r="473">
      <c r="A473" s="25"/>
      <c r="B473" s="99"/>
      <c r="C473" s="99"/>
      <c r="D473" s="25"/>
      <c r="E473" s="28"/>
      <c r="F473" s="25"/>
      <c r="G473" s="25"/>
      <c r="H473" s="25"/>
    </row>
    <row r="474">
      <c r="A474" s="25"/>
      <c r="B474" s="99"/>
      <c r="C474" s="99"/>
      <c r="D474" s="25"/>
      <c r="E474" s="28"/>
      <c r="F474" s="25"/>
      <c r="G474" s="25"/>
      <c r="H474" s="25"/>
    </row>
    <row r="475">
      <c r="A475" s="25"/>
      <c r="B475" s="99"/>
      <c r="C475" s="99"/>
      <c r="D475" s="25"/>
      <c r="E475" s="28"/>
      <c r="F475" s="25"/>
      <c r="G475" s="25"/>
      <c r="H475" s="25"/>
    </row>
    <row r="476">
      <c r="A476" s="25"/>
      <c r="B476" s="99"/>
      <c r="C476" s="99"/>
      <c r="D476" s="25"/>
      <c r="E476" s="28"/>
      <c r="F476" s="25"/>
      <c r="G476" s="25"/>
      <c r="H476" s="25"/>
    </row>
    <row r="477">
      <c r="A477" s="25"/>
      <c r="B477" s="99"/>
      <c r="C477" s="99"/>
      <c r="D477" s="25"/>
      <c r="E477" s="28"/>
      <c r="F477" s="25"/>
      <c r="G477" s="25"/>
      <c r="H477" s="25"/>
    </row>
    <row r="478">
      <c r="A478" s="25"/>
      <c r="B478" s="99"/>
      <c r="C478" s="99"/>
      <c r="D478" s="25"/>
      <c r="E478" s="28"/>
      <c r="F478" s="25"/>
      <c r="G478" s="25"/>
      <c r="H478" s="25"/>
    </row>
    <row r="479">
      <c r="A479" s="25"/>
      <c r="B479" s="99"/>
      <c r="C479" s="99"/>
      <c r="D479" s="25"/>
      <c r="E479" s="28"/>
      <c r="F479" s="25"/>
      <c r="G479" s="25"/>
      <c r="H479" s="25"/>
    </row>
    <row r="480">
      <c r="A480" s="25"/>
      <c r="B480" s="99"/>
      <c r="C480" s="99"/>
      <c r="D480" s="25"/>
      <c r="E480" s="28"/>
      <c r="F480" s="25"/>
      <c r="G480" s="25"/>
      <c r="H480" s="25"/>
    </row>
    <row r="481">
      <c r="A481" s="25"/>
      <c r="B481" s="99"/>
      <c r="C481" s="99"/>
      <c r="D481" s="25"/>
      <c r="E481" s="28"/>
      <c r="F481" s="25"/>
      <c r="G481" s="25"/>
      <c r="H481" s="25"/>
    </row>
    <row r="482">
      <c r="A482" s="25"/>
      <c r="B482" s="99"/>
      <c r="C482" s="99"/>
      <c r="D482" s="25"/>
      <c r="E482" s="28"/>
      <c r="F482" s="25"/>
      <c r="G482" s="25"/>
      <c r="H482" s="25"/>
    </row>
    <row r="483">
      <c r="A483" s="25"/>
      <c r="B483" s="99"/>
      <c r="C483" s="99"/>
      <c r="D483" s="25"/>
      <c r="E483" s="28"/>
      <c r="F483" s="25"/>
      <c r="G483" s="25"/>
      <c r="H483" s="25"/>
    </row>
    <row r="484">
      <c r="A484" s="25"/>
      <c r="B484" s="99"/>
      <c r="C484" s="99"/>
      <c r="D484" s="25"/>
      <c r="E484" s="28"/>
      <c r="F484" s="25"/>
      <c r="G484" s="25"/>
      <c r="H484" s="25"/>
    </row>
    <row r="485">
      <c r="A485" s="25"/>
      <c r="B485" s="99"/>
      <c r="C485" s="99"/>
      <c r="D485" s="25"/>
      <c r="E485" s="28"/>
      <c r="F485" s="25"/>
      <c r="G485" s="25"/>
      <c r="H485" s="25"/>
    </row>
    <row r="486">
      <c r="A486" s="25"/>
      <c r="B486" s="99"/>
      <c r="C486" s="99"/>
      <c r="D486" s="25"/>
      <c r="E486" s="28"/>
      <c r="F486" s="25"/>
      <c r="G486" s="25"/>
      <c r="H486" s="25"/>
    </row>
    <row r="487">
      <c r="A487" s="25"/>
      <c r="B487" s="99"/>
      <c r="C487" s="99"/>
      <c r="D487" s="25"/>
      <c r="E487" s="28"/>
      <c r="F487" s="25"/>
      <c r="G487" s="25"/>
      <c r="H487" s="25"/>
    </row>
    <row r="488">
      <c r="A488" s="25"/>
      <c r="B488" s="99"/>
      <c r="C488" s="99"/>
      <c r="D488" s="25"/>
      <c r="E488" s="28"/>
      <c r="F488" s="25"/>
      <c r="G488" s="25"/>
      <c r="H488" s="25"/>
    </row>
    <row r="489">
      <c r="A489" s="25"/>
      <c r="B489" s="99"/>
      <c r="C489" s="99"/>
      <c r="D489" s="25"/>
      <c r="E489" s="28"/>
      <c r="F489" s="25"/>
      <c r="G489" s="25"/>
      <c r="H489" s="25"/>
    </row>
    <row r="490">
      <c r="A490" s="25"/>
      <c r="B490" s="99"/>
      <c r="C490" s="99"/>
      <c r="D490" s="25"/>
      <c r="E490" s="28"/>
      <c r="F490" s="25"/>
      <c r="G490" s="25"/>
      <c r="H490" s="25"/>
    </row>
    <row r="491">
      <c r="A491" s="25"/>
      <c r="B491" s="99"/>
      <c r="C491" s="99"/>
      <c r="D491" s="25"/>
      <c r="E491" s="28"/>
      <c r="F491" s="25"/>
      <c r="G491" s="25"/>
      <c r="H491" s="25"/>
    </row>
    <row r="492">
      <c r="A492" s="25"/>
      <c r="B492" s="99"/>
      <c r="C492" s="99"/>
      <c r="D492" s="25"/>
      <c r="E492" s="28"/>
      <c r="F492" s="25"/>
      <c r="G492" s="25"/>
      <c r="H492" s="25"/>
    </row>
    <row r="493">
      <c r="A493" s="25"/>
      <c r="B493" s="99"/>
      <c r="C493" s="99"/>
      <c r="D493" s="25"/>
      <c r="E493" s="28"/>
      <c r="F493" s="25"/>
      <c r="G493" s="25"/>
      <c r="H493" s="25"/>
    </row>
    <row r="494">
      <c r="A494" s="25"/>
      <c r="B494" s="99"/>
      <c r="C494" s="99"/>
      <c r="D494" s="25"/>
      <c r="E494" s="28"/>
      <c r="F494" s="25"/>
      <c r="G494" s="25"/>
      <c r="H494" s="25"/>
    </row>
    <row r="495">
      <c r="A495" s="25"/>
      <c r="B495" s="99"/>
      <c r="C495" s="99"/>
      <c r="D495" s="25"/>
      <c r="E495" s="28"/>
      <c r="F495" s="25"/>
      <c r="G495" s="25"/>
      <c r="H495" s="25"/>
    </row>
    <row r="496">
      <c r="A496" s="25"/>
      <c r="B496" s="99"/>
      <c r="C496" s="99"/>
      <c r="D496" s="25"/>
      <c r="E496" s="28"/>
      <c r="F496" s="25"/>
      <c r="G496" s="25"/>
      <c r="H496" s="25"/>
    </row>
    <row r="497">
      <c r="A497" s="25"/>
      <c r="B497" s="99"/>
      <c r="C497" s="99"/>
      <c r="D497" s="25"/>
      <c r="E497" s="28"/>
      <c r="F497" s="25"/>
      <c r="G497" s="25"/>
      <c r="H497" s="25"/>
    </row>
    <row r="498">
      <c r="A498" s="25"/>
      <c r="B498" s="99"/>
      <c r="C498" s="99"/>
      <c r="D498" s="25"/>
      <c r="E498" s="28"/>
      <c r="F498" s="25"/>
      <c r="G498" s="25"/>
      <c r="H498" s="25"/>
    </row>
    <row r="499">
      <c r="A499" s="25"/>
      <c r="B499" s="99"/>
      <c r="C499" s="99"/>
      <c r="D499" s="25"/>
      <c r="E499" s="28"/>
      <c r="F499" s="25"/>
      <c r="G499" s="25"/>
      <c r="H499" s="25"/>
    </row>
    <row r="500">
      <c r="A500" s="25"/>
      <c r="B500" s="99"/>
      <c r="C500" s="99"/>
      <c r="D500" s="25"/>
      <c r="E500" s="28"/>
      <c r="F500" s="25"/>
      <c r="G500" s="25"/>
      <c r="H500" s="25"/>
    </row>
    <row r="501">
      <c r="A501" s="25"/>
      <c r="B501" s="99"/>
      <c r="C501" s="99"/>
      <c r="D501" s="25"/>
      <c r="E501" s="28"/>
      <c r="F501" s="25"/>
      <c r="G501" s="25"/>
      <c r="H501" s="25"/>
    </row>
    <row r="502">
      <c r="A502" s="25"/>
      <c r="B502" s="99"/>
      <c r="C502" s="99"/>
      <c r="D502" s="25"/>
      <c r="E502" s="28"/>
      <c r="F502" s="25"/>
      <c r="G502" s="25"/>
      <c r="H502" s="25"/>
    </row>
    <row r="503">
      <c r="A503" s="25"/>
      <c r="B503" s="99"/>
      <c r="C503" s="99"/>
      <c r="D503" s="25"/>
      <c r="E503" s="28"/>
      <c r="F503" s="25"/>
      <c r="G503" s="25"/>
      <c r="H503" s="25"/>
    </row>
    <row r="504">
      <c r="A504" s="25"/>
      <c r="B504" s="99"/>
      <c r="C504" s="99"/>
      <c r="D504" s="25"/>
      <c r="E504" s="28"/>
      <c r="F504" s="25"/>
      <c r="G504" s="25"/>
      <c r="H504" s="25"/>
    </row>
    <row r="505">
      <c r="A505" s="25"/>
      <c r="B505" s="99"/>
      <c r="C505" s="99"/>
      <c r="D505" s="25"/>
      <c r="E505" s="28"/>
      <c r="F505" s="25"/>
      <c r="G505" s="25"/>
      <c r="H505" s="25"/>
    </row>
    <row r="506">
      <c r="A506" s="25"/>
      <c r="B506" s="99"/>
      <c r="C506" s="99"/>
      <c r="D506" s="25"/>
      <c r="E506" s="28"/>
      <c r="F506" s="25"/>
      <c r="G506" s="25"/>
      <c r="H506" s="25"/>
    </row>
    <row r="507">
      <c r="A507" s="25"/>
      <c r="B507" s="99"/>
      <c r="C507" s="99"/>
      <c r="D507" s="25"/>
      <c r="E507" s="28"/>
      <c r="F507" s="25"/>
      <c r="G507" s="25"/>
      <c r="H507" s="25"/>
    </row>
    <row r="508">
      <c r="A508" s="25"/>
      <c r="B508" s="99"/>
      <c r="C508" s="99"/>
      <c r="D508" s="25"/>
      <c r="E508" s="28"/>
      <c r="F508" s="25"/>
      <c r="G508" s="25"/>
      <c r="H508" s="25"/>
    </row>
    <row r="509">
      <c r="A509" s="25"/>
      <c r="B509" s="99"/>
      <c r="C509" s="99"/>
      <c r="D509" s="25"/>
      <c r="E509" s="28"/>
      <c r="F509" s="25"/>
      <c r="G509" s="25"/>
      <c r="H509" s="25"/>
    </row>
    <row r="510">
      <c r="A510" s="25"/>
      <c r="B510" s="99"/>
      <c r="C510" s="99"/>
      <c r="D510" s="25"/>
      <c r="E510" s="28"/>
      <c r="F510" s="25"/>
      <c r="G510" s="25"/>
      <c r="H510" s="25"/>
    </row>
    <row r="511">
      <c r="A511" s="25"/>
      <c r="B511" s="99"/>
      <c r="C511" s="99"/>
      <c r="D511" s="25"/>
      <c r="E511" s="28"/>
      <c r="F511" s="25"/>
      <c r="G511" s="25"/>
      <c r="H511" s="25"/>
    </row>
    <row r="512">
      <c r="A512" s="25"/>
      <c r="B512" s="99"/>
      <c r="C512" s="99"/>
      <c r="D512" s="25"/>
      <c r="E512" s="28"/>
      <c r="F512" s="25"/>
      <c r="G512" s="25"/>
      <c r="H512" s="25"/>
    </row>
    <row r="513">
      <c r="A513" s="25"/>
      <c r="B513" s="99"/>
      <c r="C513" s="99"/>
      <c r="D513" s="25"/>
      <c r="E513" s="28"/>
      <c r="F513" s="25"/>
      <c r="G513" s="25"/>
      <c r="H513" s="25"/>
    </row>
    <row r="514">
      <c r="A514" s="25"/>
      <c r="B514" s="99"/>
      <c r="C514" s="99"/>
      <c r="D514" s="25"/>
      <c r="E514" s="28"/>
      <c r="F514" s="25"/>
      <c r="G514" s="25"/>
      <c r="H514" s="25"/>
    </row>
    <row r="515">
      <c r="A515" s="25"/>
      <c r="B515" s="99"/>
      <c r="C515" s="99"/>
      <c r="D515" s="25"/>
      <c r="E515" s="28"/>
      <c r="F515" s="25"/>
      <c r="G515" s="25"/>
      <c r="H515" s="25"/>
    </row>
    <row r="516">
      <c r="A516" s="25"/>
      <c r="B516" s="99"/>
      <c r="C516" s="99"/>
      <c r="D516" s="25"/>
      <c r="E516" s="28"/>
      <c r="F516" s="25"/>
      <c r="G516" s="25"/>
      <c r="H516" s="25"/>
    </row>
    <row r="517">
      <c r="A517" s="25"/>
      <c r="B517" s="99"/>
      <c r="C517" s="99"/>
      <c r="D517" s="25"/>
      <c r="E517" s="28"/>
      <c r="F517" s="25"/>
      <c r="G517" s="25"/>
      <c r="H517" s="25"/>
    </row>
    <row r="518">
      <c r="A518" s="25"/>
      <c r="B518" s="99"/>
      <c r="C518" s="99"/>
      <c r="D518" s="25"/>
      <c r="E518" s="28"/>
      <c r="F518" s="25"/>
      <c r="G518" s="25"/>
      <c r="H518" s="25"/>
    </row>
    <row r="519">
      <c r="A519" s="25"/>
      <c r="B519" s="99"/>
      <c r="C519" s="99"/>
      <c r="D519" s="25"/>
      <c r="E519" s="28"/>
      <c r="F519" s="25"/>
      <c r="G519" s="25"/>
      <c r="H519" s="25"/>
    </row>
    <row r="520">
      <c r="A520" s="25"/>
      <c r="B520" s="99"/>
      <c r="C520" s="99"/>
      <c r="D520" s="25"/>
      <c r="E520" s="28"/>
      <c r="F520" s="25"/>
      <c r="G520" s="25"/>
      <c r="H520" s="25"/>
    </row>
    <row r="521">
      <c r="A521" s="25"/>
      <c r="B521" s="99"/>
      <c r="C521" s="99"/>
      <c r="D521" s="25"/>
      <c r="E521" s="28"/>
      <c r="F521" s="25"/>
      <c r="G521" s="25"/>
      <c r="H521" s="25"/>
    </row>
    <row r="522">
      <c r="A522" s="25"/>
      <c r="B522" s="99"/>
      <c r="C522" s="99"/>
      <c r="D522" s="25"/>
      <c r="E522" s="28"/>
      <c r="F522" s="25"/>
      <c r="G522" s="25"/>
      <c r="H522" s="25"/>
    </row>
    <row r="523">
      <c r="A523" s="25"/>
      <c r="B523" s="99"/>
      <c r="C523" s="99"/>
      <c r="D523" s="25"/>
      <c r="E523" s="28"/>
      <c r="F523" s="25"/>
      <c r="G523" s="25"/>
      <c r="H523" s="25"/>
    </row>
    <row r="524">
      <c r="A524" s="25"/>
      <c r="B524" s="99"/>
      <c r="C524" s="99"/>
      <c r="D524" s="25"/>
      <c r="E524" s="28"/>
      <c r="F524" s="25"/>
      <c r="G524" s="25"/>
      <c r="H524" s="25"/>
    </row>
    <row r="525">
      <c r="A525" s="25"/>
      <c r="B525" s="99"/>
      <c r="C525" s="99"/>
      <c r="D525" s="25"/>
      <c r="E525" s="28"/>
      <c r="F525" s="25"/>
      <c r="G525" s="25"/>
      <c r="H525" s="25"/>
    </row>
    <row r="526">
      <c r="A526" s="25"/>
      <c r="B526" s="99"/>
      <c r="C526" s="99"/>
      <c r="D526" s="25"/>
      <c r="E526" s="28"/>
      <c r="F526" s="25"/>
      <c r="G526" s="25"/>
      <c r="H526" s="25"/>
    </row>
    <row r="527">
      <c r="A527" s="25"/>
      <c r="B527" s="99"/>
      <c r="C527" s="99"/>
      <c r="D527" s="25"/>
      <c r="E527" s="28"/>
      <c r="F527" s="25"/>
      <c r="G527" s="25"/>
      <c r="H527" s="25"/>
    </row>
    <row r="528">
      <c r="A528" s="25"/>
      <c r="B528" s="99"/>
      <c r="C528" s="99"/>
      <c r="D528" s="25"/>
      <c r="E528" s="28"/>
      <c r="F528" s="25"/>
      <c r="G528" s="25"/>
      <c r="H528" s="25"/>
    </row>
    <row r="529">
      <c r="A529" s="25"/>
      <c r="B529" s="99"/>
      <c r="C529" s="99"/>
      <c r="D529" s="25"/>
      <c r="E529" s="28"/>
      <c r="F529" s="25"/>
      <c r="G529" s="25"/>
      <c r="H529" s="25"/>
    </row>
    <row r="530">
      <c r="A530" s="25"/>
      <c r="B530" s="99"/>
      <c r="C530" s="99"/>
      <c r="D530" s="25"/>
      <c r="E530" s="28"/>
      <c r="F530" s="25"/>
      <c r="G530" s="25"/>
      <c r="H530" s="25"/>
    </row>
    <row r="531">
      <c r="A531" s="25"/>
      <c r="B531" s="99"/>
      <c r="C531" s="99"/>
      <c r="D531" s="25"/>
      <c r="E531" s="28"/>
      <c r="F531" s="25"/>
      <c r="G531" s="25"/>
      <c r="H531" s="25"/>
    </row>
    <row r="532">
      <c r="A532" s="25"/>
      <c r="B532" s="99"/>
      <c r="C532" s="99"/>
      <c r="D532" s="25"/>
      <c r="E532" s="28"/>
      <c r="F532" s="25"/>
      <c r="G532" s="25"/>
      <c r="H532" s="25"/>
    </row>
    <row r="533">
      <c r="A533" s="25"/>
      <c r="B533" s="99"/>
      <c r="C533" s="99"/>
      <c r="D533" s="25"/>
      <c r="E533" s="28"/>
      <c r="F533" s="25"/>
      <c r="G533" s="25"/>
      <c r="H533" s="25"/>
    </row>
    <row r="534">
      <c r="A534" s="25"/>
      <c r="B534" s="99"/>
      <c r="C534" s="99"/>
      <c r="D534" s="25"/>
      <c r="E534" s="28"/>
      <c r="F534" s="25"/>
      <c r="G534" s="25"/>
      <c r="H534" s="25"/>
    </row>
    <row r="535">
      <c r="A535" s="25"/>
      <c r="B535" s="99"/>
      <c r="C535" s="99"/>
      <c r="D535" s="25"/>
      <c r="E535" s="28"/>
      <c r="F535" s="25"/>
      <c r="G535" s="25"/>
      <c r="H535" s="25"/>
    </row>
    <row r="536">
      <c r="A536" s="25"/>
      <c r="B536" s="99"/>
      <c r="C536" s="99"/>
      <c r="D536" s="25"/>
      <c r="E536" s="28"/>
      <c r="F536" s="25"/>
      <c r="G536" s="25"/>
      <c r="H536" s="25"/>
    </row>
    <row r="537">
      <c r="A537" s="25"/>
      <c r="B537" s="99"/>
      <c r="C537" s="99"/>
      <c r="D537" s="25"/>
      <c r="E537" s="28"/>
      <c r="F537" s="25"/>
      <c r="G537" s="25"/>
      <c r="H537" s="25"/>
    </row>
    <row r="538">
      <c r="A538" s="25"/>
      <c r="B538" s="99"/>
      <c r="C538" s="99"/>
      <c r="D538" s="25"/>
      <c r="E538" s="28"/>
      <c r="F538" s="25"/>
      <c r="G538" s="25"/>
      <c r="H538" s="25"/>
    </row>
    <row r="539">
      <c r="A539" s="25"/>
      <c r="B539" s="99"/>
      <c r="C539" s="99"/>
      <c r="D539" s="25"/>
      <c r="E539" s="28"/>
      <c r="F539" s="25"/>
      <c r="G539" s="25"/>
      <c r="H539" s="25"/>
    </row>
    <row r="540">
      <c r="A540" s="25"/>
      <c r="B540" s="99"/>
      <c r="C540" s="99"/>
      <c r="D540" s="25"/>
      <c r="E540" s="28"/>
      <c r="F540" s="25"/>
      <c r="G540" s="25"/>
      <c r="H540" s="25"/>
    </row>
    <row r="541">
      <c r="A541" s="25"/>
      <c r="B541" s="99"/>
      <c r="C541" s="99"/>
      <c r="D541" s="25"/>
      <c r="E541" s="28"/>
      <c r="F541" s="25"/>
      <c r="G541" s="25"/>
      <c r="H541" s="25"/>
    </row>
    <row r="542">
      <c r="A542" s="25"/>
      <c r="B542" s="99"/>
      <c r="C542" s="99"/>
      <c r="D542" s="25"/>
      <c r="E542" s="28"/>
      <c r="F542" s="25"/>
      <c r="G542" s="25"/>
      <c r="H542" s="25"/>
    </row>
    <row r="543">
      <c r="A543" s="25"/>
      <c r="B543" s="99"/>
      <c r="C543" s="99"/>
      <c r="D543" s="25"/>
      <c r="E543" s="28"/>
      <c r="F543" s="25"/>
      <c r="G543" s="25"/>
      <c r="H543" s="25"/>
    </row>
    <row r="544">
      <c r="A544" s="25"/>
      <c r="B544" s="99"/>
      <c r="C544" s="99"/>
      <c r="D544" s="25"/>
      <c r="E544" s="28"/>
      <c r="F544" s="25"/>
      <c r="G544" s="25"/>
      <c r="H544" s="25"/>
    </row>
    <row r="545">
      <c r="A545" s="25"/>
      <c r="B545" s="99"/>
      <c r="C545" s="99"/>
      <c r="D545" s="25"/>
      <c r="E545" s="28"/>
      <c r="F545" s="25"/>
      <c r="G545" s="25"/>
      <c r="H545" s="25"/>
    </row>
    <row r="546">
      <c r="A546" s="25"/>
      <c r="B546" s="99"/>
      <c r="C546" s="99"/>
      <c r="D546" s="25"/>
      <c r="E546" s="28"/>
      <c r="F546" s="25"/>
      <c r="G546" s="25"/>
      <c r="H546" s="25"/>
    </row>
    <row r="547">
      <c r="A547" s="25"/>
      <c r="B547" s="99"/>
      <c r="C547" s="99"/>
      <c r="D547" s="25"/>
      <c r="E547" s="28"/>
      <c r="F547" s="25"/>
      <c r="G547" s="25"/>
      <c r="H547" s="25"/>
    </row>
    <row r="548">
      <c r="A548" s="25"/>
      <c r="B548" s="99"/>
      <c r="C548" s="99"/>
      <c r="D548" s="25"/>
      <c r="E548" s="28"/>
      <c r="F548" s="25"/>
      <c r="G548" s="25"/>
      <c r="H548" s="25"/>
    </row>
    <row r="549">
      <c r="A549" s="25"/>
      <c r="B549" s="99"/>
      <c r="C549" s="99"/>
      <c r="D549" s="25"/>
      <c r="E549" s="28"/>
      <c r="F549" s="25"/>
      <c r="G549" s="25"/>
      <c r="H549" s="25"/>
    </row>
    <row r="550">
      <c r="A550" s="25"/>
      <c r="B550" s="99"/>
      <c r="C550" s="99"/>
      <c r="D550" s="25"/>
      <c r="E550" s="28"/>
      <c r="F550" s="25"/>
      <c r="G550" s="25"/>
      <c r="H550" s="25"/>
    </row>
    <row r="551">
      <c r="A551" s="25"/>
      <c r="B551" s="99"/>
      <c r="C551" s="99"/>
      <c r="D551" s="25"/>
      <c r="E551" s="28"/>
      <c r="F551" s="25"/>
      <c r="G551" s="25"/>
      <c r="H551" s="25"/>
    </row>
    <row r="552">
      <c r="A552" s="25"/>
      <c r="B552" s="99"/>
      <c r="C552" s="99"/>
      <c r="D552" s="25"/>
      <c r="E552" s="28"/>
      <c r="F552" s="25"/>
      <c r="G552" s="25"/>
      <c r="H552" s="25"/>
    </row>
    <row r="553">
      <c r="A553" s="25"/>
      <c r="B553" s="99"/>
      <c r="C553" s="99"/>
      <c r="D553" s="25"/>
      <c r="E553" s="28"/>
      <c r="F553" s="25"/>
      <c r="G553" s="25"/>
      <c r="H553" s="25"/>
    </row>
    <row r="554">
      <c r="A554" s="25"/>
      <c r="B554" s="99"/>
      <c r="C554" s="99"/>
      <c r="D554" s="25"/>
      <c r="E554" s="28"/>
      <c r="F554" s="25"/>
      <c r="G554" s="25"/>
      <c r="H554" s="25"/>
    </row>
    <row r="555">
      <c r="A555" s="25"/>
      <c r="B555" s="99"/>
      <c r="C555" s="99"/>
      <c r="D555" s="25"/>
      <c r="E555" s="28"/>
      <c r="F555" s="25"/>
      <c r="G555" s="25"/>
      <c r="H555" s="25"/>
    </row>
    <row r="556">
      <c r="A556" s="25"/>
      <c r="B556" s="99"/>
      <c r="C556" s="99"/>
      <c r="D556" s="25"/>
      <c r="E556" s="28"/>
      <c r="F556" s="25"/>
      <c r="G556" s="25"/>
      <c r="H556" s="25"/>
    </row>
    <row r="557">
      <c r="A557" s="25"/>
      <c r="B557" s="99"/>
      <c r="C557" s="99"/>
      <c r="D557" s="25"/>
      <c r="E557" s="28"/>
      <c r="F557" s="25"/>
      <c r="G557" s="25"/>
      <c r="H557" s="25"/>
    </row>
    <row r="558">
      <c r="A558" s="25"/>
      <c r="B558" s="99"/>
      <c r="C558" s="99"/>
      <c r="D558" s="25"/>
      <c r="E558" s="28"/>
      <c r="F558" s="25"/>
      <c r="G558" s="25"/>
      <c r="H558" s="25"/>
    </row>
    <row r="559">
      <c r="A559" s="25"/>
      <c r="B559" s="99"/>
      <c r="C559" s="99"/>
      <c r="D559" s="25"/>
      <c r="E559" s="28"/>
      <c r="F559" s="25"/>
      <c r="G559" s="25"/>
      <c r="H559" s="25"/>
    </row>
    <row r="560">
      <c r="A560" s="25"/>
      <c r="B560" s="99"/>
      <c r="C560" s="99"/>
      <c r="D560" s="25"/>
      <c r="E560" s="28"/>
      <c r="F560" s="25"/>
      <c r="G560" s="25"/>
      <c r="H560" s="25"/>
    </row>
    <row r="561">
      <c r="A561" s="25"/>
      <c r="B561" s="99"/>
      <c r="C561" s="99"/>
      <c r="D561" s="25"/>
      <c r="E561" s="28"/>
      <c r="F561" s="25"/>
      <c r="G561" s="25"/>
      <c r="H561" s="25"/>
    </row>
    <row r="562">
      <c r="A562" s="25"/>
      <c r="B562" s="99"/>
      <c r="C562" s="99"/>
      <c r="D562" s="25"/>
      <c r="E562" s="28"/>
      <c r="F562" s="25"/>
      <c r="G562" s="25"/>
      <c r="H562" s="25"/>
    </row>
    <row r="563">
      <c r="A563" s="25"/>
      <c r="B563" s="99"/>
      <c r="C563" s="99"/>
      <c r="D563" s="25"/>
      <c r="E563" s="28"/>
      <c r="F563" s="25"/>
      <c r="G563" s="25"/>
      <c r="H563" s="25"/>
    </row>
    <row r="564">
      <c r="A564" s="25"/>
      <c r="B564" s="99"/>
      <c r="C564" s="99"/>
      <c r="D564" s="25"/>
      <c r="E564" s="28"/>
      <c r="F564" s="25"/>
      <c r="G564" s="25"/>
      <c r="H564" s="25"/>
    </row>
    <row r="565">
      <c r="A565" s="25"/>
      <c r="B565" s="99"/>
      <c r="C565" s="99"/>
      <c r="D565" s="25"/>
      <c r="E565" s="28"/>
      <c r="F565" s="25"/>
      <c r="G565" s="25"/>
      <c r="H565" s="25"/>
    </row>
    <row r="566">
      <c r="A566" s="25"/>
      <c r="B566" s="99"/>
      <c r="C566" s="99"/>
      <c r="D566" s="25"/>
      <c r="E566" s="28"/>
      <c r="F566" s="25"/>
      <c r="G566" s="25"/>
      <c r="H566" s="25"/>
    </row>
    <row r="567">
      <c r="A567" s="25"/>
      <c r="B567" s="99"/>
      <c r="C567" s="99"/>
      <c r="D567" s="25"/>
      <c r="E567" s="28"/>
      <c r="F567" s="25"/>
      <c r="G567" s="25"/>
      <c r="H567" s="25"/>
    </row>
    <row r="568">
      <c r="A568" s="25"/>
      <c r="B568" s="99"/>
      <c r="C568" s="99"/>
      <c r="D568" s="25"/>
      <c r="E568" s="28"/>
      <c r="F568" s="25"/>
      <c r="G568" s="25"/>
      <c r="H568" s="25"/>
    </row>
    <row r="569">
      <c r="A569" s="25"/>
      <c r="B569" s="99"/>
      <c r="C569" s="99"/>
      <c r="D569" s="25"/>
      <c r="E569" s="28"/>
      <c r="F569" s="25"/>
      <c r="G569" s="25"/>
      <c r="H569" s="25"/>
    </row>
    <row r="570">
      <c r="A570" s="25"/>
      <c r="B570" s="99"/>
      <c r="C570" s="99"/>
      <c r="D570" s="25"/>
      <c r="E570" s="28"/>
      <c r="F570" s="25"/>
      <c r="G570" s="25"/>
      <c r="H570" s="25"/>
    </row>
    <row r="571">
      <c r="A571" s="25"/>
      <c r="B571" s="99"/>
      <c r="C571" s="99"/>
      <c r="D571" s="25"/>
      <c r="E571" s="28"/>
      <c r="F571" s="25"/>
      <c r="G571" s="25"/>
      <c r="H571" s="25"/>
    </row>
    <row r="572">
      <c r="A572" s="25"/>
      <c r="B572" s="99"/>
      <c r="C572" s="99"/>
      <c r="D572" s="25"/>
      <c r="E572" s="28"/>
      <c r="F572" s="25"/>
      <c r="G572" s="25"/>
      <c r="H572" s="25"/>
    </row>
    <row r="573">
      <c r="A573" s="25"/>
      <c r="B573" s="99"/>
      <c r="C573" s="99"/>
      <c r="D573" s="25"/>
      <c r="E573" s="28"/>
      <c r="F573" s="25"/>
      <c r="G573" s="25"/>
      <c r="H573" s="25"/>
    </row>
    <row r="574">
      <c r="A574" s="25"/>
      <c r="B574" s="99"/>
      <c r="C574" s="99"/>
      <c r="D574" s="25"/>
      <c r="E574" s="28"/>
      <c r="F574" s="25"/>
      <c r="G574" s="25"/>
      <c r="H574" s="25"/>
    </row>
    <row r="575">
      <c r="A575" s="25"/>
      <c r="B575" s="99"/>
      <c r="C575" s="99"/>
      <c r="D575" s="25"/>
      <c r="E575" s="28"/>
      <c r="F575" s="25"/>
      <c r="G575" s="25"/>
      <c r="H575" s="25"/>
    </row>
    <row r="576">
      <c r="A576" s="25"/>
      <c r="B576" s="99"/>
      <c r="C576" s="99"/>
      <c r="D576" s="25"/>
      <c r="E576" s="28"/>
      <c r="F576" s="25"/>
      <c r="G576" s="25"/>
      <c r="H576" s="25"/>
    </row>
    <row r="577">
      <c r="A577" s="25"/>
      <c r="B577" s="99"/>
      <c r="C577" s="99"/>
      <c r="D577" s="25"/>
      <c r="E577" s="28"/>
      <c r="F577" s="25"/>
      <c r="G577" s="25"/>
      <c r="H577" s="25"/>
    </row>
    <row r="578">
      <c r="A578" s="25"/>
      <c r="B578" s="99"/>
      <c r="C578" s="99"/>
      <c r="D578" s="25"/>
      <c r="E578" s="28"/>
      <c r="F578" s="25"/>
      <c r="G578" s="25"/>
      <c r="H578" s="25"/>
    </row>
    <row r="579">
      <c r="A579" s="25"/>
      <c r="B579" s="99"/>
      <c r="C579" s="99"/>
      <c r="D579" s="25"/>
      <c r="E579" s="28"/>
      <c r="F579" s="25"/>
      <c r="G579" s="25"/>
      <c r="H579" s="25"/>
    </row>
    <row r="580">
      <c r="A580" s="25"/>
      <c r="B580" s="99"/>
      <c r="C580" s="99"/>
      <c r="D580" s="25"/>
      <c r="E580" s="28"/>
      <c r="F580" s="25"/>
      <c r="G580" s="25"/>
      <c r="H580" s="25"/>
    </row>
    <row r="581">
      <c r="A581" s="25"/>
      <c r="B581" s="99"/>
      <c r="C581" s="99"/>
      <c r="D581" s="25"/>
      <c r="E581" s="28"/>
      <c r="F581" s="25"/>
      <c r="G581" s="25"/>
      <c r="H581" s="25"/>
    </row>
    <row r="582">
      <c r="A582" s="25"/>
      <c r="B582" s="99"/>
      <c r="C582" s="99"/>
      <c r="D582" s="25"/>
      <c r="E582" s="28"/>
      <c r="F582" s="25"/>
      <c r="G582" s="25"/>
      <c r="H582" s="25"/>
    </row>
    <row r="583">
      <c r="A583" s="25"/>
      <c r="B583" s="99"/>
      <c r="C583" s="99"/>
      <c r="D583" s="25"/>
      <c r="E583" s="28"/>
      <c r="F583" s="25"/>
      <c r="G583" s="25"/>
      <c r="H583" s="25"/>
    </row>
    <row r="584">
      <c r="A584" s="25"/>
      <c r="B584" s="99"/>
      <c r="C584" s="99"/>
      <c r="D584" s="25"/>
      <c r="E584" s="28"/>
      <c r="F584" s="25"/>
      <c r="G584" s="25"/>
      <c r="H584" s="25"/>
    </row>
    <row r="585">
      <c r="A585" s="25"/>
      <c r="B585" s="99"/>
      <c r="C585" s="99"/>
      <c r="D585" s="25"/>
      <c r="E585" s="28"/>
      <c r="F585" s="25"/>
      <c r="G585" s="25"/>
      <c r="H585" s="25"/>
    </row>
    <row r="586">
      <c r="A586" s="25"/>
      <c r="B586" s="99"/>
      <c r="C586" s="99"/>
      <c r="D586" s="25"/>
      <c r="E586" s="28"/>
      <c r="F586" s="25"/>
      <c r="G586" s="25"/>
      <c r="H586" s="25"/>
    </row>
    <row r="587">
      <c r="A587" s="25"/>
      <c r="B587" s="99"/>
      <c r="C587" s="99"/>
      <c r="D587" s="25"/>
      <c r="E587" s="28"/>
      <c r="F587" s="25"/>
      <c r="G587" s="25"/>
      <c r="H587" s="25"/>
    </row>
    <row r="588">
      <c r="A588" s="25"/>
      <c r="B588" s="99"/>
      <c r="C588" s="99"/>
      <c r="D588" s="25"/>
      <c r="E588" s="28"/>
      <c r="F588" s="25"/>
      <c r="G588" s="25"/>
      <c r="H588" s="25"/>
    </row>
    <row r="589">
      <c r="A589" s="25"/>
      <c r="B589" s="99"/>
      <c r="C589" s="99"/>
      <c r="D589" s="25"/>
      <c r="E589" s="28"/>
      <c r="F589" s="25"/>
      <c r="G589" s="25"/>
      <c r="H589" s="25"/>
    </row>
    <row r="590">
      <c r="A590" s="25"/>
      <c r="B590" s="99"/>
      <c r="C590" s="99"/>
      <c r="D590" s="25"/>
      <c r="E590" s="28"/>
      <c r="F590" s="25"/>
      <c r="G590" s="25"/>
      <c r="H590" s="25"/>
    </row>
    <row r="591">
      <c r="A591" s="25"/>
      <c r="B591" s="99"/>
      <c r="C591" s="99"/>
      <c r="D591" s="25"/>
      <c r="E591" s="28"/>
      <c r="F591" s="25"/>
      <c r="G591" s="25"/>
      <c r="H591" s="25"/>
    </row>
    <row r="592">
      <c r="A592" s="25"/>
      <c r="B592" s="99"/>
      <c r="C592" s="99"/>
      <c r="D592" s="25"/>
      <c r="E592" s="28"/>
      <c r="F592" s="25"/>
      <c r="G592" s="25"/>
      <c r="H592" s="25"/>
    </row>
    <row r="593">
      <c r="A593" s="25"/>
      <c r="B593" s="99"/>
      <c r="C593" s="99"/>
      <c r="D593" s="25"/>
      <c r="E593" s="28"/>
      <c r="F593" s="25"/>
      <c r="G593" s="25"/>
      <c r="H593" s="25"/>
    </row>
    <row r="594">
      <c r="A594" s="25"/>
      <c r="B594" s="99"/>
      <c r="C594" s="99"/>
      <c r="D594" s="25"/>
      <c r="E594" s="28"/>
      <c r="F594" s="25"/>
      <c r="G594" s="25"/>
      <c r="H594" s="25"/>
    </row>
    <row r="595">
      <c r="A595" s="25"/>
      <c r="B595" s="99"/>
      <c r="C595" s="99"/>
      <c r="D595" s="25"/>
      <c r="E595" s="28"/>
      <c r="F595" s="25"/>
      <c r="G595" s="25"/>
      <c r="H595" s="25"/>
    </row>
    <row r="596">
      <c r="A596" s="25"/>
      <c r="B596" s="99"/>
      <c r="C596" s="99"/>
      <c r="D596" s="25"/>
      <c r="E596" s="28"/>
      <c r="F596" s="25"/>
      <c r="G596" s="25"/>
      <c r="H596" s="25"/>
    </row>
    <row r="597">
      <c r="A597" s="25"/>
      <c r="B597" s="99"/>
      <c r="C597" s="99"/>
      <c r="D597" s="25"/>
      <c r="E597" s="28"/>
      <c r="F597" s="25"/>
      <c r="G597" s="25"/>
      <c r="H597" s="25"/>
    </row>
    <row r="598">
      <c r="A598" s="25"/>
      <c r="B598" s="99"/>
      <c r="C598" s="99"/>
      <c r="D598" s="25"/>
      <c r="E598" s="28"/>
      <c r="F598" s="25"/>
      <c r="G598" s="25"/>
      <c r="H598" s="25"/>
    </row>
    <row r="599">
      <c r="A599" s="25"/>
      <c r="B599" s="99"/>
      <c r="C599" s="99"/>
      <c r="D599" s="25"/>
      <c r="E599" s="28"/>
      <c r="F599" s="25"/>
      <c r="G599" s="25"/>
      <c r="H599" s="25"/>
    </row>
    <row r="600">
      <c r="A600" s="25"/>
      <c r="B600" s="99"/>
      <c r="C600" s="99"/>
      <c r="D600" s="25"/>
      <c r="E600" s="28"/>
      <c r="F600" s="25"/>
      <c r="G600" s="25"/>
      <c r="H600" s="25"/>
    </row>
    <row r="601">
      <c r="A601" s="25"/>
      <c r="B601" s="99"/>
      <c r="C601" s="99"/>
      <c r="D601" s="25"/>
      <c r="E601" s="28"/>
      <c r="F601" s="25"/>
      <c r="G601" s="25"/>
      <c r="H601" s="25"/>
    </row>
    <row r="602">
      <c r="A602" s="25"/>
      <c r="B602" s="99"/>
      <c r="C602" s="99"/>
      <c r="D602" s="25"/>
      <c r="E602" s="28"/>
      <c r="F602" s="25"/>
      <c r="G602" s="25"/>
      <c r="H602" s="25"/>
    </row>
    <row r="603">
      <c r="A603" s="25"/>
      <c r="B603" s="99"/>
      <c r="C603" s="99"/>
      <c r="D603" s="25"/>
      <c r="E603" s="28"/>
      <c r="F603" s="25"/>
      <c r="G603" s="25"/>
      <c r="H603" s="25"/>
    </row>
    <row r="604">
      <c r="A604" s="25"/>
      <c r="B604" s="99"/>
      <c r="C604" s="99"/>
      <c r="D604" s="25"/>
      <c r="E604" s="28"/>
      <c r="F604" s="25"/>
      <c r="G604" s="25"/>
      <c r="H604" s="25"/>
    </row>
    <row r="605">
      <c r="A605" s="25"/>
      <c r="B605" s="99"/>
      <c r="C605" s="99"/>
      <c r="D605" s="25"/>
      <c r="E605" s="28"/>
      <c r="F605" s="25"/>
      <c r="G605" s="25"/>
      <c r="H605" s="25"/>
    </row>
    <row r="606">
      <c r="A606" s="25"/>
      <c r="B606" s="99"/>
      <c r="C606" s="99"/>
      <c r="D606" s="25"/>
      <c r="E606" s="28"/>
      <c r="F606" s="25"/>
      <c r="G606" s="25"/>
      <c r="H606" s="25"/>
    </row>
    <row r="607">
      <c r="A607" s="25"/>
      <c r="B607" s="99"/>
      <c r="C607" s="99"/>
      <c r="D607" s="25"/>
      <c r="E607" s="28"/>
      <c r="F607" s="25"/>
      <c r="G607" s="25"/>
      <c r="H607" s="25"/>
    </row>
    <row r="608">
      <c r="A608" s="25"/>
      <c r="B608" s="99"/>
      <c r="C608" s="99"/>
      <c r="D608" s="25"/>
      <c r="E608" s="28"/>
      <c r="F608" s="25"/>
      <c r="G608" s="25"/>
      <c r="H608" s="25"/>
    </row>
    <row r="609">
      <c r="A609" s="25"/>
      <c r="B609" s="99"/>
      <c r="C609" s="99"/>
      <c r="D609" s="25"/>
      <c r="E609" s="28"/>
      <c r="F609" s="25"/>
      <c r="G609" s="25"/>
      <c r="H609" s="25"/>
    </row>
    <row r="610">
      <c r="A610" s="25"/>
      <c r="B610" s="99"/>
      <c r="C610" s="99"/>
      <c r="D610" s="25"/>
      <c r="E610" s="28"/>
      <c r="F610" s="25"/>
      <c r="G610" s="25"/>
      <c r="H610" s="25"/>
    </row>
    <row r="611">
      <c r="A611" s="25"/>
      <c r="B611" s="99"/>
      <c r="C611" s="99"/>
      <c r="D611" s="25"/>
      <c r="E611" s="28"/>
      <c r="F611" s="25"/>
      <c r="G611" s="25"/>
      <c r="H611" s="25"/>
    </row>
    <row r="612">
      <c r="A612" s="25"/>
      <c r="B612" s="99"/>
      <c r="C612" s="99"/>
      <c r="D612" s="25"/>
      <c r="E612" s="28"/>
      <c r="F612" s="25"/>
      <c r="G612" s="25"/>
      <c r="H612" s="25"/>
    </row>
    <row r="613">
      <c r="A613" s="25"/>
      <c r="B613" s="99"/>
      <c r="C613" s="99"/>
      <c r="D613" s="25"/>
      <c r="E613" s="28"/>
      <c r="F613" s="25"/>
      <c r="G613" s="25"/>
      <c r="H613" s="25"/>
    </row>
    <row r="614">
      <c r="A614" s="25"/>
      <c r="B614" s="99"/>
      <c r="C614" s="99"/>
      <c r="D614" s="25"/>
      <c r="E614" s="28"/>
      <c r="F614" s="25"/>
      <c r="G614" s="25"/>
      <c r="H614" s="25"/>
    </row>
    <row r="615">
      <c r="A615" s="25"/>
      <c r="B615" s="99"/>
      <c r="C615" s="99"/>
      <c r="D615" s="25"/>
      <c r="E615" s="28"/>
      <c r="F615" s="25"/>
      <c r="G615" s="25"/>
      <c r="H615" s="25"/>
    </row>
    <row r="616">
      <c r="A616" s="25"/>
      <c r="B616" s="99"/>
      <c r="C616" s="99"/>
      <c r="D616" s="25"/>
      <c r="E616" s="28"/>
      <c r="F616" s="25"/>
      <c r="G616" s="25"/>
      <c r="H616" s="25"/>
    </row>
    <row r="617">
      <c r="A617" s="25"/>
      <c r="B617" s="99"/>
      <c r="C617" s="99"/>
      <c r="D617" s="25"/>
      <c r="E617" s="28"/>
      <c r="F617" s="25"/>
      <c r="G617" s="25"/>
      <c r="H617" s="25"/>
    </row>
    <row r="618">
      <c r="A618" s="25"/>
      <c r="B618" s="99"/>
      <c r="C618" s="99"/>
      <c r="D618" s="25"/>
      <c r="E618" s="28"/>
      <c r="F618" s="25"/>
      <c r="G618" s="25"/>
      <c r="H618" s="25"/>
    </row>
    <row r="619">
      <c r="A619" s="25"/>
      <c r="B619" s="99"/>
      <c r="C619" s="99"/>
      <c r="D619" s="25"/>
      <c r="E619" s="28"/>
      <c r="F619" s="25"/>
      <c r="G619" s="25"/>
      <c r="H619" s="25"/>
    </row>
    <row r="620">
      <c r="A620" s="25"/>
      <c r="B620" s="99"/>
      <c r="C620" s="99"/>
      <c r="D620" s="25"/>
      <c r="E620" s="28"/>
      <c r="F620" s="25"/>
      <c r="G620" s="25"/>
      <c r="H620" s="25"/>
    </row>
    <row r="621">
      <c r="A621" s="25"/>
      <c r="B621" s="99"/>
      <c r="C621" s="99"/>
      <c r="D621" s="25"/>
      <c r="E621" s="28"/>
      <c r="F621" s="25"/>
      <c r="G621" s="25"/>
      <c r="H621" s="25"/>
    </row>
    <row r="622">
      <c r="A622" s="25"/>
      <c r="B622" s="99"/>
      <c r="C622" s="99"/>
      <c r="D622" s="25"/>
      <c r="E622" s="28"/>
      <c r="F622" s="25"/>
      <c r="G622" s="25"/>
      <c r="H622" s="25"/>
    </row>
    <row r="623">
      <c r="A623" s="25"/>
      <c r="B623" s="99"/>
      <c r="C623" s="99"/>
      <c r="D623" s="25"/>
      <c r="E623" s="28"/>
      <c r="F623" s="25"/>
      <c r="G623" s="25"/>
      <c r="H623" s="25"/>
    </row>
    <row r="624">
      <c r="A624" s="25"/>
      <c r="B624" s="99"/>
      <c r="C624" s="99"/>
      <c r="D624" s="25"/>
      <c r="E624" s="28"/>
      <c r="F624" s="25"/>
      <c r="G624" s="25"/>
      <c r="H624" s="25"/>
    </row>
    <row r="625">
      <c r="A625" s="25"/>
      <c r="B625" s="99"/>
      <c r="C625" s="99"/>
      <c r="D625" s="25"/>
      <c r="E625" s="28"/>
      <c r="F625" s="25"/>
      <c r="G625" s="25"/>
      <c r="H625" s="25"/>
    </row>
    <row r="626">
      <c r="A626" s="25"/>
      <c r="B626" s="99"/>
      <c r="C626" s="99"/>
      <c r="D626" s="25"/>
      <c r="E626" s="28"/>
      <c r="F626" s="25"/>
      <c r="G626" s="25"/>
      <c r="H626" s="25"/>
    </row>
    <row r="627">
      <c r="A627" s="25"/>
      <c r="B627" s="99"/>
      <c r="C627" s="99"/>
      <c r="D627" s="25"/>
      <c r="E627" s="28"/>
      <c r="F627" s="25"/>
      <c r="G627" s="25"/>
      <c r="H627" s="25"/>
    </row>
    <row r="628">
      <c r="A628" s="25"/>
      <c r="B628" s="99"/>
      <c r="C628" s="99"/>
      <c r="D628" s="25"/>
      <c r="E628" s="28"/>
      <c r="F628" s="25"/>
      <c r="G628" s="25"/>
      <c r="H628" s="25"/>
    </row>
    <row r="629">
      <c r="A629" s="25"/>
      <c r="B629" s="99"/>
      <c r="C629" s="99"/>
      <c r="D629" s="25"/>
      <c r="E629" s="28"/>
      <c r="F629" s="25"/>
      <c r="G629" s="25"/>
      <c r="H629" s="25"/>
    </row>
    <row r="630">
      <c r="A630" s="25"/>
      <c r="B630" s="99"/>
      <c r="C630" s="99"/>
      <c r="D630" s="25"/>
      <c r="E630" s="28"/>
      <c r="F630" s="25"/>
      <c r="G630" s="25"/>
      <c r="H630" s="25"/>
    </row>
    <row r="631">
      <c r="A631" s="25"/>
      <c r="B631" s="99"/>
      <c r="C631" s="99"/>
      <c r="D631" s="25"/>
      <c r="E631" s="28"/>
      <c r="F631" s="25"/>
      <c r="G631" s="25"/>
      <c r="H631" s="25"/>
    </row>
    <row r="632">
      <c r="A632" s="25"/>
      <c r="B632" s="99"/>
      <c r="C632" s="99"/>
      <c r="D632" s="25"/>
      <c r="E632" s="28"/>
      <c r="F632" s="25"/>
      <c r="G632" s="25"/>
      <c r="H632" s="25"/>
    </row>
    <row r="633">
      <c r="A633" s="25"/>
      <c r="B633" s="99"/>
      <c r="C633" s="99"/>
      <c r="D633" s="25"/>
      <c r="E633" s="28"/>
      <c r="F633" s="25"/>
      <c r="G633" s="25"/>
      <c r="H633" s="25"/>
    </row>
    <row r="634">
      <c r="A634" s="25"/>
      <c r="B634" s="99"/>
      <c r="C634" s="99"/>
      <c r="D634" s="25"/>
      <c r="E634" s="28"/>
      <c r="F634" s="25"/>
      <c r="G634" s="25"/>
      <c r="H634" s="25"/>
    </row>
    <row r="635">
      <c r="A635" s="25"/>
      <c r="B635" s="99"/>
      <c r="C635" s="99"/>
      <c r="D635" s="25"/>
      <c r="E635" s="28"/>
      <c r="F635" s="25"/>
      <c r="G635" s="25"/>
      <c r="H635" s="25"/>
    </row>
    <row r="636">
      <c r="A636" s="25"/>
      <c r="B636" s="99"/>
      <c r="C636" s="99"/>
      <c r="D636" s="25"/>
      <c r="E636" s="28"/>
      <c r="F636" s="25"/>
      <c r="G636" s="25"/>
      <c r="H636" s="25"/>
    </row>
    <row r="637">
      <c r="A637" s="25"/>
      <c r="B637" s="99"/>
      <c r="C637" s="99"/>
      <c r="D637" s="25"/>
      <c r="E637" s="28"/>
      <c r="F637" s="25"/>
      <c r="G637" s="25"/>
      <c r="H637" s="25"/>
    </row>
    <row r="638">
      <c r="A638" s="25"/>
      <c r="B638" s="99"/>
      <c r="C638" s="99"/>
      <c r="D638" s="25"/>
      <c r="E638" s="28"/>
      <c r="F638" s="25"/>
      <c r="G638" s="25"/>
      <c r="H638" s="25"/>
    </row>
    <row r="639">
      <c r="A639" s="25"/>
      <c r="B639" s="99"/>
      <c r="C639" s="99"/>
      <c r="D639" s="25"/>
      <c r="E639" s="28"/>
      <c r="F639" s="25"/>
      <c r="G639" s="25"/>
      <c r="H639" s="25"/>
    </row>
    <row r="640">
      <c r="A640" s="25"/>
      <c r="B640" s="99"/>
      <c r="C640" s="99"/>
      <c r="D640" s="25"/>
      <c r="E640" s="28"/>
      <c r="F640" s="25"/>
      <c r="G640" s="25"/>
      <c r="H640" s="25"/>
    </row>
    <row r="641">
      <c r="A641" s="25"/>
      <c r="B641" s="99"/>
      <c r="C641" s="99"/>
      <c r="D641" s="25"/>
      <c r="E641" s="28"/>
      <c r="F641" s="25"/>
      <c r="G641" s="25"/>
      <c r="H641" s="25"/>
    </row>
    <row r="642">
      <c r="A642" s="25"/>
      <c r="B642" s="99"/>
      <c r="C642" s="99"/>
      <c r="D642" s="25"/>
      <c r="E642" s="28"/>
      <c r="F642" s="25"/>
      <c r="G642" s="25"/>
      <c r="H642" s="25"/>
    </row>
    <row r="643">
      <c r="A643" s="25"/>
      <c r="B643" s="99"/>
      <c r="C643" s="99"/>
      <c r="D643" s="25"/>
      <c r="E643" s="28"/>
      <c r="F643" s="25"/>
      <c r="G643" s="25"/>
      <c r="H643" s="25"/>
    </row>
    <row r="644">
      <c r="A644" s="25"/>
      <c r="B644" s="99"/>
      <c r="C644" s="99"/>
      <c r="D644" s="25"/>
      <c r="E644" s="28"/>
      <c r="F644" s="25"/>
      <c r="G644" s="25"/>
      <c r="H644" s="25"/>
    </row>
    <row r="645">
      <c r="A645" s="25"/>
      <c r="B645" s="99"/>
      <c r="C645" s="99"/>
      <c r="D645" s="25"/>
      <c r="E645" s="28"/>
      <c r="F645" s="25"/>
      <c r="G645" s="25"/>
      <c r="H645" s="25"/>
    </row>
    <row r="646">
      <c r="A646" s="25"/>
      <c r="B646" s="99"/>
      <c r="C646" s="99"/>
      <c r="D646" s="25"/>
      <c r="E646" s="28"/>
      <c r="F646" s="25"/>
      <c r="G646" s="25"/>
      <c r="H646" s="25"/>
    </row>
    <row r="647">
      <c r="A647" s="25"/>
      <c r="B647" s="99"/>
      <c r="C647" s="99"/>
      <c r="D647" s="25"/>
      <c r="E647" s="28"/>
      <c r="F647" s="25"/>
      <c r="G647" s="25"/>
      <c r="H647" s="25"/>
    </row>
    <row r="648">
      <c r="A648" s="25"/>
      <c r="B648" s="99"/>
      <c r="C648" s="99"/>
      <c r="D648" s="25"/>
      <c r="E648" s="28"/>
      <c r="F648" s="25"/>
      <c r="G648" s="25"/>
      <c r="H648" s="25"/>
    </row>
    <row r="649">
      <c r="A649" s="25"/>
      <c r="B649" s="99"/>
      <c r="C649" s="99"/>
      <c r="D649" s="25"/>
      <c r="E649" s="28"/>
      <c r="F649" s="25"/>
      <c r="G649" s="25"/>
      <c r="H649" s="25"/>
    </row>
    <row r="650">
      <c r="A650" s="25"/>
      <c r="B650" s="99"/>
      <c r="C650" s="99"/>
      <c r="D650" s="25"/>
      <c r="E650" s="28"/>
      <c r="F650" s="25"/>
      <c r="G650" s="25"/>
      <c r="H650" s="25"/>
    </row>
    <row r="651">
      <c r="A651" s="25"/>
      <c r="B651" s="99"/>
      <c r="C651" s="99"/>
      <c r="D651" s="25"/>
      <c r="E651" s="28"/>
      <c r="F651" s="25"/>
      <c r="G651" s="25"/>
      <c r="H651" s="25"/>
    </row>
    <row r="652">
      <c r="A652" s="25"/>
      <c r="B652" s="99"/>
      <c r="C652" s="99"/>
      <c r="D652" s="25"/>
      <c r="E652" s="28"/>
      <c r="F652" s="25"/>
      <c r="G652" s="25"/>
      <c r="H652" s="25"/>
    </row>
    <row r="653">
      <c r="A653" s="25"/>
      <c r="B653" s="99"/>
      <c r="C653" s="99"/>
      <c r="D653" s="25"/>
      <c r="E653" s="28"/>
      <c r="F653" s="25"/>
      <c r="G653" s="25"/>
      <c r="H653" s="25"/>
    </row>
    <row r="654">
      <c r="A654" s="25"/>
      <c r="B654" s="99"/>
      <c r="C654" s="99"/>
      <c r="D654" s="25"/>
      <c r="E654" s="28"/>
      <c r="F654" s="25"/>
      <c r="G654" s="25"/>
      <c r="H654" s="25"/>
    </row>
    <row r="655">
      <c r="A655" s="25"/>
      <c r="B655" s="99"/>
      <c r="C655" s="99"/>
      <c r="D655" s="25"/>
      <c r="E655" s="28"/>
      <c r="F655" s="25"/>
      <c r="G655" s="25"/>
      <c r="H655" s="25"/>
    </row>
    <row r="656">
      <c r="A656" s="25"/>
      <c r="B656" s="99"/>
      <c r="C656" s="99"/>
      <c r="D656" s="25"/>
      <c r="E656" s="28"/>
      <c r="F656" s="25"/>
      <c r="G656" s="25"/>
      <c r="H656" s="25"/>
    </row>
    <row r="657">
      <c r="A657" s="25"/>
      <c r="B657" s="99"/>
      <c r="C657" s="99"/>
      <c r="D657" s="25"/>
      <c r="E657" s="28"/>
      <c r="F657" s="25"/>
      <c r="G657" s="25"/>
      <c r="H657" s="25"/>
    </row>
    <row r="658">
      <c r="A658" s="25"/>
      <c r="B658" s="99"/>
      <c r="C658" s="99"/>
      <c r="D658" s="25"/>
      <c r="E658" s="28"/>
      <c r="F658" s="25"/>
      <c r="G658" s="25"/>
      <c r="H658" s="25"/>
    </row>
    <row r="659">
      <c r="A659" s="25"/>
      <c r="B659" s="99"/>
      <c r="C659" s="99"/>
      <c r="D659" s="25"/>
      <c r="E659" s="28"/>
      <c r="F659" s="25"/>
      <c r="G659" s="25"/>
      <c r="H659" s="25"/>
    </row>
    <row r="660">
      <c r="A660" s="25"/>
      <c r="B660" s="99"/>
      <c r="C660" s="99"/>
      <c r="D660" s="25"/>
      <c r="E660" s="28"/>
      <c r="F660" s="25"/>
      <c r="G660" s="25"/>
      <c r="H660" s="25"/>
    </row>
    <row r="661">
      <c r="A661" s="25"/>
      <c r="B661" s="99"/>
      <c r="C661" s="99"/>
      <c r="D661" s="25"/>
      <c r="E661" s="28"/>
      <c r="F661" s="25"/>
      <c r="G661" s="25"/>
      <c r="H661" s="25"/>
    </row>
    <row r="662">
      <c r="A662" s="25"/>
      <c r="B662" s="99"/>
      <c r="C662" s="99"/>
      <c r="D662" s="25"/>
      <c r="E662" s="28"/>
      <c r="F662" s="25"/>
      <c r="G662" s="25"/>
      <c r="H662" s="25"/>
    </row>
    <row r="663">
      <c r="A663" s="25"/>
      <c r="B663" s="99"/>
      <c r="C663" s="99"/>
      <c r="D663" s="25"/>
      <c r="E663" s="28"/>
      <c r="F663" s="25"/>
      <c r="G663" s="25"/>
      <c r="H663" s="25"/>
    </row>
    <row r="664">
      <c r="A664" s="25"/>
      <c r="B664" s="99"/>
      <c r="C664" s="99"/>
      <c r="D664" s="25"/>
      <c r="E664" s="28"/>
      <c r="F664" s="25"/>
      <c r="G664" s="25"/>
      <c r="H664" s="25"/>
    </row>
    <row r="665">
      <c r="A665" s="25"/>
      <c r="B665" s="99"/>
      <c r="C665" s="99"/>
      <c r="D665" s="25"/>
      <c r="E665" s="28"/>
      <c r="F665" s="25"/>
      <c r="G665" s="25"/>
      <c r="H665" s="25"/>
    </row>
    <row r="666">
      <c r="A666" s="25"/>
      <c r="B666" s="99"/>
      <c r="C666" s="99"/>
      <c r="D666" s="25"/>
      <c r="E666" s="28"/>
      <c r="F666" s="25"/>
      <c r="G666" s="25"/>
      <c r="H666" s="25"/>
    </row>
    <row r="667">
      <c r="A667" s="25"/>
      <c r="B667" s="99"/>
      <c r="C667" s="99"/>
      <c r="D667" s="25"/>
      <c r="E667" s="28"/>
      <c r="F667" s="25"/>
      <c r="G667" s="25"/>
      <c r="H667" s="25"/>
    </row>
    <row r="668">
      <c r="A668" s="25"/>
      <c r="B668" s="99"/>
      <c r="C668" s="99"/>
      <c r="D668" s="25"/>
      <c r="E668" s="28"/>
      <c r="F668" s="25"/>
      <c r="G668" s="25"/>
      <c r="H668" s="25"/>
    </row>
    <row r="669">
      <c r="A669" s="25"/>
      <c r="B669" s="99"/>
      <c r="C669" s="99"/>
      <c r="D669" s="25"/>
      <c r="E669" s="28"/>
      <c r="F669" s="25"/>
      <c r="G669" s="25"/>
      <c r="H669" s="25"/>
    </row>
    <row r="670">
      <c r="A670" s="25"/>
      <c r="B670" s="99"/>
      <c r="C670" s="99"/>
      <c r="D670" s="25"/>
      <c r="E670" s="28"/>
      <c r="F670" s="25"/>
      <c r="G670" s="25"/>
      <c r="H670" s="25"/>
    </row>
    <row r="671">
      <c r="A671" s="25"/>
      <c r="B671" s="99"/>
      <c r="C671" s="99"/>
      <c r="D671" s="25"/>
      <c r="E671" s="28"/>
      <c r="F671" s="25"/>
      <c r="G671" s="25"/>
      <c r="H671" s="25"/>
    </row>
    <row r="672">
      <c r="A672" s="25"/>
      <c r="B672" s="99"/>
      <c r="C672" s="99"/>
      <c r="D672" s="25"/>
      <c r="E672" s="28"/>
      <c r="F672" s="25"/>
      <c r="G672" s="25"/>
      <c r="H672" s="25"/>
    </row>
    <row r="673">
      <c r="A673" s="25"/>
      <c r="B673" s="99"/>
      <c r="C673" s="99"/>
      <c r="D673" s="25"/>
      <c r="E673" s="28"/>
      <c r="F673" s="25"/>
      <c r="G673" s="25"/>
      <c r="H673" s="25"/>
    </row>
    <row r="674">
      <c r="A674" s="25"/>
      <c r="B674" s="99"/>
      <c r="C674" s="99"/>
      <c r="D674" s="25"/>
      <c r="E674" s="28"/>
      <c r="F674" s="25"/>
      <c r="G674" s="25"/>
      <c r="H674" s="25"/>
    </row>
    <row r="675">
      <c r="A675" s="25"/>
      <c r="B675" s="99"/>
      <c r="C675" s="99"/>
      <c r="D675" s="25"/>
      <c r="E675" s="28"/>
      <c r="F675" s="25"/>
      <c r="G675" s="25"/>
      <c r="H675" s="25"/>
    </row>
    <row r="676">
      <c r="A676" s="25"/>
      <c r="B676" s="99"/>
      <c r="C676" s="99"/>
      <c r="D676" s="25"/>
      <c r="E676" s="28"/>
      <c r="F676" s="25"/>
      <c r="G676" s="25"/>
      <c r="H676" s="25"/>
    </row>
    <row r="677">
      <c r="A677" s="25"/>
      <c r="B677" s="99"/>
      <c r="C677" s="99"/>
      <c r="D677" s="25"/>
      <c r="E677" s="28"/>
      <c r="F677" s="25"/>
      <c r="G677" s="25"/>
      <c r="H677" s="25"/>
    </row>
    <row r="678">
      <c r="A678" s="25"/>
      <c r="B678" s="99"/>
      <c r="C678" s="99"/>
      <c r="D678" s="25"/>
      <c r="E678" s="28"/>
      <c r="F678" s="25"/>
      <c r="G678" s="25"/>
      <c r="H678" s="25"/>
    </row>
    <row r="679">
      <c r="A679" s="25"/>
      <c r="B679" s="99"/>
      <c r="C679" s="99"/>
      <c r="D679" s="25"/>
      <c r="E679" s="28"/>
      <c r="F679" s="25"/>
      <c r="G679" s="25"/>
      <c r="H679" s="25"/>
    </row>
    <row r="680">
      <c r="A680" s="25"/>
      <c r="B680" s="99"/>
      <c r="C680" s="99"/>
      <c r="D680" s="25"/>
      <c r="E680" s="28"/>
      <c r="F680" s="25"/>
      <c r="G680" s="25"/>
      <c r="H680" s="25"/>
    </row>
    <row r="681">
      <c r="A681" s="25"/>
      <c r="B681" s="99"/>
      <c r="C681" s="99"/>
      <c r="D681" s="25"/>
      <c r="E681" s="28"/>
      <c r="F681" s="25"/>
      <c r="G681" s="25"/>
      <c r="H681" s="25"/>
    </row>
    <row r="682">
      <c r="A682" s="25"/>
      <c r="B682" s="99"/>
      <c r="C682" s="99"/>
      <c r="D682" s="25"/>
      <c r="E682" s="28"/>
      <c r="F682" s="25"/>
      <c r="G682" s="25"/>
      <c r="H682" s="25"/>
    </row>
    <row r="683">
      <c r="A683" s="25"/>
      <c r="B683" s="99"/>
      <c r="C683" s="99"/>
      <c r="D683" s="25"/>
      <c r="E683" s="28"/>
      <c r="F683" s="25"/>
      <c r="G683" s="25"/>
      <c r="H683" s="25"/>
    </row>
    <row r="684">
      <c r="A684" s="25"/>
      <c r="B684" s="99"/>
      <c r="C684" s="99"/>
      <c r="D684" s="25"/>
      <c r="E684" s="28"/>
      <c r="F684" s="25"/>
      <c r="G684" s="25"/>
      <c r="H684" s="25"/>
    </row>
    <row r="685">
      <c r="A685" s="25"/>
      <c r="B685" s="99"/>
      <c r="C685" s="99"/>
      <c r="D685" s="25"/>
      <c r="E685" s="28"/>
      <c r="F685" s="25"/>
      <c r="G685" s="25"/>
      <c r="H685" s="25"/>
    </row>
    <row r="686">
      <c r="A686" s="25"/>
      <c r="B686" s="99"/>
      <c r="C686" s="99"/>
      <c r="D686" s="25"/>
      <c r="E686" s="28"/>
      <c r="F686" s="25"/>
      <c r="G686" s="25"/>
      <c r="H686" s="25"/>
    </row>
    <row r="687">
      <c r="A687" s="25"/>
      <c r="B687" s="99"/>
      <c r="C687" s="99"/>
      <c r="D687" s="25"/>
      <c r="E687" s="28"/>
      <c r="F687" s="25"/>
      <c r="G687" s="25"/>
      <c r="H687" s="25"/>
    </row>
    <row r="688">
      <c r="A688" s="25"/>
      <c r="B688" s="99"/>
      <c r="C688" s="99"/>
      <c r="D688" s="25"/>
      <c r="E688" s="28"/>
      <c r="F688" s="25"/>
      <c r="G688" s="25"/>
      <c r="H688" s="25"/>
    </row>
    <row r="689">
      <c r="A689" s="25"/>
      <c r="B689" s="99"/>
      <c r="C689" s="99"/>
      <c r="D689" s="25"/>
      <c r="E689" s="28"/>
      <c r="F689" s="25"/>
      <c r="G689" s="25"/>
      <c r="H689" s="25"/>
    </row>
    <row r="690">
      <c r="A690" s="25"/>
      <c r="B690" s="99"/>
      <c r="C690" s="99"/>
      <c r="D690" s="25"/>
      <c r="E690" s="28"/>
      <c r="F690" s="25"/>
      <c r="G690" s="25"/>
      <c r="H690" s="25"/>
    </row>
    <row r="691">
      <c r="A691" s="25"/>
      <c r="B691" s="99"/>
      <c r="C691" s="99"/>
      <c r="D691" s="25"/>
      <c r="E691" s="28"/>
      <c r="F691" s="25"/>
      <c r="G691" s="25"/>
      <c r="H691" s="25"/>
    </row>
    <row r="692">
      <c r="A692" s="25"/>
      <c r="B692" s="99"/>
      <c r="C692" s="99"/>
      <c r="D692" s="25"/>
      <c r="E692" s="28"/>
      <c r="F692" s="25"/>
      <c r="G692" s="25"/>
      <c r="H692" s="25"/>
    </row>
    <row r="693">
      <c r="A693" s="25"/>
      <c r="B693" s="99"/>
      <c r="C693" s="99"/>
      <c r="D693" s="25"/>
      <c r="E693" s="28"/>
      <c r="F693" s="25"/>
      <c r="G693" s="25"/>
      <c r="H693" s="25"/>
    </row>
    <row r="694">
      <c r="A694" s="25"/>
      <c r="B694" s="99"/>
      <c r="C694" s="99"/>
      <c r="D694" s="25"/>
      <c r="E694" s="28"/>
      <c r="F694" s="25"/>
      <c r="G694" s="25"/>
      <c r="H694" s="25"/>
    </row>
    <row r="695">
      <c r="A695" s="25"/>
      <c r="B695" s="99"/>
      <c r="C695" s="99"/>
      <c r="D695" s="25"/>
      <c r="E695" s="28"/>
      <c r="F695" s="25"/>
      <c r="G695" s="25"/>
      <c r="H695" s="25"/>
    </row>
    <row r="696">
      <c r="A696" s="25"/>
      <c r="B696" s="99"/>
      <c r="C696" s="99"/>
      <c r="D696" s="25"/>
      <c r="E696" s="28"/>
      <c r="F696" s="25"/>
      <c r="G696" s="25"/>
      <c r="H696" s="25"/>
    </row>
    <row r="697">
      <c r="A697" s="25"/>
      <c r="B697" s="99"/>
      <c r="C697" s="99"/>
      <c r="D697" s="25"/>
      <c r="E697" s="28"/>
      <c r="F697" s="25"/>
      <c r="G697" s="25"/>
      <c r="H697" s="25"/>
    </row>
    <row r="698">
      <c r="A698" s="25"/>
      <c r="B698" s="99"/>
      <c r="C698" s="99"/>
      <c r="D698" s="25"/>
      <c r="E698" s="28"/>
      <c r="F698" s="25"/>
      <c r="G698" s="25"/>
      <c r="H698" s="25"/>
    </row>
    <row r="699">
      <c r="A699" s="25"/>
      <c r="B699" s="99"/>
      <c r="C699" s="99"/>
      <c r="D699" s="25"/>
      <c r="E699" s="28"/>
      <c r="F699" s="25"/>
      <c r="G699" s="25"/>
      <c r="H699" s="25"/>
    </row>
    <row r="700">
      <c r="A700" s="25"/>
      <c r="B700" s="99"/>
      <c r="C700" s="99"/>
      <c r="D700" s="25"/>
      <c r="E700" s="28"/>
      <c r="F700" s="25"/>
      <c r="G700" s="25"/>
      <c r="H700" s="25"/>
    </row>
    <row r="701">
      <c r="A701" s="25"/>
      <c r="B701" s="99"/>
      <c r="C701" s="99"/>
      <c r="D701" s="25"/>
      <c r="E701" s="28"/>
      <c r="F701" s="25"/>
      <c r="G701" s="25"/>
      <c r="H701" s="25"/>
    </row>
    <row r="702">
      <c r="A702" s="25"/>
      <c r="B702" s="99"/>
      <c r="C702" s="99"/>
      <c r="D702" s="25"/>
      <c r="E702" s="28"/>
      <c r="F702" s="25"/>
      <c r="G702" s="25"/>
      <c r="H702" s="25"/>
    </row>
    <row r="703">
      <c r="A703" s="25"/>
      <c r="B703" s="99"/>
      <c r="C703" s="99"/>
      <c r="D703" s="25"/>
      <c r="E703" s="28"/>
      <c r="F703" s="25"/>
      <c r="G703" s="25"/>
      <c r="H703" s="25"/>
    </row>
    <row r="704">
      <c r="A704" s="25"/>
      <c r="B704" s="99"/>
      <c r="C704" s="99"/>
      <c r="D704" s="25"/>
      <c r="E704" s="28"/>
      <c r="F704" s="25"/>
      <c r="G704" s="25"/>
      <c r="H704" s="25"/>
    </row>
    <row r="705">
      <c r="A705" s="25"/>
      <c r="B705" s="99"/>
      <c r="C705" s="99"/>
      <c r="D705" s="25"/>
      <c r="E705" s="28"/>
      <c r="F705" s="25"/>
      <c r="G705" s="25"/>
      <c r="H705" s="25"/>
    </row>
    <row r="706">
      <c r="A706" s="25"/>
      <c r="B706" s="99"/>
      <c r="C706" s="99"/>
      <c r="D706" s="25"/>
      <c r="E706" s="28"/>
      <c r="F706" s="25"/>
      <c r="G706" s="25"/>
      <c r="H706" s="25"/>
    </row>
    <row r="707">
      <c r="A707" s="25"/>
      <c r="B707" s="99"/>
      <c r="C707" s="99"/>
      <c r="D707" s="25"/>
      <c r="E707" s="28"/>
      <c r="F707" s="25"/>
      <c r="G707" s="25"/>
      <c r="H707" s="25"/>
    </row>
    <row r="708">
      <c r="A708" s="25"/>
      <c r="B708" s="99"/>
      <c r="C708" s="99"/>
      <c r="D708" s="25"/>
      <c r="E708" s="28"/>
      <c r="F708" s="25"/>
      <c r="G708" s="25"/>
      <c r="H708" s="25"/>
    </row>
    <row r="709">
      <c r="A709" s="25"/>
      <c r="B709" s="99"/>
      <c r="C709" s="99"/>
      <c r="D709" s="25"/>
      <c r="E709" s="28"/>
      <c r="F709" s="25"/>
      <c r="G709" s="25"/>
      <c r="H709" s="25"/>
    </row>
    <row r="710">
      <c r="A710" s="25"/>
      <c r="B710" s="99"/>
      <c r="C710" s="99"/>
      <c r="D710" s="25"/>
      <c r="E710" s="28"/>
      <c r="F710" s="25"/>
      <c r="G710" s="25"/>
      <c r="H710" s="25"/>
    </row>
    <row r="711">
      <c r="A711" s="25"/>
      <c r="B711" s="99"/>
      <c r="C711" s="99"/>
      <c r="D711" s="25"/>
      <c r="E711" s="28"/>
      <c r="F711" s="25"/>
      <c r="G711" s="25"/>
      <c r="H711" s="25"/>
    </row>
    <row r="712">
      <c r="A712" s="25"/>
      <c r="B712" s="99"/>
      <c r="C712" s="99"/>
      <c r="D712" s="25"/>
      <c r="E712" s="28"/>
      <c r="F712" s="25"/>
      <c r="G712" s="25"/>
      <c r="H712" s="25"/>
    </row>
    <row r="713">
      <c r="A713" s="25"/>
      <c r="B713" s="99"/>
      <c r="C713" s="99"/>
      <c r="D713" s="25"/>
      <c r="E713" s="28"/>
      <c r="F713" s="25"/>
      <c r="G713" s="25"/>
      <c r="H713" s="25"/>
    </row>
    <row r="714">
      <c r="A714" s="25"/>
      <c r="B714" s="99"/>
      <c r="C714" s="99"/>
      <c r="D714" s="25"/>
      <c r="E714" s="28"/>
      <c r="F714" s="25"/>
      <c r="G714" s="25"/>
      <c r="H714" s="25"/>
    </row>
    <row r="715">
      <c r="A715" s="25"/>
      <c r="B715" s="99"/>
      <c r="C715" s="99"/>
      <c r="D715" s="25"/>
      <c r="E715" s="28"/>
      <c r="F715" s="25"/>
      <c r="G715" s="25"/>
      <c r="H715" s="25"/>
    </row>
    <row r="716">
      <c r="A716" s="25"/>
      <c r="B716" s="99"/>
      <c r="C716" s="99"/>
      <c r="D716" s="25"/>
      <c r="E716" s="28"/>
      <c r="F716" s="25"/>
      <c r="G716" s="25"/>
      <c r="H716" s="25"/>
    </row>
    <row r="717">
      <c r="A717" s="25"/>
      <c r="B717" s="99"/>
      <c r="C717" s="99"/>
      <c r="D717" s="25"/>
      <c r="E717" s="28"/>
      <c r="F717" s="25"/>
      <c r="G717" s="25"/>
      <c r="H717" s="25"/>
    </row>
    <row r="718">
      <c r="A718" s="25"/>
      <c r="B718" s="99"/>
      <c r="C718" s="99"/>
      <c r="D718" s="25"/>
      <c r="E718" s="28"/>
      <c r="F718" s="25"/>
      <c r="G718" s="25"/>
      <c r="H718" s="25"/>
    </row>
    <row r="719">
      <c r="A719" s="25"/>
      <c r="B719" s="99"/>
      <c r="C719" s="99"/>
      <c r="D719" s="25"/>
      <c r="E719" s="28"/>
      <c r="F719" s="25"/>
      <c r="G719" s="25"/>
      <c r="H719" s="25"/>
    </row>
    <row r="720">
      <c r="A720" s="25"/>
      <c r="B720" s="99"/>
      <c r="C720" s="99"/>
      <c r="D720" s="25"/>
      <c r="E720" s="28"/>
      <c r="F720" s="25"/>
      <c r="G720" s="25"/>
      <c r="H720" s="25"/>
    </row>
    <row r="721">
      <c r="A721" s="25"/>
      <c r="B721" s="99"/>
      <c r="C721" s="99"/>
      <c r="D721" s="25"/>
      <c r="E721" s="28"/>
      <c r="F721" s="25"/>
      <c r="G721" s="25"/>
      <c r="H721" s="25"/>
    </row>
    <row r="722">
      <c r="A722" s="25"/>
      <c r="B722" s="99"/>
      <c r="C722" s="99"/>
      <c r="D722" s="25"/>
      <c r="E722" s="28"/>
      <c r="F722" s="25"/>
      <c r="G722" s="25"/>
      <c r="H722" s="25"/>
    </row>
    <row r="723">
      <c r="A723" s="25"/>
      <c r="B723" s="99"/>
      <c r="C723" s="99"/>
      <c r="D723" s="25"/>
      <c r="E723" s="28"/>
      <c r="F723" s="25"/>
      <c r="G723" s="25"/>
      <c r="H723" s="25"/>
    </row>
    <row r="724">
      <c r="A724" s="25"/>
      <c r="B724" s="99"/>
      <c r="C724" s="99"/>
      <c r="D724" s="25"/>
      <c r="E724" s="28"/>
      <c r="F724" s="25"/>
      <c r="G724" s="25"/>
      <c r="H724" s="25"/>
    </row>
    <row r="725">
      <c r="A725" s="25"/>
      <c r="B725" s="99"/>
      <c r="C725" s="99"/>
      <c r="D725" s="25"/>
      <c r="E725" s="28"/>
      <c r="F725" s="25"/>
      <c r="G725" s="25"/>
      <c r="H725" s="25"/>
    </row>
    <row r="726">
      <c r="A726" s="25"/>
      <c r="B726" s="99"/>
      <c r="C726" s="99"/>
      <c r="D726" s="25"/>
      <c r="E726" s="28"/>
      <c r="F726" s="25"/>
      <c r="G726" s="25"/>
      <c r="H726" s="25"/>
    </row>
    <row r="727">
      <c r="A727" s="25"/>
      <c r="B727" s="99"/>
      <c r="C727" s="99"/>
      <c r="D727" s="25"/>
      <c r="E727" s="28"/>
      <c r="F727" s="25"/>
      <c r="G727" s="25"/>
      <c r="H727" s="25"/>
    </row>
    <row r="728">
      <c r="A728" s="25"/>
      <c r="B728" s="99"/>
      <c r="C728" s="99"/>
      <c r="D728" s="25"/>
      <c r="E728" s="28"/>
      <c r="F728" s="25"/>
      <c r="G728" s="25"/>
      <c r="H728" s="25"/>
    </row>
    <row r="729">
      <c r="A729" s="25"/>
      <c r="B729" s="99"/>
      <c r="C729" s="99"/>
      <c r="D729" s="25"/>
      <c r="E729" s="28"/>
      <c r="F729" s="25"/>
      <c r="G729" s="25"/>
      <c r="H729" s="25"/>
    </row>
    <row r="730">
      <c r="A730" s="25"/>
      <c r="B730" s="99"/>
      <c r="C730" s="99"/>
      <c r="D730" s="25"/>
      <c r="E730" s="28"/>
      <c r="F730" s="25"/>
      <c r="G730" s="25"/>
      <c r="H730" s="25"/>
    </row>
    <row r="731">
      <c r="A731" s="25"/>
      <c r="B731" s="99"/>
      <c r="C731" s="99"/>
      <c r="D731" s="25"/>
      <c r="E731" s="28"/>
      <c r="F731" s="25"/>
      <c r="G731" s="25"/>
      <c r="H731" s="25"/>
    </row>
    <row r="732">
      <c r="A732" s="25"/>
      <c r="B732" s="99"/>
      <c r="C732" s="99"/>
      <c r="D732" s="25"/>
      <c r="E732" s="28"/>
      <c r="F732" s="25"/>
      <c r="G732" s="25"/>
      <c r="H732" s="25"/>
    </row>
    <row r="733">
      <c r="A733" s="25"/>
      <c r="B733" s="99"/>
      <c r="C733" s="99"/>
      <c r="D733" s="25"/>
      <c r="E733" s="28"/>
      <c r="F733" s="25"/>
      <c r="G733" s="25"/>
      <c r="H733" s="25"/>
    </row>
    <row r="734">
      <c r="A734" s="25"/>
      <c r="B734" s="99"/>
      <c r="C734" s="99"/>
      <c r="D734" s="25"/>
      <c r="E734" s="28"/>
      <c r="F734" s="25"/>
      <c r="G734" s="25"/>
      <c r="H734" s="25"/>
    </row>
    <row r="735">
      <c r="A735" s="25"/>
      <c r="B735" s="99"/>
      <c r="C735" s="99"/>
      <c r="D735" s="25"/>
      <c r="E735" s="28"/>
      <c r="F735" s="25"/>
      <c r="G735" s="25"/>
      <c r="H735" s="25"/>
    </row>
    <row r="736">
      <c r="A736" s="25"/>
      <c r="B736" s="99"/>
      <c r="C736" s="99"/>
      <c r="D736" s="25"/>
      <c r="E736" s="28"/>
      <c r="F736" s="25"/>
      <c r="G736" s="25"/>
      <c r="H736" s="25"/>
    </row>
    <row r="737">
      <c r="A737" s="25"/>
      <c r="B737" s="99"/>
      <c r="C737" s="99"/>
      <c r="D737" s="25"/>
      <c r="E737" s="28"/>
      <c r="F737" s="25"/>
      <c r="G737" s="25"/>
      <c r="H737" s="25"/>
    </row>
    <row r="738">
      <c r="A738" s="25"/>
      <c r="B738" s="99"/>
      <c r="C738" s="99"/>
      <c r="D738" s="25"/>
      <c r="E738" s="28"/>
      <c r="F738" s="25"/>
      <c r="G738" s="25"/>
      <c r="H738" s="25"/>
    </row>
    <row r="739">
      <c r="A739" s="25"/>
      <c r="B739" s="99"/>
      <c r="C739" s="99"/>
      <c r="D739" s="25"/>
      <c r="E739" s="28"/>
      <c r="F739" s="25"/>
      <c r="G739" s="25"/>
      <c r="H739" s="25"/>
    </row>
    <row r="740">
      <c r="A740" s="25"/>
      <c r="B740" s="99"/>
      <c r="C740" s="99"/>
      <c r="D740" s="25"/>
      <c r="E740" s="28"/>
      <c r="F740" s="25"/>
      <c r="G740" s="25"/>
      <c r="H740" s="25"/>
    </row>
    <row r="741">
      <c r="A741" s="25"/>
      <c r="B741" s="99"/>
      <c r="C741" s="99"/>
      <c r="D741" s="25"/>
      <c r="E741" s="28"/>
      <c r="F741" s="25"/>
      <c r="G741" s="25"/>
      <c r="H741" s="25"/>
    </row>
    <row r="742">
      <c r="A742" s="25"/>
      <c r="B742" s="99"/>
      <c r="C742" s="99"/>
      <c r="D742" s="25"/>
      <c r="E742" s="28"/>
      <c r="F742" s="25"/>
      <c r="G742" s="25"/>
      <c r="H742" s="25"/>
    </row>
    <row r="743">
      <c r="A743" s="25"/>
      <c r="B743" s="99"/>
      <c r="C743" s="99"/>
      <c r="D743" s="25"/>
      <c r="E743" s="28"/>
      <c r="F743" s="25"/>
      <c r="G743" s="25"/>
      <c r="H743" s="25"/>
    </row>
    <row r="744">
      <c r="A744" s="25"/>
      <c r="B744" s="99"/>
      <c r="C744" s="99"/>
      <c r="D744" s="25"/>
      <c r="E744" s="28"/>
      <c r="F744" s="25"/>
      <c r="G744" s="25"/>
      <c r="H744" s="25"/>
    </row>
    <row r="745">
      <c r="A745" s="25"/>
      <c r="B745" s="99"/>
      <c r="C745" s="99"/>
      <c r="D745" s="25"/>
      <c r="E745" s="28"/>
      <c r="F745" s="25"/>
      <c r="G745" s="25"/>
      <c r="H745" s="25"/>
    </row>
    <row r="746">
      <c r="A746" s="25"/>
      <c r="B746" s="99"/>
      <c r="C746" s="99"/>
      <c r="D746" s="25"/>
      <c r="E746" s="28"/>
      <c r="F746" s="25"/>
      <c r="G746" s="25"/>
      <c r="H746" s="25"/>
    </row>
    <row r="747">
      <c r="A747" s="25"/>
      <c r="B747" s="99"/>
      <c r="C747" s="99"/>
      <c r="D747" s="25"/>
      <c r="E747" s="28"/>
      <c r="F747" s="25"/>
      <c r="G747" s="25"/>
      <c r="H747" s="25"/>
    </row>
    <row r="748">
      <c r="A748" s="25"/>
      <c r="B748" s="99"/>
      <c r="C748" s="99"/>
      <c r="D748" s="25"/>
      <c r="E748" s="28"/>
      <c r="F748" s="25"/>
      <c r="G748" s="25"/>
      <c r="H748" s="25"/>
    </row>
    <row r="749">
      <c r="A749" s="25"/>
      <c r="B749" s="99"/>
      <c r="C749" s="99"/>
      <c r="D749" s="25"/>
      <c r="E749" s="28"/>
      <c r="F749" s="25"/>
      <c r="G749" s="25"/>
      <c r="H749" s="25"/>
    </row>
    <row r="750">
      <c r="A750" s="25"/>
      <c r="B750" s="99"/>
      <c r="C750" s="99"/>
      <c r="D750" s="25"/>
      <c r="E750" s="28"/>
      <c r="F750" s="25"/>
      <c r="G750" s="25"/>
      <c r="H750" s="25"/>
    </row>
    <row r="751">
      <c r="A751" s="25"/>
      <c r="B751" s="99"/>
      <c r="C751" s="99"/>
      <c r="D751" s="25"/>
      <c r="E751" s="28"/>
      <c r="F751" s="25"/>
      <c r="G751" s="25"/>
      <c r="H751" s="25"/>
    </row>
    <row r="752">
      <c r="A752" s="25"/>
      <c r="B752" s="99"/>
      <c r="C752" s="99"/>
      <c r="D752" s="25"/>
      <c r="E752" s="28"/>
      <c r="F752" s="25"/>
      <c r="G752" s="25"/>
      <c r="H752" s="25"/>
    </row>
    <row r="753">
      <c r="A753" s="25"/>
      <c r="B753" s="99"/>
      <c r="C753" s="99"/>
      <c r="D753" s="25"/>
      <c r="E753" s="28"/>
      <c r="F753" s="25"/>
      <c r="G753" s="25"/>
      <c r="H753" s="25"/>
    </row>
    <row r="754">
      <c r="A754" s="25"/>
      <c r="B754" s="99"/>
      <c r="C754" s="99"/>
      <c r="D754" s="25"/>
      <c r="E754" s="28"/>
      <c r="F754" s="25"/>
      <c r="G754" s="25"/>
      <c r="H754" s="25"/>
    </row>
    <row r="755">
      <c r="A755" s="25"/>
      <c r="B755" s="99"/>
      <c r="C755" s="99"/>
      <c r="D755" s="25"/>
      <c r="E755" s="28"/>
      <c r="F755" s="25"/>
      <c r="G755" s="25"/>
      <c r="H755" s="25"/>
    </row>
    <row r="756">
      <c r="A756" s="25"/>
      <c r="B756" s="99"/>
      <c r="C756" s="99"/>
      <c r="D756" s="25"/>
      <c r="E756" s="28"/>
      <c r="F756" s="25"/>
      <c r="G756" s="25"/>
      <c r="H756" s="25"/>
    </row>
    <row r="757">
      <c r="A757" s="25"/>
      <c r="B757" s="99"/>
      <c r="C757" s="99"/>
      <c r="D757" s="25"/>
      <c r="E757" s="28"/>
      <c r="F757" s="25"/>
      <c r="G757" s="25"/>
      <c r="H757" s="25"/>
    </row>
    <row r="758">
      <c r="A758" s="25"/>
      <c r="B758" s="99"/>
      <c r="C758" s="99"/>
      <c r="D758" s="25"/>
      <c r="E758" s="28"/>
      <c r="F758" s="25"/>
      <c r="G758" s="25"/>
      <c r="H758" s="25"/>
    </row>
    <row r="759">
      <c r="A759" s="25"/>
      <c r="B759" s="99"/>
      <c r="C759" s="99"/>
      <c r="D759" s="25"/>
      <c r="E759" s="28"/>
      <c r="F759" s="25"/>
      <c r="G759" s="25"/>
      <c r="H759" s="25"/>
    </row>
    <row r="760">
      <c r="A760" s="25"/>
      <c r="B760" s="99"/>
      <c r="C760" s="99"/>
      <c r="D760" s="25"/>
      <c r="E760" s="28"/>
      <c r="F760" s="25"/>
      <c r="G760" s="25"/>
      <c r="H760" s="25"/>
    </row>
    <row r="761">
      <c r="A761" s="25"/>
      <c r="B761" s="99"/>
      <c r="C761" s="99"/>
      <c r="D761" s="25"/>
      <c r="E761" s="28"/>
      <c r="F761" s="25"/>
      <c r="G761" s="25"/>
      <c r="H761" s="25"/>
    </row>
    <row r="762">
      <c r="A762" s="25"/>
      <c r="B762" s="99"/>
      <c r="C762" s="99"/>
      <c r="D762" s="25"/>
      <c r="E762" s="28"/>
      <c r="F762" s="25"/>
      <c r="G762" s="25"/>
      <c r="H762" s="25"/>
    </row>
    <row r="763">
      <c r="A763" s="25"/>
      <c r="B763" s="99"/>
      <c r="C763" s="99"/>
      <c r="D763" s="25"/>
      <c r="E763" s="28"/>
      <c r="F763" s="25"/>
      <c r="G763" s="25"/>
      <c r="H763" s="25"/>
    </row>
    <row r="764">
      <c r="A764" s="25"/>
      <c r="B764" s="99"/>
      <c r="C764" s="99"/>
      <c r="D764" s="25"/>
      <c r="E764" s="28"/>
      <c r="F764" s="25"/>
      <c r="G764" s="25"/>
      <c r="H764" s="25"/>
    </row>
    <row r="765">
      <c r="A765" s="25"/>
      <c r="B765" s="99"/>
      <c r="C765" s="99"/>
      <c r="D765" s="25"/>
      <c r="E765" s="28"/>
      <c r="F765" s="25"/>
      <c r="G765" s="25"/>
      <c r="H765" s="25"/>
    </row>
    <row r="766">
      <c r="A766" s="25"/>
      <c r="B766" s="99"/>
      <c r="C766" s="99"/>
      <c r="D766" s="25"/>
      <c r="E766" s="28"/>
      <c r="F766" s="25"/>
      <c r="G766" s="25"/>
      <c r="H766" s="25"/>
    </row>
    <row r="767">
      <c r="A767" s="25"/>
      <c r="B767" s="99"/>
      <c r="C767" s="99"/>
      <c r="D767" s="25"/>
      <c r="E767" s="28"/>
      <c r="F767" s="25"/>
      <c r="G767" s="25"/>
      <c r="H767" s="25"/>
    </row>
    <row r="768">
      <c r="A768" s="25"/>
      <c r="B768" s="99"/>
      <c r="C768" s="99"/>
      <c r="D768" s="25"/>
      <c r="E768" s="28"/>
      <c r="F768" s="25"/>
      <c r="G768" s="25"/>
      <c r="H768" s="25"/>
    </row>
    <row r="769">
      <c r="A769" s="25"/>
      <c r="B769" s="99"/>
      <c r="C769" s="99"/>
      <c r="D769" s="25"/>
      <c r="E769" s="28"/>
      <c r="F769" s="25"/>
      <c r="G769" s="25"/>
      <c r="H769" s="25"/>
    </row>
    <row r="770">
      <c r="A770" s="25"/>
      <c r="B770" s="99"/>
      <c r="C770" s="99"/>
      <c r="D770" s="25"/>
      <c r="E770" s="28"/>
      <c r="F770" s="25"/>
      <c r="G770" s="25"/>
      <c r="H770" s="25"/>
    </row>
    <row r="771">
      <c r="A771" s="25"/>
      <c r="B771" s="99"/>
      <c r="C771" s="99"/>
      <c r="D771" s="25"/>
      <c r="E771" s="28"/>
      <c r="F771" s="25"/>
      <c r="G771" s="25"/>
      <c r="H771" s="25"/>
    </row>
    <row r="772">
      <c r="A772" s="25"/>
      <c r="B772" s="99"/>
      <c r="C772" s="99"/>
      <c r="D772" s="25"/>
      <c r="E772" s="28"/>
      <c r="F772" s="25"/>
      <c r="G772" s="25"/>
      <c r="H772" s="25"/>
    </row>
    <row r="773">
      <c r="A773" s="25"/>
      <c r="B773" s="99"/>
      <c r="C773" s="99"/>
      <c r="D773" s="25"/>
      <c r="E773" s="28"/>
      <c r="F773" s="25"/>
      <c r="G773" s="25"/>
      <c r="H773" s="25"/>
    </row>
    <row r="774">
      <c r="A774" s="25"/>
      <c r="B774" s="99"/>
      <c r="C774" s="99"/>
      <c r="D774" s="25"/>
      <c r="E774" s="28"/>
      <c r="F774" s="25"/>
      <c r="G774" s="25"/>
      <c r="H774" s="25"/>
    </row>
    <row r="775">
      <c r="A775" s="25"/>
      <c r="B775" s="99"/>
      <c r="C775" s="99"/>
      <c r="D775" s="25"/>
      <c r="E775" s="28"/>
      <c r="F775" s="25"/>
      <c r="G775" s="25"/>
      <c r="H775" s="25"/>
    </row>
    <row r="776">
      <c r="A776" s="25"/>
      <c r="B776" s="99"/>
      <c r="C776" s="99"/>
      <c r="D776" s="25"/>
      <c r="E776" s="28"/>
      <c r="F776" s="25"/>
      <c r="G776" s="25"/>
      <c r="H776" s="25"/>
    </row>
    <row r="777">
      <c r="A777" s="25"/>
      <c r="B777" s="99"/>
      <c r="C777" s="99"/>
      <c r="D777" s="25"/>
      <c r="E777" s="28"/>
      <c r="F777" s="25"/>
      <c r="G777" s="25"/>
      <c r="H777" s="25"/>
    </row>
    <row r="778">
      <c r="A778" s="25"/>
      <c r="B778" s="99"/>
      <c r="C778" s="99"/>
      <c r="D778" s="25"/>
      <c r="E778" s="28"/>
      <c r="F778" s="25"/>
      <c r="G778" s="25"/>
      <c r="H778" s="25"/>
    </row>
    <row r="779">
      <c r="A779" s="25"/>
      <c r="B779" s="99"/>
      <c r="C779" s="99"/>
      <c r="D779" s="25"/>
      <c r="E779" s="28"/>
      <c r="F779" s="25"/>
      <c r="G779" s="25"/>
      <c r="H779" s="25"/>
    </row>
    <row r="780">
      <c r="A780" s="25"/>
      <c r="B780" s="99"/>
      <c r="C780" s="99"/>
      <c r="D780" s="25"/>
      <c r="E780" s="28"/>
      <c r="F780" s="25"/>
      <c r="G780" s="25"/>
      <c r="H780" s="25"/>
    </row>
    <row r="781">
      <c r="A781" s="25"/>
      <c r="B781" s="99"/>
      <c r="C781" s="99"/>
      <c r="D781" s="25"/>
      <c r="E781" s="28"/>
      <c r="F781" s="25"/>
      <c r="G781" s="25"/>
      <c r="H781" s="25"/>
    </row>
    <row r="782">
      <c r="A782" s="25"/>
      <c r="B782" s="99"/>
      <c r="C782" s="99"/>
      <c r="D782" s="25"/>
      <c r="E782" s="28"/>
      <c r="F782" s="25"/>
      <c r="G782" s="25"/>
      <c r="H782" s="25"/>
    </row>
    <row r="783">
      <c r="A783" s="25"/>
      <c r="B783" s="99"/>
      <c r="C783" s="99"/>
      <c r="D783" s="25"/>
      <c r="E783" s="28"/>
      <c r="F783" s="25"/>
      <c r="G783" s="25"/>
      <c r="H783" s="25"/>
    </row>
    <row r="784">
      <c r="A784" s="25"/>
      <c r="B784" s="99"/>
      <c r="C784" s="99"/>
      <c r="D784" s="25"/>
      <c r="E784" s="28"/>
      <c r="F784" s="25"/>
      <c r="G784" s="25"/>
      <c r="H784" s="25"/>
    </row>
    <row r="785">
      <c r="A785" s="25"/>
      <c r="B785" s="99"/>
      <c r="C785" s="99"/>
      <c r="D785" s="25"/>
      <c r="E785" s="28"/>
      <c r="F785" s="25"/>
      <c r="G785" s="25"/>
      <c r="H785" s="25"/>
    </row>
    <row r="786">
      <c r="A786" s="25"/>
      <c r="B786" s="99"/>
      <c r="C786" s="99"/>
      <c r="D786" s="25"/>
      <c r="E786" s="28"/>
      <c r="F786" s="25"/>
      <c r="G786" s="25"/>
      <c r="H786" s="25"/>
    </row>
    <row r="787">
      <c r="A787" s="25"/>
      <c r="B787" s="99"/>
      <c r="C787" s="99"/>
      <c r="D787" s="25"/>
      <c r="E787" s="28"/>
      <c r="F787" s="25"/>
      <c r="G787" s="25"/>
      <c r="H787" s="25"/>
    </row>
    <row r="788">
      <c r="A788" s="25"/>
      <c r="B788" s="99"/>
      <c r="C788" s="99"/>
      <c r="D788" s="25"/>
      <c r="E788" s="28"/>
      <c r="F788" s="25"/>
      <c r="G788" s="25"/>
      <c r="H788" s="25"/>
    </row>
    <row r="789">
      <c r="A789" s="25"/>
      <c r="B789" s="99"/>
      <c r="C789" s="99"/>
      <c r="D789" s="25"/>
      <c r="E789" s="28"/>
      <c r="F789" s="25"/>
      <c r="G789" s="25"/>
      <c r="H789" s="25"/>
    </row>
    <row r="790">
      <c r="A790" s="25"/>
      <c r="B790" s="99"/>
      <c r="C790" s="99"/>
      <c r="D790" s="25"/>
      <c r="E790" s="28"/>
      <c r="F790" s="25"/>
      <c r="G790" s="25"/>
      <c r="H790" s="25"/>
    </row>
    <row r="791">
      <c r="A791" s="25"/>
      <c r="B791" s="99"/>
      <c r="C791" s="99"/>
      <c r="D791" s="25"/>
      <c r="E791" s="28"/>
      <c r="F791" s="25"/>
      <c r="G791" s="25"/>
      <c r="H791" s="25"/>
    </row>
    <row r="792">
      <c r="A792" s="25"/>
      <c r="B792" s="99"/>
      <c r="C792" s="99"/>
      <c r="D792" s="25"/>
      <c r="E792" s="28"/>
      <c r="F792" s="25"/>
      <c r="G792" s="25"/>
      <c r="H792" s="25"/>
    </row>
    <row r="793">
      <c r="A793" s="25"/>
      <c r="B793" s="99"/>
      <c r="C793" s="99"/>
      <c r="D793" s="25"/>
      <c r="E793" s="28"/>
      <c r="F793" s="25"/>
      <c r="G793" s="25"/>
      <c r="H793" s="25"/>
    </row>
    <row r="794">
      <c r="A794" s="25"/>
      <c r="B794" s="99"/>
      <c r="C794" s="99"/>
      <c r="D794" s="25"/>
      <c r="E794" s="28"/>
      <c r="F794" s="25"/>
      <c r="G794" s="25"/>
      <c r="H794" s="25"/>
    </row>
    <row r="795">
      <c r="A795" s="25"/>
      <c r="B795" s="99"/>
      <c r="C795" s="99"/>
      <c r="D795" s="25"/>
      <c r="E795" s="28"/>
      <c r="F795" s="25"/>
      <c r="G795" s="25"/>
      <c r="H795" s="25"/>
    </row>
    <row r="796">
      <c r="A796" s="25"/>
      <c r="B796" s="99"/>
      <c r="C796" s="99"/>
      <c r="D796" s="25"/>
      <c r="E796" s="28"/>
      <c r="F796" s="25"/>
      <c r="G796" s="25"/>
      <c r="H796" s="25"/>
    </row>
    <row r="797">
      <c r="A797" s="25"/>
      <c r="B797" s="99"/>
      <c r="C797" s="99"/>
      <c r="D797" s="25"/>
      <c r="E797" s="28"/>
      <c r="F797" s="25"/>
      <c r="G797" s="25"/>
      <c r="H797" s="25"/>
    </row>
    <row r="798">
      <c r="A798" s="25"/>
      <c r="B798" s="99"/>
      <c r="C798" s="99"/>
      <c r="D798" s="25"/>
      <c r="E798" s="28"/>
      <c r="F798" s="25"/>
      <c r="G798" s="25"/>
      <c r="H798" s="25"/>
    </row>
    <row r="799">
      <c r="A799" s="25"/>
      <c r="B799" s="99"/>
      <c r="C799" s="99"/>
      <c r="D799" s="25"/>
      <c r="E799" s="28"/>
      <c r="F799" s="25"/>
      <c r="G799" s="25"/>
      <c r="H799" s="25"/>
    </row>
    <row r="800">
      <c r="A800" s="25"/>
      <c r="B800" s="99"/>
      <c r="C800" s="99"/>
      <c r="D800" s="25"/>
      <c r="E800" s="28"/>
      <c r="F800" s="25"/>
      <c r="G800" s="25"/>
      <c r="H800" s="25"/>
    </row>
    <row r="801">
      <c r="A801" s="25"/>
      <c r="B801" s="99"/>
      <c r="C801" s="99"/>
      <c r="D801" s="25"/>
      <c r="E801" s="28"/>
      <c r="F801" s="25"/>
      <c r="G801" s="25"/>
      <c r="H801" s="25"/>
    </row>
    <row r="802">
      <c r="A802" s="25"/>
      <c r="B802" s="99"/>
      <c r="C802" s="99"/>
      <c r="D802" s="25"/>
      <c r="E802" s="28"/>
      <c r="F802" s="25"/>
      <c r="G802" s="25"/>
      <c r="H802" s="25"/>
    </row>
    <row r="803">
      <c r="A803" s="25"/>
      <c r="B803" s="99"/>
      <c r="C803" s="99"/>
      <c r="D803" s="25"/>
      <c r="E803" s="28"/>
      <c r="F803" s="25"/>
      <c r="G803" s="25"/>
      <c r="H803" s="25"/>
    </row>
    <row r="804">
      <c r="A804" s="25"/>
      <c r="B804" s="99"/>
      <c r="C804" s="99"/>
      <c r="D804" s="25"/>
      <c r="E804" s="28"/>
      <c r="F804" s="25"/>
      <c r="G804" s="25"/>
      <c r="H804" s="25"/>
    </row>
    <row r="805">
      <c r="A805" s="25"/>
      <c r="B805" s="99"/>
      <c r="C805" s="99"/>
      <c r="D805" s="25"/>
      <c r="E805" s="28"/>
      <c r="F805" s="25"/>
      <c r="G805" s="25"/>
      <c r="H805" s="25"/>
    </row>
    <row r="806">
      <c r="A806" s="25"/>
      <c r="B806" s="99"/>
      <c r="C806" s="99"/>
      <c r="D806" s="25"/>
      <c r="E806" s="28"/>
      <c r="F806" s="25"/>
      <c r="G806" s="25"/>
      <c r="H806" s="25"/>
    </row>
    <row r="807">
      <c r="A807" s="25"/>
      <c r="B807" s="99"/>
      <c r="C807" s="99"/>
      <c r="D807" s="25"/>
      <c r="E807" s="28"/>
      <c r="F807" s="25"/>
      <c r="G807" s="25"/>
      <c r="H807" s="25"/>
    </row>
    <row r="808">
      <c r="A808" s="25"/>
      <c r="B808" s="99"/>
      <c r="C808" s="99"/>
      <c r="D808" s="25"/>
      <c r="E808" s="28"/>
      <c r="F808" s="25"/>
      <c r="G808" s="25"/>
      <c r="H808" s="25"/>
    </row>
    <row r="809">
      <c r="A809" s="25"/>
      <c r="B809" s="99"/>
      <c r="C809" s="99"/>
      <c r="D809" s="25"/>
      <c r="E809" s="28"/>
      <c r="F809" s="25"/>
      <c r="G809" s="25"/>
      <c r="H809" s="25"/>
    </row>
    <row r="810">
      <c r="A810" s="25"/>
      <c r="B810" s="99"/>
      <c r="C810" s="99"/>
      <c r="D810" s="25"/>
      <c r="E810" s="28"/>
      <c r="F810" s="25"/>
      <c r="G810" s="25"/>
      <c r="H810" s="25"/>
    </row>
    <row r="811">
      <c r="A811" s="25"/>
      <c r="B811" s="99"/>
      <c r="C811" s="99"/>
      <c r="D811" s="25"/>
      <c r="E811" s="28"/>
      <c r="F811" s="25"/>
      <c r="G811" s="25"/>
      <c r="H811" s="25"/>
    </row>
    <row r="812">
      <c r="A812" s="25"/>
      <c r="B812" s="99"/>
      <c r="C812" s="99"/>
      <c r="D812" s="25"/>
      <c r="E812" s="28"/>
      <c r="F812" s="25"/>
      <c r="G812" s="25"/>
      <c r="H812" s="25"/>
    </row>
    <row r="813">
      <c r="A813" s="25"/>
      <c r="B813" s="99"/>
      <c r="C813" s="99"/>
      <c r="D813" s="25"/>
      <c r="E813" s="28"/>
      <c r="F813" s="25"/>
      <c r="G813" s="25"/>
      <c r="H813" s="25"/>
    </row>
    <row r="814">
      <c r="A814" s="25"/>
      <c r="B814" s="99"/>
      <c r="C814" s="99"/>
      <c r="D814" s="25"/>
      <c r="E814" s="28"/>
      <c r="F814" s="25"/>
      <c r="G814" s="25"/>
      <c r="H814" s="25"/>
    </row>
    <row r="815">
      <c r="A815" s="25"/>
      <c r="B815" s="99"/>
      <c r="C815" s="99"/>
      <c r="D815" s="25"/>
      <c r="E815" s="28"/>
      <c r="F815" s="25"/>
      <c r="G815" s="25"/>
      <c r="H815" s="25"/>
    </row>
    <row r="816">
      <c r="A816" s="25"/>
      <c r="B816" s="99"/>
      <c r="C816" s="99"/>
      <c r="D816" s="25"/>
      <c r="E816" s="28"/>
      <c r="F816" s="25"/>
      <c r="G816" s="25"/>
      <c r="H816" s="25"/>
    </row>
    <row r="817">
      <c r="A817" s="25"/>
      <c r="B817" s="99"/>
      <c r="C817" s="99"/>
      <c r="D817" s="25"/>
      <c r="E817" s="28"/>
      <c r="F817" s="25"/>
      <c r="G817" s="25"/>
      <c r="H817" s="25"/>
    </row>
    <row r="818">
      <c r="A818" s="25"/>
      <c r="B818" s="99"/>
      <c r="C818" s="99"/>
      <c r="D818" s="25"/>
      <c r="E818" s="28"/>
      <c r="F818" s="25"/>
      <c r="G818" s="25"/>
      <c r="H818" s="25"/>
    </row>
    <row r="819">
      <c r="A819" s="25"/>
      <c r="B819" s="99"/>
      <c r="C819" s="99"/>
      <c r="D819" s="25"/>
      <c r="E819" s="28"/>
      <c r="F819" s="25"/>
      <c r="G819" s="25"/>
      <c r="H819" s="25"/>
    </row>
    <row r="820">
      <c r="A820" s="25"/>
      <c r="B820" s="99"/>
      <c r="C820" s="99"/>
      <c r="D820" s="25"/>
      <c r="E820" s="28"/>
      <c r="F820" s="25"/>
      <c r="G820" s="25"/>
      <c r="H820" s="25"/>
    </row>
    <row r="821">
      <c r="A821" s="25"/>
      <c r="B821" s="99"/>
      <c r="C821" s="99"/>
      <c r="D821" s="25"/>
      <c r="E821" s="28"/>
      <c r="F821" s="25"/>
      <c r="G821" s="25"/>
      <c r="H821" s="25"/>
    </row>
    <row r="822">
      <c r="A822" s="25"/>
      <c r="B822" s="99"/>
      <c r="C822" s="99"/>
      <c r="D822" s="25"/>
      <c r="E822" s="28"/>
      <c r="F822" s="25"/>
      <c r="G822" s="25"/>
      <c r="H822" s="25"/>
    </row>
    <row r="823">
      <c r="A823" s="25"/>
      <c r="B823" s="99"/>
      <c r="C823" s="99"/>
      <c r="D823" s="25"/>
      <c r="E823" s="28"/>
      <c r="F823" s="25"/>
      <c r="G823" s="25"/>
      <c r="H823" s="25"/>
    </row>
    <row r="824">
      <c r="A824" s="25"/>
      <c r="B824" s="99"/>
      <c r="C824" s="99"/>
      <c r="D824" s="25"/>
      <c r="E824" s="28"/>
      <c r="F824" s="25"/>
      <c r="G824" s="25"/>
      <c r="H824" s="25"/>
    </row>
    <row r="825">
      <c r="A825" s="25"/>
      <c r="B825" s="99"/>
      <c r="C825" s="99"/>
      <c r="D825" s="25"/>
      <c r="E825" s="28"/>
      <c r="F825" s="25"/>
      <c r="G825" s="25"/>
      <c r="H825" s="25"/>
    </row>
    <row r="826">
      <c r="A826" s="25"/>
      <c r="B826" s="99"/>
      <c r="C826" s="99"/>
      <c r="D826" s="25"/>
      <c r="E826" s="28"/>
      <c r="F826" s="25"/>
      <c r="G826" s="25"/>
      <c r="H826" s="25"/>
    </row>
    <row r="827">
      <c r="A827" s="25"/>
      <c r="B827" s="99"/>
      <c r="C827" s="99"/>
      <c r="D827" s="25"/>
      <c r="E827" s="28"/>
      <c r="F827" s="25"/>
      <c r="G827" s="25"/>
      <c r="H827" s="25"/>
    </row>
    <row r="828">
      <c r="A828" s="25"/>
      <c r="B828" s="99"/>
      <c r="C828" s="99"/>
      <c r="D828" s="25"/>
      <c r="E828" s="28"/>
      <c r="F828" s="25"/>
      <c r="G828" s="25"/>
      <c r="H828" s="25"/>
    </row>
    <row r="829">
      <c r="A829" s="25"/>
      <c r="B829" s="99"/>
      <c r="C829" s="99"/>
      <c r="D829" s="25"/>
      <c r="E829" s="28"/>
      <c r="F829" s="25"/>
      <c r="G829" s="25"/>
      <c r="H829" s="25"/>
    </row>
    <row r="830">
      <c r="A830" s="25"/>
      <c r="B830" s="99"/>
      <c r="C830" s="99"/>
      <c r="D830" s="25"/>
      <c r="E830" s="28"/>
      <c r="F830" s="25"/>
      <c r="G830" s="25"/>
      <c r="H830" s="25"/>
    </row>
    <row r="831">
      <c r="A831" s="25"/>
      <c r="B831" s="99"/>
      <c r="C831" s="99"/>
      <c r="D831" s="25"/>
      <c r="E831" s="28"/>
      <c r="F831" s="25"/>
      <c r="G831" s="25"/>
      <c r="H831" s="25"/>
    </row>
    <row r="832">
      <c r="A832" s="25"/>
      <c r="B832" s="99"/>
      <c r="C832" s="99"/>
      <c r="D832" s="25"/>
      <c r="E832" s="28"/>
      <c r="F832" s="25"/>
      <c r="G832" s="25"/>
      <c r="H832" s="25"/>
    </row>
    <row r="833">
      <c r="A833" s="25"/>
      <c r="B833" s="99"/>
      <c r="C833" s="99"/>
      <c r="D833" s="25"/>
      <c r="E833" s="28"/>
      <c r="F833" s="25"/>
      <c r="G833" s="25"/>
      <c r="H833" s="25"/>
    </row>
    <row r="834">
      <c r="A834" s="25"/>
      <c r="B834" s="99"/>
      <c r="C834" s="99"/>
      <c r="D834" s="25"/>
      <c r="E834" s="28"/>
      <c r="F834" s="25"/>
      <c r="G834" s="25"/>
      <c r="H834" s="25"/>
    </row>
    <row r="835">
      <c r="A835" s="25"/>
      <c r="B835" s="99"/>
      <c r="C835" s="99"/>
      <c r="D835" s="25"/>
      <c r="E835" s="28"/>
      <c r="F835" s="25"/>
      <c r="G835" s="25"/>
      <c r="H835" s="25"/>
    </row>
    <row r="836">
      <c r="A836" s="25"/>
      <c r="B836" s="99"/>
      <c r="C836" s="99"/>
      <c r="D836" s="25"/>
      <c r="E836" s="28"/>
      <c r="F836" s="25"/>
      <c r="G836" s="25"/>
      <c r="H836" s="25"/>
    </row>
    <row r="837">
      <c r="A837" s="25"/>
      <c r="B837" s="99"/>
      <c r="C837" s="99"/>
      <c r="D837" s="25"/>
      <c r="E837" s="28"/>
      <c r="F837" s="25"/>
      <c r="G837" s="25"/>
      <c r="H837" s="25"/>
    </row>
    <row r="838">
      <c r="A838" s="25"/>
      <c r="B838" s="99"/>
      <c r="C838" s="99"/>
      <c r="D838" s="25"/>
      <c r="E838" s="28"/>
      <c r="F838" s="25"/>
      <c r="G838" s="25"/>
      <c r="H838" s="25"/>
    </row>
    <row r="839">
      <c r="A839" s="25"/>
      <c r="B839" s="99"/>
      <c r="C839" s="99"/>
      <c r="D839" s="25"/>
      <c r="E839" s="28"/>
      <c r="F839" s="25"/>
      <c r="G839" s="25"/>
      <c r="H839" s="25"/>
    </row>
    <row r="840">
      <c r="A840" s="25"/>
      <c r="B840" s="99"/>
      <c r="C840" s="99"/>
      <c r="D840" s="25"/>
      <c r="E840" s="28"/>
      <c r="F840" s="25"/>
      <c r="G840" s="25"/>
      <c r="H840" s="25"/>
    </row>
    <row r="841">
      <c r="A841" s="25"/>
      <c r="B841" s="99"/>
      <c r="C841" s="99"/>
      <c r="D841" s="25"/>
      <c r="E841" s="28"/>
      <c r="F841" s="25"/>
      <c r="G841" s="25"/>
      <c r="H841" s="25"/>
    </row>
    <row r="842">
      <c r="A842" s="25"/>
      <c r="B842" s="99"/>
      <c r="C842" s="99"/>
      <c r="D842" s="25"/>
      <c r="E842" s="28"/>
      <c r="F842" s="25"/>
      <c r="G842" s="25"/>
      <c r="H842" s="25"/>
    </row>
    <row r="843">
      <c r="A843" s="25"/>
      <c r="B843" s="99"/>
      <c r="C843" s="99"/>
      <c r="D843" s="25"/>
      <c r="E843" s="28"/>
      <c r="F843" s="25"/>
      <c r="G843" s="25"/>
      <c r="H843" s="25"/>
    </row>
    <row r="844">
      <c r="A844" s="25"/>
      <c r="B844" s="99"/>
      <c r="C844" s="99"/>
      <c r="D844" s="25"/>
      <c r="E844" s="28"/>
      <c r="F844" s="25"/>
      <c r="G844" s="25"/>
      <c r="H844" s="25"/>
    </row>
    <row r="845">
      <c r="A845" s="25"/>
      <c r="B845" s="99"/>
      <c r="C845" s="99"/>
      <c r="D845" s="25"/>
      <c r="E845" s="28"/>
      <c r="F845" s="25"/>
      <c r="G845" s="25"/>
      <c r="H845" s="25"/>
    </row>
    <row r="846">
      <c r="A846" s="25"/>
      <c r="B846" s="99"/>
      <c r="C846" s="99"/>
      <c r="D846" s="25"/>
      <c r="E846" s="28"/>
      <c r="F846" s="25"/>
      <c r="G846" s="25"/>
      <c r="H846" s="25"/>
    </row>
    <row r="847">
      <c r="A847" s="25"/>
      <c r="B847" s="99"/>
      <c r="C847" s="99"/>
      <c r="D847" s="25"/>
      <c r="E847" s="28"/>
      <c r="F847" s="25"/>
      <c r="G847" s="25"/>
      <c r="H847" s="25"/>
    </row>
    <row r="848">
      <c r="A848" s="25"/>
      <c r="B848" s="99"/>
      <c r="C848" s="99"/>
      <c r="D848" s="25"/>
      <c r="E848" s="28"/>
      <c r="F848" s="25"/>
      <c r="G848" s="25"/>
      <c r="H848" s="25"/>
    </row>
    <row r="849">
      <c r="A849" s="25"/>
      <c r="B849" s="99"/>
      <c r="C849" s="99"/>
      <c r="D849" s="25"/>
      <c r="E849" s="28"/>
      <c r="F849" s="25"/>
      <c r="G849" s="25"/>
      <c r="H849" s="25"/>
    </row>
    <row r="850">
      <c r="A850" s="25"/>
      <c r="B850" s="99"/>
      <c r="C850" s="99"/>
      <c r="D850" s="25"/>
      <c r="E850" s="28"/>
      <c r="F850" s="25"/>
      <c r="G850" s="25"/>
      <c r="H850" s="25"/>
    </row>
    <row r="851">
      <c r="A851" s="25"/>
      <c r="B851" s="99"/>
      <c r="C851" s="99"/>
      <c r="D851" s="25"/>
      <c r="E851" s="28"/>
      <c r="F851" s="25"/>
      <c r="G851" s="25"/>
      <c r="H851" s="25"/>
    </row>
    <row r="852">
      <c r="A852" s="25"/>
      <c r="B852" s="99"/>
      <c r="C852" s="99"/>
      <c r="D852" s="25"/>
      <c r="E852" s="28"/>
      <c r="F852" s="25"/>
      <c r="G852" s="25"/>
      <c r="H852" s="25"/>
    </row>
    <row r="853">
      <c r="A853" s="25"/>
      <c r="B853" s="99"/>
      <c r="C853" s="99"/>
      <c r="D853" s="25"/>
      <c r="E853" s="28"/>
      <c r="F853" s="25"/>
      <c r="G853" s="25"/>
      <c r="H853" s="25"/>
    </row>
    <row r="854">
      <c r="A854" s="25"/>
      <c r="B854" s="99"/>
      <c r="C854" s="99"/>
      <c r="D854" s="25"/>
      <c r="E854" s="28"/>
      <c r="F854" s="25"/>
      <c r="G854" s="25"/>
      <c r="H854" s="25"/>
    </row>
    <row r="855">
      <c r="A855" s="25"/>
      <c r="B855" s="99"/>
      <c r="C855" s="99"/>
      <c r="D855" s="25"/>
      <c r="E855" s="28"/>
      <c r="F855" s="25"/>
      <c r="G855" s="25"/>
      <c r="H855" s="25"/>
    </row>
    <row r="856">
      <c r="A856" s="25"/>
      <c r="B856" s="99"/>
      <c r="C856" s="99"/>
      <c r="D856" s="25"/>
      <c r="E856" s="28"/>
      <c r="F856" s="25"/>
      <c r="G856" s="25"/>
      <c r="H856" s="25"/>
    </row>
    <row r="857">
      <c r="A857" s="25"/>
      <c r="B857" s="99"/>
      <c r="C857" s="99"/>
      <c r="D857" s="25"/>
      <c r="E857" s="28"/>
      <c r="F857" s="25"/>
      <c r="G857" s="25"/>
      <c r="H857" s="25"/>
    </row>
    <row r="858">
      <c r="A858" s="25"/>
      <c r="B858" s="99"/>
      <c r="C858" s="99"/>
      <c r="D858" s="25"/>
      <c r="E858" s="28"/>
      <c r="F858" s="25"/>
      <c r="G858" s="25"/>
      <c r="H858" s="25"/>
    </row>
    <row r="859">
      <c r="A859" s="25"/>
      <c r="B859" s="99"/>
      <c r="C859" s="99"/>
      <c r="D859" s="25"/>
      <c r="E859" s="28"/>
      <c r="F859" s="25"/>
      <c r="G859" s="25"/>
      <c r="H859" s="25"/>
    </row>
    <row r="860">
      <c r="A860" s="25"/>
      <c r="B860" s="99"/>
      <c r="C860" s="99"/>
      <c r="D860" s="25"/>
      <c r="E860" s="28"/>
      <c r="F860" s="25"/>
      <c r="G860" s="25"/>
      <c r="H860" s="25"/>
    </row>
    <row r="861">
      <c r="A861" s="25"/>
      <c r="B861" s="99"/>
      <c r="C861" s="99"/>
      <c r="D861" s="25"/>
      <c r="E861" s="28"/>
      <c r="F861" s="25"/>
      <c r="G861" s="25"/>
      <c r="H861" s="25"/>
    </row>
    <row r="862">
      <c r="A862" s="25"/>
      <c r="B862" s="99"/>
      <c r="C862" s="99"/>
      <c r="D862" s="25"/>
      <c r="E862" s="28"/>
      <c r="F862" s="25"/>
      <c r="G862" s="25"/>
      <c r="H862" s="25"/>
    </row>
    <row r="863">
      <c r="A863" s="25"/>
      <c r="B863" s="99"/>
      <c r="C863" s="99"/>
      <c r="D863" s="25"/>
      <c r="E863" s="28"/>
      <c r="F863" s="25"/>
      <c r="G863" s="25"/>
      <c r="H863" s="25"/>
    </row>
    <row r="864">
      <c r="A864" s="25"/>
      <c r="B864" s="99"/>
      <c r="C864" s="99"/>
      <c r="D864" s="25"/>
      <c r="E864" s="28"/>
      <c r="F864" s="25"/>
      <c r="G864" s="25"/>
      <c r="H864" s="25"/>
    </row>
    <row r="865">
      <c r="A865" s="25"/>
      <c r="B865" s="99"/>
      <c r="C865" s="99"/>
      <c r="D865" s="25"/>
      <c r="E865" s="28"/>
      <c r="F865" s="25"/>
      <c r="G865" s="25"/>
      <c r="H865" s="25"/>
    </row>
    <row r="866">
      <c r="A866" s="25"/>
      <c r="B866" s="99"/>
      <c r="C866" s="99"/>
      <c r="D866" s="25"/>
      <c r="E866" s="28"/>
      <c r="F866" s="25"/>
      <c r="G866" s="25"/>
      <c r="H866" s="25"/>
    </row>
    <row r="867">
      <c r="A867" s="25"/>
      <c r="B867" s="99"/>
      <c r="C867" s="99"/>
      <c r="D867" s="25"/>
      <c r="E867" s="28"/>
      <c r="F867" s="25"/>
      <c r="G867" s="25"/>
      <c r="H867" s="25"/>
    </row>
    <row r="868">
      <c r="A868" s="25"/>
      <c r="B868" s="99"/>
      <c r="C868" s="99"/>
      <c r="D868" s="25"/>
      <c r="E868" s="28"/>
      <c r="F868" s="25"/>
      <c r="G868" s="25"/>
      <c r="H868" s="25"/>
    </row>
    <row r="869">
      <c r="A869" s="25"/>
      <c r="B869" s="99"/>
      <c r="C869" s="99"/>
      <c r="D869" s="25"/>
      <c r="E869" s="28"/>
      <c r="F869" s="25"/>
      <c r="G869" s="25"/>
      <c r="H869" s="25"/>
    </row>
    <row r="870">
      <c r="A870" s="25"/>
      <c r="B870" s="99"/>
      <c r="C870" s="99"/>
      <c r="D870" s="25"/>
      <c r="E870" s="28"/>
      <c r="F870" s="25"/>
      <c r="G870" s="25"/>
      <c r="H870" s="25"/>
    </row>
    <row r="871">
      <c r="A871" s="25"/>
      <c r="B871" s="99"/>
      <c r="C871" s="99"/>
      <c r="D871" s="25"/>
      <c r="E871" s="28"/>
      <c r="F871" s="25"/>
      <c r="G871" s="25"/>
      <c r="H871" s="25"/>
    </row>
    <row r="872">
      <c r="A872" s="25"/>
      <c r="B872" s="99"/>
      <c r="C872" s="99"/>
      <c r="D872" s="25"/>
      <c r="E872" s="28"/>
      <c r="F872" s="25"/>
      <c r="G872" s="25"/>
      <c r="H872" s="25"/>
    </row>
    <row r="873">
      <c r="A873" s="25"/>
      <c r="B873" s="99"/>
      <c r="C873" s="99"/>
      <c r="D873" s="25"/>
      <c r="E873" s="28"/>
      <c r="F873" s="25"/>
      <c r="G873" s="25"/>
      <c r="H873" s="25"/>
    </row>
    <row r="874">
      <c r="A874" s="25"/>
      <c r="B874" s="99"/>
      <c r="C874" s="99"/>
      <c r="D874" s="25"/>
      <c r="E874" s="28"/>
      <c r="F874" s="25"/>
      <c r="G874" s="25"/>
      <c r="H874" s="25"/>
    </row>
    <row r="875">
      <c r="A875" s="25"/>
      <c r="B875" s="99"/>
      <c r="C875" s="99"/>
      <c r="D875" s="25"/>
      <c r="E875" s="28"/>
      <c r="F875" s="25"/>
      <c r="G875" s="25"/>
      <c r="H875" s="25"/>
    </row>
    <row r="876">
      <c r="A876" s="25"/>
      <c r="B876" s="99"/>
      <c r="C876" s="99"/>
      <c r="D876" s="25"/>
      <c r="E876" s="28"/>
      <c r="F876" s="25"/>
      <c r="G876" s="25"/>
      <c r="H876" s="25"/>
    </row>
    <row r="877">
      <c r="A877" s="25"/>
      <c r="B877" s="99"/>
      <c r="C877" s="99"/>
      <c r="D877" s="25"/>
      <c r="E877" s="28"/>
      <c r="F877" s="25"/>
      <c r="G877" s="25"/>
      <c r="H877" s="25"/>
    </row>
    <row r="878">
      <c r="A878" s="25"/>
      <c r="B878" s="99"/>
      <c r="C878" s="99"/>
      <c r="D878" s="25"/>
      <c r="E878" s="28"/>
      <c r="F878" s="25"/>
      <c r="G878" s="25"/>
      <c r="H878" s="25"/>
    </row>
    <row r="879">
      <c r="A879" s="25"/>
      <c r="B879" s="99"/>
      <c r="C879" s="99"/>
      <c r="D879" s="25"/>
      <c r="E879" s="28"/>
      <c r="F879" s="25"/>
      <c r="G879" s="25"/>
      <c r="H879" s="25"/>
    </row>
    <row r="880">
      <c r="A880" s="25"/>
      <c r="B880" s="99"/>
      <c r="C880" s="99"/>
      <c r="D880" s="25"/>
      <c r="E880" s="28"/>
      <c r="F880" s="25"/>
      <c r="G880" s="25"/>
      <c r="H880" s="25"/>
    </row>
    <row r="881">
      <c r="A881" s="25"/>
      <c r="B881" s="99"/>
      <c r="C881" s="99"/>
      <c r="D881" s="25"/>
      <c r="E881" s="28"/>
      <c r="F881" s="25"/>
      <c r="G881" s="25"/>
      <c r="H881" s="25"/>
    </row>
    <row r="882">
      <c r="A882" s="25"/>
      <c r="B882" s="99"/>
      <c r="C882" s="99"/>
      <c r="D882" s="25"/>
      <c r="E882" s="28"/>
      <c r="F882" s="25"/>
      <c r="G882" s="25"/>
      <c r="H882" s="25"/>
    </row>
    <row r="883">
      <c r="A883" s="25"/>
      <c r="B883" s="99"/>
      <c r="C883" s="99"/>
      <c r="D883" s="25"/>
      <c r="E883" s="28"/>
      <c r="F883" s="25"/>
      <c r="G883" s="25"/>
      <c r="H883" s="25"/>
    </row>
    <row r="884">
      <c r="A884" s="25"/>
      <c r="B884" s="99"/>
      <c r="C884" s="99"/>
      <c r="D884" s="25"/>
      <c r="E884" s="28"/>
      <c r="F884" s="25"/>
      <c r="G884" s="25"/>
      <c r="H884" s="25"/>
    </row>
    <row r="885">
      <c r="A885" s="25"/>
      <c r="B885" s="99"/>
      <c r="C885" s="99"/>
      <c r="D885" s="25"/>
      <c r="E885" s="28"/>
      <c r="F885" s="25"/>
      <c r="G885" s="25"/>
      <c r="H885" s="25"/>
    </row>
    <row r="886">
      <c r="A886" s="25"/>
      <c r="B886" s="99"/>
      <c r="C886" s="99"/>
      <c r="D886" s="25"/>
      <c r="E886" s="28"/>
      <c r="F886" s="25"/>
      <c r="G886" s="25"/>
      <c r="H886" s="25"/>
    </row>
    <row r="887">
      <c r="A887" s="25"/>
      <c r="B887" s="99"/>
      <c r="C887" s="99"/>
      <c r="D887" s="25"/>
      <c r="E887" s="28"/>
      <c r="F887" s="25"/>
      <c r="G887" s="25"/>
      <c r="H887" s="25"/>
    </row>
    <row r="888">
      <c r="A888" s="25"/>
      <c r="B888" s="99"/>
      <c r="C888" s="99"/>
      <c r="D888" s="25"/>
      <c r="E888" s="28"/>
      <c r="F888" s="25"/>
      <c r="G888" s="25"/>
      <c r="H888" s="25"/>
    </row>
    <row r="889">
      <c r="A889" s="25"/>
      <c r="B889" s="99"/>
      <c r="C889" s="99"/>
      <c r="D889" s="25"/>
      <c r="E889" s="28"/>
      <c r="F889" s="25"/>
      <c r="G889" s="25"/>
      <c r="H889" s="25"/>
    </row>
    <row r="890">
      <c r="A890" s="25"/>
      <c r="B890" s="99"/>
      <c r="C890" s="99"/>
      <c r="D890" s="25"/>
      <c r="E890" s="28"/>
      <c r="F890" s="25"/>
      <c r="G890" s="25"/>
      <c r="H890" s="25"/>
    </row>
    <row r="891">
      <c r="A891" s="25"/>
      <c r="B891" s="99"/>
      <c r="C891" s="99"/>
      <c r="D891" s="25"/>
      <c r="E891" s="28"/>
      <c r="F891" s="25"/>
      <c r="G891" s="25"/>
      <c r="H891" s="25"/>
    </row>
    <row r="892">
      <c r="A892" s="25"/>
      <c r="B892" s="99"/>
      <c r="C892" s="99"/>
      <c r="D892" s="25"/>
      <c r="E892" s="28"/>
      <c r="F892" s="25"/>
      <c r="G892" s="25"/>
      <c r="H892" s="25"/>
    </row>
    <row r="893">
      <c r="A893" s="25"/>
      <c r="B893" s="99"/>
      <c r="C893" s="99"/>
      <c r="D893" s="25"/>
      <c r="E893" s="28"/>
      <c r="F893" s="25"/>
      <c r="G893" s="25"/>
      <c r="H893" s="25"/>
    </row>
    <row r="894">
      <c r="A894" s="25"/>
      <c r="B894" s="99"/>
      <c r="C894" s="99"/>
      <c r="D894" s="25"/>
      <c r="E894" s="28"/>
      <c r="F894" s="25"/>
      <c r="G894" s="25"/>
      <c r="H894" s="25"/>
    </row>
    <row r="895">
      <c r="A895" s="25"/>
      <c r="B895" s="99"/>
      <c r="C895" s="99"/>
      <c r="D895" s="25"/>
      <c r="E895" s="28"/>
      <c r="F895" s="25"/>
      <c r="G895" s="25"/>
      <c r="H895" s="25"/>
    </row>
    <row r="896">
      <c r="A896" s="25"/>
      <c r="B896" s="99"/>
      <c r="C896" s="99"/>
      <c r="D896" s="25"/>
      <c r="E896" s="28"/>
      <c r="F896" s="25"/>
      <c r="G896" s="25"/>
      <c r="H896" s="25"/>
    </row>
    <row r="897">
      <c r="A897" s="25"/>
      <c r="B897" s="99"/>
      <c r="C897" s="99"/>
      <c r="D897" s="25"/>
      <c r="E897" s="28"/>
      <c r="F897" s="25"/>
      <c r="G897" s="25"/>
      <c r="H897" s="25"/>
    </row>
    <row r="898">
      <c r="A898" s="25"/>
      <c r="B898" s="99"/>
      <c r="C898" s="99"/>
      <c r="D898" s="25"/>
      <c r="E898" s="28"/>
      <c r="F898" s="25"/>
      <c r="G898" s="25"/>
      <c r="H898" s="25"/>
    </row>
    <row r="899">
      <c r="A899" s="25"/>
      <c r="B899" s="99"/>
      <c r="C899" s="99"/>
      <c r="D899" s="25"/>
      <c r="E899" s="28"/>
      <c r="F899" s="25"/>
      <c r="G899" s="25"/>
      <c r="H899" s="25"/>
    </row>
    <row r="900">
      <c r="A900" s="25"/>
      <c r="B900" s="99"/>
      <c r="C900" s="99"/>
      <c r="D900" s="25"/>
      <c r="E900" s="28"/>
      <c r="F900" s="25"/>
      <c r="G900" s="25"/>
      <c r="H900" s="25"/>
    </row>
    <row r="901">
      <c r="A901" s="25"/>
      <c r="B901" s="99"/>
      <c r="C901" s="99"/>
      <c r="D901" s="25"/>
      <c r="E901" s="28"/>
      <c r="F901" s="25"/>
      <c r="G901" s="25"/>
      <c r="H901" s="25"/>
    </row>
    <row r="902">
      <c r="A902" s="25"/>
      <c r="B902" s="99"/>
      <c r="C902" s="99"/>
      <c r="D902" s="25"/>
      <c r="E902" s="28"/>
      <c r="F902" s="25"/>
      <c r="G902" s="25"/>
      <c r="H902" s="25"/>
    </row>
    <row r="903">
      <c r="A903" s="25"/>
      <c r="B903" s="99"/>
      <c r="C903" s="99"/>
      <c r="D903" s="25"/>
      <c r="E903" s="28"/>
      <c r="F903" s="25"/>
      <c r="G903" s="25"/>
      <c r="H903" s="25"/>
    </row>
    <row r="904">
      <c r="A904" s="25"/>
      <c r="B904" s="99"/>
      <c r="C904" s="99"/>
      <c r="D904" s="25"/>
      <c r="E904" s="28"/>
      <c r="F904" s="25"/>
      <c r="G904" s="25"/>
      <c r="H904" s="25"/>
    </row>
    <row r="905">
      <c r="A905" s="25"/>
      <c r="B905" s="99"/>
      <c r="C905" s="99"/>
      <c r="D905" s="25"/>
      <c r="E905" s="28"/>
      <c r="F905" s="25"/>
      <c r="G905" s="25"/>
      <c r="H905" s="25"/>
    </row>
    <row r="906">
      <c r="A906" s="25"/>
      <c r="B906" s="99"/>
      <c r="C906" s="99"/>
      <c r="D906" s="25"/>
      <c r="E906" s="28"/>
      <c r="F906" s="25"/>
      <c r="G906" s="25"/>
      <c r="H906" s="25"/>
    </row>
    <row r="907">
      <c r="A907" s="25"/>
      <c r="B907" s="99"/>
      <c r="C907" s="99"/>
      <c r="D907" s="25"/>
      <c r="E907" s="28"/>
      <c r="F907" s="25"/>
      <c r="G907" s="25"/>
      <c r="H907" s="25"/>
    </row>
    <row r="908">
      <c r="A908" s="25"/>
      <c r="B908" s="99"/>
      <c r="C908" s="99"/>
      <c r="D908" s="25"/>
      <c r="E908" s="28"/>
      <c r="F908" s="25"/>
      <c r="G908" s="25"/>
      <c r="H908" s="25"/>
    </row>
    <row r="909">
      <c r="A909" s="25"/>
      <c r="B909" s="99"/>
      <c r="C909" s="99"/>
      <c r="D909" s="25"/>
      <c r="E909" s="28"/>
      <c r="F909" s="25"/>
      <c r="G909" s="25"/>
      <c r="H909" s="25"/>
    </row>
    <row r="910">
      <c r="A910" s="25"/>
      <c r="B910" s="99"/>
      <c r="C910" s="99"/>
      <c r="D910" s="25"/>
      <c r="E910" s="28"/>
      <c r="F910" s="25"/>
      <c r="G910" s="25"/>
      <c r="H910" s="25"/>
    </row>
    <row r="911">
      <c r="A911" s="25"/>
      <c r="B911" s="99"/>
      <c r="C911" s="99"/>
      <c r="D911" s="25"/>
      <c r="E911" s="28"/>
      <c r="F911" s="25"/>
      <c r="G911" s="25"/>
      <c r="H911" s="25"/>
    </row>
    <row r="912">
      <c r="A912" s="25"/>
      <c r="B912" s="99"/>
      <c r="C912" s="99"/>
      <c r="D912" s="25"/>
      <c r="E912" s="28"/>
      <c r="F912" s="25"/>
      <c r="G912" s="25"/>
      <c r="H912" s="25"/>
    </row>
    <row r="913">
      <c r="A913" s="25"/>
      <c r="B913" s="99"/>
      <c r="C913" s="99"/>
      <c r="D913" s="25"/>
      <c r="E913" s="28"/>
      <c r="F913" s="25"/>
      <c r="G913" s="25"/>
      <c r="H913" s="25"/>
    </row>
    <row r="914">
      <c r="A914" s="25"/>
      <c r="B914" s="99"/>
      <c r="C914" s="99"/>
      <c r="D914" s="25"/>
      <c r="E914" s="28"/>
      <c r="F914" s="25"/>
      <c r="G914" s="25"/>
      <c r="H914" s="25"/>
    </row>
    <row r="915">
      <c r="A915" s="25"/>
      <c r="B915" s="99"/>
      <c r="C915" s="99"/>
      <c r="D915" s="25"/>
      <c r="E915" s="28"/>
      <c r="F915" s="25"/>
      <c r="G915" s="25"/>
      <c r="H915" s="25"/>
    </row>
    <row r="916">
      <c r="A916" s="25"/>
      <c r="B916" s="99"/>
      <c r="C916" s="99"/>
      <c r="D916" s="25"/>
      <c r="E916" s="28"/>
      <c r="F916" s="25"/>
      <c r="G916" s="25"/>
      <c r="H916" s="25"/>
    </row>
    <row r="917">
      <c r="A917" s="25"/>
      <c r="B917" s="99"/>
      <c r="C917" s="99"/>
      <c r="D917" s="25"/>
      <c r="E917" s="28"/>
      <c r="F917" s="25"/>
      <c r="G917" s="25"/>
      <c r="H917" s="25"/>
    </row>
    <row r="918">
      <c r="A918" s="25"/>
      <c r="B918" s="99"/>
      <c r="C918" s="99"/>
      <c r="D918" s="25"/>
      <c r="E918" s="28"/>
      <c r="F918" s="25"/>
      <c r="G918" s="25"/>
      <c r="H918" s="25"/>
    </row>
    <row r="919">
      <c r="A919" s="25"/>
      <c r="B919" s="99"/>
      <c r="C919" s="99"/>
      <c r="D919" s="25"/>
      <c r="E919" s="28"/>
      <c r="F919" s="25"/>
      <c r="G919" s="25"/>
      <c r="H919" s="25"/>
    </row>
    <row r="920">
      <c r="A920" s="25"/>
      <c r="B920" s="99"/>
      <c r="C920" s="99"/>
      <c r="D920" s="25"/>
      <c r="E920" s="28"/>
      <c r="F920" s="25"/>
      <c r="G920" s="25"/>
      <c r="H920" s="25"/>
    </row>
    <row r="921">
      <c r="A921" s="25"/>
      <c r="B921" s="99"/>
      <c r="C921" s="99"/>
      <c r="D921" s="25"/>
      <c r="E921" s="28"/>
      <c r="F921" s="25"/>
      <c r="G921" s="25"/>
      <c r="H921" s="25"/>
    </row>
    <row r="922">
      <c r="A922" s="25"/>
      <c r="B922" s="99"/>
      <c r="C922" s="99"/>
      <c r="D922" s="25"/>
      <c r="E922" s="28"/>
      <c r="F922" s="25"/>
      <c r="G922" s="25"/>
      <c r="H922" s="25"/>
    </row>
    <row r="923">
      <c r="A923" s="25"/>
      <c r="B923" s="99"/>
      <c r="C923" s="99"/>
      <c r="D923" s="25"/>
      <c r="E923" s="28"/>
      <c r="F923" s="25"/>
      <c r="G923" s="25"/>
      <c r="H923" s="25"/>
    </row>
    <row r="924">
      <c r="A924" s="25"/>
      <c r="B924" s="99"/>
      <c r="C924" s="99"/>
      <c r="D924" s="25"/>
      <c r="E924" s="28"/>
      <c r="F924" s="25"/>
      <c r="G924" s="25"/>
      <c r="H924" s="25"/>
    </row>
    <row r="925">
      <c r="A925" s="25"/>
      <c r="B925" s="99"/>
      <c r="C925" s="99"/>
      <c r="D925" s="25"/>
      <c r="E925" s="28"/>
      <c r="F925" s="25"/>
      <c r="G925" s="25"/>
      <c r="H925" s="25"/>
    </row>
    <row r="926">
      <c r="A926" s="25"/>
      <c r="B926" s="99"/>
      <c r="C926" s="99"/>
      <c r="D926" s="25"/>
      <c r="E926" s="28"/>
      <c r="F926" s="25"/>
      <c r="G926" s="25"/>
      <c r="H926" s="25"/>
    </row>
    <row r="927">
      <c r="A927" s="25"/>
      <c r="B927" s="99"/>
      <c r="C927" s="99"/>
      <c r="D927" s="25"/>
      <c r="E927" s="28"/>
      <c r="F927" s="25"/>
      <c r="G927" s="25"/>
      <c r="H927" s="25"/>
    </row>
    <row r="928">
      <c r="A928" s="25"/>
      <c r="B928" s="99"/>
      <c r="C928" s="99"/>
      <c r="D928" s="25"/>
      <c r="E928" s="28"/>
      <c r="F928" s="25"/>
      <c r="G928" s="25"/>
      <c r="H928" s="25"/>
    </row>
    <row r="929">
      <c r="A929" s="25"/>
      <c r="B929" s="99"/>
      <c r="C929" s="99"/>
      <c r="D929" s="25"/>
      <c r="E929" s="28"/>
      <c r="F929" s="25"/>
      <c r="G929" s="25"/>
      <c r="H929" s="25"/>
    </row>
    <row r="930">
      <c r="A930" s="25"/>
      <c r="B930" s="99"/>
      <c r="C930" s="99"/>
      <c r="D930" s="25"/>
      <c r="E930" s="28"/>
      <c r="F930" s="25"/>
      <c r="G930" s="25"/>
      <c r="H930" s="25"/>
    </row>
    <row r="931">
      <c r="A931" s="25"/>
      <c r="B931" s="99"/>
      <c r="C931" s="99"/>
      <c r="D931" s="25"/>
      <c r="E931" s="28"/>
      <c r="F931" s="25"/>
      <c r="G931" s="25"/>
      <c r="H931" s="25"/>
    </row>
    <row r="932">
      <c r="A932" s="25"/>
      <c r="B932" s="99"/>
      <c r="C932" s="99"/>
      <c r="D932" s="25"/>
      <c r="E932" s="28"/>
      <c r="F932" s="25"/>
      <c r="G932" s="25"/>
      <c r="H932" s="25"/>
    </row>
    <row r="933">
      <c r="A933" s="25"/>
      <c r="B933" s="99"/>
      <c r="C933" s="99"/>
      <c r="D933" s="25"/>
      <c r="E933" s="28"/>
      <c r="F933" s="25"/>
      <c r="G933" s="25"/>
      <c r="H933" s="25"/>
    </row>
    <row r="934">
      <c r="A934" s="25"/>
      <c r="B934" s="99"/>
      <c r="C934" s="99"/>
      <c r="D934" s="25"/>
      <c r="E934" s="28"/>
      <c r="F934" s="25"/>
      <c r="G934" s="25"/>
      <c r="H934" s="25"/>
    </row>
    <row r="935">
      <c r="A935" s="25"/>
      <c r="B935" s="99"/>
      <c r="C935" s="99"/>
      <c r="D935" s="25"/>
      <c r="E935" s="28"/>
      <c r="F935" s="25"/>
      <c r="G935" s="25"/>
      <c r="H935" s="25"/>
    </row>
    <row r="936">
      <c r="A936" s="25"/>
      <c r="B936" s="99"/>
      <c r="C936" s="99"/>
      <c r="D936" s="25"/>
      <c r="E936" s="28"/>
      <c r="F936" s="25"/>
      <c r="G936" s="25"/>
      <c r="H936" s="25"/>
    </row>
    <row r="937">
      <c r="A937" s="25"/>
      <c r="B937" s="99"/>
      <c r="C937" s="99"/>
      <c r="D937" s="25"/>
      <c r="E937" s="28"/>
      <c r="F937" s="25"/>
      <c r="G937" s="25"/>
      <c r="H937" s="25"/>
    </row>
    <row r="938">
      <c r="A938" s="25"/>
      <c r="B938" s="99"/>
      <c r="C938" s="99"/>
      <c r="D938" s="25"/>
      <c r="E938" s="28"/>
      <c r="F938" s="25"/>
      <c r="G938" s="25"/>
      <c r="H938" s="25"/>
    </row>
    <row r="939">
      <c r="A939" s="25"/>
      <c r="B939" s="99"/>
      <c r="C939" s="99"/>
      <c r="D939" s="25"/>
      <c r="E939" s="28"/>
      <c r="F939" s="25"/>
      <c r="G939" s="25"/>
      <c r="H939" s="25"/>
    </row>
    <row r="940">
      <c r="A940" s="25"/>
      <c r="B940" s="99"/>
      <c r="C940" s="99"/>
      <c r="D940" s="25"/>
      <c r="E940" s="28"/>
      <c r="F940" s="25"/>
      <c r="G940" s="25"/>
      <c r="H940" s="25"/>
    </row>
    <row r="941">
      <c r="A941" s="25"/>
      <c r="B941" s="99"/>
      <c r="C941" s="99"/>
      <c r="D941" s="25"/>
      <c r="E941" s="28"/>
      <c r="F941" s="25"/>
      <c r="G941" s="25"/>
      <c r="H941" s="25"/>
    </row>
    <row r="942">
      <c r="A942" s="25"/>
      <c r="B942" s="99"/>
      <c r="C942" s="99"/>
      <c r="D942" s="25"/>
      <c r="E942" s="28"/>
      <c r="F942" s="25"/>
      <c r="G942" s="25"/>
      <c r="H942" s="25"/>
    </row>
    <row r="943">
      <c r="A943" s="25"/>
      <c r="B943" s="99"/>
      <c r="C943" s="99"/>
      <c r="D943" s="25"/>
      <c r="E943" s="28"/>
      <c r="F943" s="25"/>
      <c r="G943" s="25"/>
      <c r="H943" s="25"/>
    </row>
    <row r="944">
      <c r="A944" s="25"/>
      <c r="B944" s="99"/>
      <c r="C944" s="99"/>
      <c r="D944" s="25"/>
      <c r="E944" s="28"/>
      <c r="F944" s="25"/>
      <c r="G944" s="25"/>
      <c r="H944" s="25"/>
    </row>
    <row r="945">
      <c r="A945" s="25"/>
      <c r="B945" s="99"/>
      <c r="C945" s="99"/>
      <c r="D945" s="25"/>
      <c r="E945" s="28"/>
      <c r="F945" s="25"/>
      <c r="G945" s="25"/>
      <c r="H945" s="25"/>
    </row>
    <row r="946">
      <c r="A946" s="25"/>
      <c r="B946" s="99"/>
      <c r="C946" s="99"/>
      <c r="D946" s="25"/>
      <c r="E946" s="28"/>
      <c r="F946" s="25"/>
      <c r="G946" s="25"/>
      <c r="H946" s="25"/>
    </row>
    <row r="947">
      <c r="A947" s="25"/>
      <c r="B947" s="99"/>
      <c r="C947" s="99"/>
      <c r="D947" s="25"/>
      <c r="E947" s="28"/>
      <c r="F947" s="25"/>
      <c r="G947" s="25"/>
      <c r="H947" s="25"/>
    </row>
    <row r="948">
      <c r="A948" s="25"/>
      <c r="B948" s="99"/>
      <c r="C948" s="99"/>
      <c r="D948" s="25"/>
      <c r="E948" s="28"/>
      <c r="F948" s="25"/>
      <c r="G948" s="25"/>
      <c r="H948" s="25"/>
    </row>
    <row r="949">
      <c r="A949" s="25"/>
      <c r="B949" s="99"/>
      <c r="C949" s="99"/>
      <c r="D949" s="25"/>
      <c r="E949" s="28"/>
      <c r="F949" s="25"/>
      <c r="G949" s="25"/>
      <c r="H949" s="25"/>
    </row>
    <row r="950">
      <c r="A950" s="25"/>
      <c r="B950" s="99"/>
      <c r="C950" s="99"/>
      <c r="D950" s="25"/>
      <c r="E950" s="28"/>
      <c r="F950" s="25"/>
      <c r="G950" s="25"/>
      <c r="H950" s="25"/>
    </row>
    <row r="951">
      <c r="A951" s="25"/>
      <c r="B951" s="99"/>
      <c r="C951" s="99"/>
      <c r="D951" s="25"/>
      <c r="E951" s="28"/>
      <c r="F951" s="25"/>
      <c r="G951" s="25"/>
      <c r="H951" s="25"/>
    </row>
    <row r="952">
      <c r="A952" s="25"/>
      <c r="B952" s="99"/>
      <c r="C952" s="99"/>
      <c r="D952" s="25"/>
      <c r="E952" s="28"/>
      <c r="F952" s="25"/>
      <c r="G952" s="25"/>
      <c r="H952" s="25"/>
    </row>
    <row r="953">
      <c r="A953" s="25"/>
      <c r="B953" s="99"/>
      <c r="C953" s="99"/>
      <c r="D953" s="25"/>
      <c r="E953" s="28"/>
      <c r="F953" s="25"/>
      <c r="G953" s="25"/>
      <c r="H953" s="25"/>
    </row>
    <row r="954">
      <c r="A954" s="25"/>
      <c r="B954" s="99"/>
      <c r="C954" s="99"/>
      <c r="D954" s="25"/>
      <c r="E954" s="28"/>
      <c r="F954" s="25"/>
      <c r="G954" s="25"/>
      <c r="H954" s="25"/>
    </row>
    <row r="955">
      <c r="A955" s="25"/>
      <c r="B955" s="99"/>
      <c r="C955" s="99"/>
      <c r="D955" s="25"/>
      <c r="E955" s="28"/>
      <c r="F955" s="25"/>
      <c r="G955" s="25"/>
      <c r="H955" s="25"/>
    </row>
    <row r="956">
      <c r="A956" s="25"/>
      <c r="B956" s="99"/>
      <c r="C956" s="99"/>
      <c r="D956" s="25"/>
      <c r="E956" s="28"/>
      <c r="F956" s="25"/>
      <c r="G956" s="25"/>
      <c r="H956" s="25"/>
    </row>
    <row r="957">
      <c r="A957" s="25"/>
      <c r="B957" s="99"/>
      <c r="C957" s="99"/>
      <c r="D957" s="25"/>
      <c r="E957" s="28"/>
      <c r="F957" s="25"/>
      <c r="G957" s="25"/>
      <c r="H957" s="25"/>
    </row>
    <row r="958">
      <c r="A958" s="25"/>
      <c r="B958" s="99"/>
      <c r="C958" s="99"/>
      <c r="D958" s="25"/>
      <c r="E958" s="28"/>
      <c r="F958" s="25"/>
      <c r="G958" s="25"/>
      <c r="H958" s="25"/>
    </row>
    <row r="959">
      <c r="A959" s="25"/>
      <c r="B959" s="99"/>
      <c r="C959" s="99"/>
      <c r="D959" s="25"/>
      <c r="E959" s="28"/>
      <c r="F959" s="25"/>
      <c r="G959" s="25"/>
      <c r="H959" s="25"/>
    </row>
    <row r="960">
      <c r="A960" s="25"/>
      <c r="B960" s="99"/>
      <c r="C960" s="99"/>
      <c r="D960" s="25"/>
      <c r="E960" s="28"/>
      <c r="F960" s="25"/>
      <c r="G960" s="25"/>
      <c r="H960" s="25"/>
    </row>
    <row r="961">
      <c r="A961" s="25"/>
      <c r="B961" s="99"/>
      <c r="C961" s="99"/>
      <c r="D961" s="25"/>
      <c r="E961" s="28"/>
      <c r="F961" s="25"/>
      <c r="G961" s="25"/>
      <c r="H961" s="25"/>
    </row>
    <row r="962">
      <c r="A962" s="25"/>
      <c r="B962" s="99"/>
      <c r="C962" s="99"/>
      <c r="D962" s="25"/>
      <c r="E962" s="28"/>
      <c r="F962" s="25"/>
      <c r="G962" s="25"/>
      <c r="H962" s="25"/>
    </row>
    <row r="963">
      <c r="A963" s="25"/>
      <c r="B963" s="99"/>
      <c r="C963" s="99"/>
      <c r="D963" s="25"/>
      <c r="E963" s="28"/>
      <c r="F963" s="25"/>
      <c r="G963" s="25"/>
      <c r="H963" s="25"/>
    </row>
    <row r="964">
      <c r="A964" s="25"/>
      <c r="B964" s="99"/>
      <c r="C964" s="99"/>
      <c r="D964" s="25"/>
      <c r="E964" s="28"/>
      <c r="F964" s="25"/>
      <c r="G964" s="25"/>
      <c r="H964" s="25"/>
    </row>
    <row r="965">
      <c r="A965" s="25"/>
      <c r="B965" s="99"/>
      <c r="C965" s="99"/>
      <c r="D965" s="25"/>
      <c r="E965" s="28"/>
      <c r="F965" s="25"/>
      <c r="G965" s="25"/>
      <c r="H965" s="25"/>
    </row>
    <row r="966">
      <c r="A966" s="25"/>
      <c r="B966" s="99"/>
      <c r="C966" s="99"/>
      <c r="D966" s="25"/>
      <c r="E966" s="28"/>
      <c r="F966" s="25"/>
      <c r="G966" s="25"/>
      <c r="H966" s="25"/>
    </row>
    <row r="967">
      <c r="A967" s="25"/>
      <c r="B967" s="99"/>
      <c r="C967" s="99"/>
      <c r="D967" s="25"/>
      <c r="E967" s="28"/>
      <c r="F967" s="25"/>
      <c r="G967" s="25"/>
      <c r="H967" s="25"/>
    </row>
    <row r="968">
      <c r="A968" s="25"/>
      <c r="B968" s="99"/>
      <c r="C968" s="99"/>
      <c r="D968" s="25"/>
      <c r="E968" s="28"/>
      <c r="F968" s="25"/>
      <c r="G968" s="25"/>
      <c r="H968" s="25"/>
    </row>
    <row r="969">
      <c r="A969" s="25"/>
      <c r="B969" s="99"/>
      <c r="C969" s="99"/>
      <c r="D969" s="25"/>
      <c r="E969" s="28"/>
      <c r="F969" s="25"/>
      <c r="G969" s="25"/>
      <c r="H969" s="25"/>
    </row>
    <row r="970">
      <c r="A970" s="25"/>
      <c r="B970" s="99"/>
      <c r="C970" s="99"/>
      <c r="D970" s="25"/>
      <c r="E970" s="28"/>
      <c r="F970" s="25"/>
      <c r="G970" s="25"/>
      <c r="H970" s="25"/>
    </row>
    <row r="971">
      <c r="A971" s="25"/>
      <c r="B971" s="99"/>
      <c r="C971" s="99"/>
      <c r="D971" s="25"/>
      <c r="E971" s="28"/>
      <c r="F971" s="25"/>
      <c r="G971" s="25"/>
      <c r="H971" s="25"/>
    </row>
    <row r="972">
      <c r="A972" s="25"/>
      <c r="B972" s="99"/>
      <c r="C972" s="99"/>
      <c r="D972" s="25"/>
      <c r="E972" s="28"/>
      <c r="F972" s="25"/>
      <c r="G972" s="25"/>
      <c r="H972" s="25"/>
    </row>
    <row r="973">
      <c r="A973" s="25"/>
      <c r="B973" s="99"/>
      <c r="C973" s="99"/>
      <c r="D973" s="25"/>
      <c r="E973" s="28"/>
      <c r="F973" s="25"/>
      <c r="G973" s="25"/>
      <c r="H973" s="25"/>
    </row>
    <row r="974">
      <c r="A974" s="25"/>
      <c r="B974" s="99"/>
      <c r="C974" s="99"/>
      <c r="D974" s="25"/>
      <c r="E974" s="28"/>
      <c r="F974" s="25"/>
      <c r="G974" s="25"/>
      <c r="H974" s="25"/>
    </row>
    <row r="975">
      <c r="A975" s="25"/>
      <c r="B975" s="99"/>
      <c r="C975" s="99"/>
      <c r="D975" s="25"/>
      <c r="E975" s="28"/>
      <c r="F975" s="25"/>
      <c r="G975" s="25"/>
      <c r="H975" s="25"/>
    </row>
    <row r="976">
      <c r="A976" s="25"/>
      <c r="B976" s="99"/>
      <c r="C976" s="99"/>
      <c r="D976" s="25"/>
      <c r="E976" s="28"/>
      <c r="F976" s="25"/>
      <c r="G976" s="25"/>
      <c r="H976" s="25"/>
    </row>
    <row r="977">
      <c r="A977" s="25"/>
      <c r="B977" s="99"/>
      <c r="C977" s="99"/>
      <c r="D977" s="25"/>
      <c r="E977" s="28"/>
      <c r="F977" s="25"/>
      <c r="G977" s="25"/>
      <c r="H977" s="25"/>
    </row>
    <row r="978">
      <c r="A978" s="25"/>
      <c r="B978" s="99"/>
      <c r="C978" s="99"/>
      <c r="D978" s="25"/>
      <c r="E978" s="28"/>
      <c r="F978" s="25"/>
      <c r="G978" s="25"/>
      <c r="H978" s="25"/>
    </row>
    <row r="979">
      <c r="A979" s="25"/>
      <c r="B979" s="99"/>
      <c r="C979" s="99"/>
      <c r="D979" s="25"/>
      <c r="E979" s="28"/>
      <c r="F979" s="25"/>
      <c r="G979" s="25"/>
      <c r="H979" s="25"/>
    </row>
    <row r="980">
      <c r="A980" s="25"/>
      <c r="B980" s="99"/>
      <c r="C980" s="99"/>
      <c r="D980" s="25"/>
      <c r="E980" s="28"/>
      <c r="F980" s="25"/>
      <c r="G980" s="25"/>
      <c r="H980" s="25"/>
    </row>
    <row r="981">
      <c r="A981" s="25"/>
      <c r="B981" s="99"/>
      <c r="C981" s="99"/>
      <c r="D981" s="25"/>
      <c r="E981" s="28"/>
      <c r="F981" s="25"/>
      <c r="G981" s="25"/>
      <c r="H981" s="25"/>
    </row>
    <row r="982">
      <c r="A982" s="25"/>
      <c r="B982" s="99"/>
      <c r="C982" s="99"/>
      <c r="D982" s="25"/>
      <c r="E982" s="28"/>
      <c r="F982" s="25"/>
      <c r="G982" s="25"/>
      <c r="H982" s="25"/>
    </row>
    <row r="983">
      <c r="A983" s="25"/>
      <c r="B983" s="99"/>
      <c r="C983" s="99"/>
      <c r="D983" s="25"/>
      <c r="E983" s="28"/>
      <c r="F983" s="25"/>
      <c r="G983" s="25"/>
      <c r="H983" s="25"/>
    </row>
    <row r="984">
      <c r="A984" s="25"/>
      <c r="B984" s="99"/>
      <c r="C984" s="99"/>
      <c r="D984" s="25"/>
      <c r="E984" s="28"/>
      <c r="F984" s="25"/>
      <c r="G984" s="25"/>
      <c r="H984" s="25"/>
    </row>
    <row r="985">
      <c r="A985" s="25"/>
      <c r="B985" s="99"/>
      <c r="C985" s="99"/>
      <c r="D985" s="25"/>
      <c r="E985" s="28"/>
      <c r="F985" s="25"/>
      <c r="G985" s="25"/>
      <c r="H985" s="25"/>
    </row>
    <row r="986">
      <c r="A986" s="25"/>
      <c r="B986" s="99"/>
      <c r="C986" s="99"/>
      <c r="D986" s="25"/>
      <c r="E986" s="28"/>
      <c r="F986" s="25"/>
      <c r="G986" s="25"/>
      <c r="H986" s="25"/>
    </row>
    <row r="987">
      <c r="A987" s="25"/>
      <c r="B987" s="99"/>
      <c r="C987" s="99"/>
      <c r="D987" s="25"/>
      <c r="E987" s="28"/>
      <c r="F987" s="25"/>
      <c r="G987" s="25"/>
      <c r="H987" s="25"/>
    </row>
    <row r="988">
      <c r="A988" s="25"/>
      <c r="B988" s="99"/>
      <c r="C988" s="99"/>
      <c r="D988" s="25"/>
      <c r="E988" s="28"/>
      <c r="F988" s="25"/>
      <c r="G988" s="25"/>
      <c r="H988" s="25"/>
    </row>
    <row r="989">
      <c r="A989" s="25"/>
      <c r="B989" s="99"/>
      <c r="C989" s="99"/>
      <c r="D989" s="25"/>
      <c r="E989" s="28"/>
      <c r="F989" s="25"/>
      <c r="G989" s="25"/>
      <c r="H989" s="25"/>
    </row>
    <row r="990">
      <c r="A990" s="25"/>
      <c r="B990" s="99"/>
      <c r="C990" s="99"/>
      <c r="D990" s="25"/>
      <c r="E990" s="28"/>
      <c r="F990" s="25"/>
      <c r="G990" s="25"/>
      <c r="H990" s="25"/>
    </row>
    <row r="991">
      <c r="A991" s="25"/>
      <c r="B991" s="99"/>
      <c r="C991" s="99"/>
      <c r="D991" s="25"/>
      <c r="E991" s="28"/>
      <c r="F991" s="25"/>
      <c r="G991" s="25"/>
      <c r="H991" s="25"/>
    </row>
    <row r="992">
      <c r="A992" s="25"/>
      <c r="B992" s="99"/>
      <c r="C992" s="99"/>
      <c r="D992" s="25"/>
      <c r="E992" s="28"/>
      <c r="F992" s="25"/>
      <c r="G992" s="25"/>
      <c r="H992" s="25"/>
    </row>
    <row r="993">
      <c r="A993" s="25"/>
      <c r="B993" s="99"/>
      <c r="C993" s="99"/>
      <c r="D993" s="25"/>
      <c r="E993" s="28"/>
      <c r="F993" s="25"/>
      <c r="G993" s="25"/>
      <c r="H993" s="25"/>
    </row>
    <row r="994">
      <c r="A994" s="25"/>
      <c r="B994" s="99"/>
      <c r="C994" s="99"/>
      <c r="D994" s="25"/>
      <c r="E994" s="28"/>
      <c r="F994" s="25"/>
      <c r="G994" s="25"/>
      <c r="H994" s="25"/>
    </row>
    <row r="995">
      <c r="A995" s="25"/>
      <c r="B995" s="99"/>
      <c r="C995" s="99"/>
      <c r="D995" s="25"/>
      <c r="E995" s="28"/>
      <c r="F995" s="25"/>
      <c r="G995" s="25"/>
      <c r="H995" s="25"/>
    </row>
    <row r="996">
      <c r="A996" s="25"/>
      <c r="B996" s="99"/>
      <c r="C996" s="99"/>
      <c r="D996" s="25"/>
      <c r="E996" s="28"/>
      <c r="F996" s="25"/>
      <c r="G996" s="25"/>
      <c r="H996" s="25"/>
    </row>
    <row r="997">
      <c r="A997" s="25"/>
      <c r="B997" s="99"/>
      <c r="C997" s="99"/>
      <c r="D997" s="25"/>
      <c r="E997" s="28"/>
      <c r="F997" s="25"/>
      <c r="G997" s="25"/>
      <c r="H997" s="25"/>
    </row>
    <row r="998">
      <c r="A998" s="25"/>
      <c r="B998" s="99"/>
      <c r="C998" s="99"/>
      <c r="D998" s="25"/>
      <c r="E998" s="28"/>
      <c r="F998" s="25"/>
      <c r="G998" s="25"/>
      <c r="H998" s="25"/>
    </row>
    <row r="999">
      <c r="A999" s="25"/>
      <c r="B999" s="99"/>
      <c r="C999" s="99"/>
      <c r="D999" s="25"/>
      <c r="E999" s="28"/>
      <c r="F999" s="25"/>
      <c r="G999" s="25"/>
      <c r="H999" s="25"/>
    </row>
    <row r="1000">
      <c r="A1000" s="25"/>
      <c r="B1000" s="99"/>
      <c r="C1000" s="99"/>
      <c r="D1000" s="25"/>
      <c r="E1000" s="28"/>
      <c r="F1000" s="25"/>
      <c r="G1000" s="25"/>
      <c r="H1000" s="25"/>
    </row>
    <row r="1001">
      <c r="A1001" s="25"/>
      <c r="B1001" s="99"/>
      <c r="C1001" s="99"/>
      <c r="D1001" s="25"/>
      <c r="E1001" s="28"/>
      <c r="F1001" s="25"/>
      <c r="G1001" s="25"/>
      <c r="H1001" s="25"/>
    </row>
    <row r="1002">
      <c r="A1002" s="25"/>
      <c r="B1002" s="99"/>
      <c r="C1002" s="99"/>
      <c r="D1002" s="25"/>
      <c r="E1002" s="28"/>
      <c r="F1002" s="25"/>
      <c r="G1002" s="25"/>
      <c r="H1002" s="25"/>
    </row>
  </sheetData>
  <mergeCells count="29">
    <mergeCell ref="A2:A7"/>
    <mergeCell ref="B2:B7"/>
    <mergeCell ref="C2:C7"/>
    <mergeCell ref="D2:D7"/>
    <mergeCell ref="E2:E7"/>
    <mergeCell ref="F2:F7"/>
    <mergeCell ref="H2:H6"/>
    <mergeCell ref="A8:A11"/>
    <mergeCell ref="B8:B11"/>
    <mergeCell ref="C8:C11"/>
    <mergeCell ref="D8:D11"/>
    <mergeCell ref="E8:E11"/>
    <mergeCell ref="F8:F11"/>
    <mergeCell ref="H8:H11"/>
    <mergeCell ref="A17:A22"/>
    <mergeCell ref="B17:B22"/>
    <mergeCell ref="C17:C22"/>
    <mergeCell ref="D17:D22"/>
    <mergeCell ref="E17:E22"/>
    <mergeCell ref="F17:F22"/>
    <mergeCell ref="H17:H22"/>
    <mergeCell ref="B23:C23"/>
    <mergeCell ref="A12:A16"/>
    <mergeCell ref="B12:B16"/>
    <mergeCell ref="C12:C16"/>
    <mergeCell ref="D12:D16"/>
    <mergeCell ref="E12:E16"/>
    <mergeCell ref="F12:F16"/>
    <mergeCell ref="H12:H16"/>
  </mergeCells>
  <hyperlinks>
    <hyperlink r:id="rId2" ref="G2"/>
    <hyperlink r:id="rId3" location="gid=1879325959" ref="G3"/>
    <hyperlink r:id="rId4" location="gid=1458852206" ref="G4"/>
    <hyperlink r:id="rId5" ref="G5"/>
    <hyperlink r:id="rId6" ref="G6"/>
    <hyperlink r:id="rId7" ref="G7"/>
    <hyperlink r:id="rId8" location="slide=id.p1" ref="G8"/>
    <hyperlink r:id="rId9" ref="G9"/>
    <hyperlink r:id="rId10" ref="G10"/>
    <hyperlink r:id="rId11" location="gid=1320300194" ref="G11"/>
    <hyperlink r:id="rId12" ref="G12"/>
    <hyperlink r:id="rId13" ref="G13"/>
    <hyperlink r:id="rId14" ref="G14"/>
    <hyperlink r:id="rId15" location="gid=55336065" ref="G15"/>
    <hyperlink r:id="rId16" ref="G16"/>
    <hyperlink r:id="rId17" location="slide=id.p1" ref="G17"/>
    <hyperlink r:id="rId18" ref="G18"/>
    <hyperlink r:id="rId19" ref="G19"/>
    <hyperlink r:id="rId20" location="gid=1458852206" ref="G20"/>
    <hyperlink r:id="rId21" ref="G21"/>
    <hyperlink r:id="rId22" location="gid=1267701722" ref="G22"/>
    <hyperlink r:id="rId23" location="gid=975199092" ref="G23"/>
  </hyperlinks>
  <drawing r:id="rId24"/>
  <legacyDrawing r:id="rId25"/>
</worksheet>
</file>