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nitar-my.sharepoint.com/personal/nikki_poh_unitar_my/Documents/Desktop/"/>
    </mc:Choice>
  </mc:AlternateContent>
  <xr:revisionPtr revIDLastSave="0" documentId="8_{9033429B-15B2-4B4A-93A3-7E731190072C}" xr6:coauthVersionLast="47" xr6:coauthVersionMax="47" xr10:uidLastSave="{00000000-0000-0000-0000-000000000000}"/>
  <bookViews>
    <workbookView xWindow="22932" yWindow="-108" windowWidth="23256" windowHeight="12456" xr2:uid="{3B45EA74-7C29-4D67-B41C-8BEE0773966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J4" i="1" s="1"/>
  <c r="H5" i="1"/>
  <c r="J5" i="1" s="1"/>
  <c r="H6" i="1"/>
  <c r="J6" i="1" s="1"/>
  <c r="H7" i="1"/>
  <c r="J7" i="1" s="1"/>
  <c r="H8" i="1"/>
  <c r="J8" i="1" s="1"/>
  <c r="H9" i="1"/>
  <c r="J9" i="1"/>
  <c r="H10" i="1"/>
  <c r="J10" i="1" s="1"/>
  <c r="H11" i="1"/>
  <c r="J11" i="1" s="1"/>
  <c r="H12" i="1"/>
  <c r="J12" i="1" s="1"/>
  <c r="I13" i="1"/>
  <c r="B13" i="1"/>
  <c r="L12" i="1"/>
  <c r="D12" i="1"/>
  <c r="C12" i="1"/>
  <c r="L11" i="1"/>
  <c r="D11" i="1"/>
  <c r="C11" i="1"/>
  <c r="L10" i="1"/>
  <c r="D10" i="1"/>
  <c r="C10" i="1"/>
  <c r="L9" i="1"/>
  <c r="D9" i="1"/>
  <c r="C9" i="1"/>
  <c r="L8" i="1"/>
  <c r="D8" i="1"/>
  <c r="C8" i="1"/>
  <c r="L7" i="1"/>
  <c r="D7" i="1"/>
  <c r="C7" i="1"/>
  <c r="L6" i="1"/>
  <c r="D6" i="1"/>
  <c r="C6" i="1"/>
  <c r="L5" i="1"/>
  <c r="D5" i="1"/>
  <c r="C5" i="1"/>
  <c r="L4" i="1"/>
  <c r="D4" i="1"/>
  <c r="C4" i="1"/>
  <c r="L3" i="1"/>
  <c r="D3" i="1"/>
  <c r="C3" i="1"/>
  <c r="E10" i="1" l="1"/>
  <c r="L13" i="1"/>
  <c r="H13" i="1"/>
  <c r="J13" i="1" s="1"/>
  <c r="J3" i="1"/>
  <c r="E12" i="1"/>
  <c r="G12" i="1" s="1"/>
  <c r="K12" i="1" s="1"/>
  <c r="M12" i="1" s="1"/>
  <c r="E9" i="1"/>
  <c r="G9" i="1" s="1"/>
  <c r="K9" i="1" s="1"/>
  <c r="M9" i="1" s="1"/>
  <c r="E6" i="1"/>
  <c r="G6" i="1" s="1"/>
  <c r="K6" i="1" s="1"/>
  <c r="M6" i="1" s="1"/>
  <c r="E4" i="1"/>
  <c r="G4" i="1" s="1"/>
  <c r="K4" i="1" s="1"/>
  <c r="M4" i="1" s="1"/>
  <c r="E11" i="1"/>
  <c r="G11" i="1" s="1"/>
  <c r="K11" i="1" s="1"/>
  <c r="M11" i="1" s="1"/>
  <c r="E8" i="1"/>
  <c r="G8" i="1" s="1"/>
  <c r="K8" i="1" s="1"/>
  <c r="M8" i="1" s="1"/>
  <c r="E7" i="1"/>
  <c r="G7" i="1" s="1"/>
  <c r="K7" i="1" s="1"/>
  <c r="M7" i="1" s="1"/>
  <c r="E5" i="1"/>
  <c r="G5" i="1" s="1"/>
  <c r="K5" i="1" s="1"/>
  <c r="M5" i="1" s="1"/>
  <c r="E3" i="1"/>
  <c r="G3" i="1" s="1"/>
  <c r="C13" i="1"/>
  <c r="G10" i="1" l="1"/>
  <c r="G13" i="1" s="1"/>
  <c r="K10" i="1"/>
  <c r="M10" i="1" s="1"/>
  <c r="E13" i="1"/>
  <c r="K3" i="1" l="1"/>
  <c r="M3" i="1" l="1"/>
  <c r="M13" i="1" s="1"/>
  <c r="K13" i="1"/>
</calcChain>
</file>

<file path=xl/sharedStrings.xml><?xml version="1.0" encoding="utf-8"?>
<sst xmlns="http://schemas.openxmlformats.org/spreadsheetml/2006/main" count="25" uniqueCount="25">
  <si>
    <t>2025 C2 Lead Gen</t>
  </si>
  <si>
    <t>Location</t>
  </si>
  <si>
    <t>2026 C2 NE Target</t>
  </si>
  <si>
    <t>2026 C2 App Target</t>
  </si>
  <si>
    <t>Online Lead Contribution (By Campus)</t>
  </si>
  <si>
    <t>Online Contribution Target</t>
  </si>
  <si>
    <t>Lead &gt; App Conv Target</t>
  </si>
  <si>
    <t>2026 C2 Lead Required</t>
  </si>
  <si>
    <t>Total Leads</t>
  </si>
  <si>
    <t>2025 C2 Leads</t>
  </si>
  <si>
    <t>2025 C2 Lead Contribution</t>
  </si>
  <si>
    <t>Total Lead Gen Target</t>
  </si>
  <si>
    <t>Current Leads on Hand as of 9/3</t>
  </si>
  <si>
    <t>Target for March - Jun</t>
  </si>
  <si>
    <t>Ipoh</t>
  </si>
  <si>
    <t>Johor</t>
  </si>
  <si>
    <t>Kota Bharu</t>
  </si>
  <si>
    <t>Kota Kinabalu</t>
  </si>
  <si>
    <t>Terengganu</t>
  </si>
  <si>
    <t>Kuantan</t>
  </si>
  <si>
    <t>Kuching</t>
  </si>
  <si>
    <t>Melaka</t>
  </si>
  <si>
    <t>Penang</t>
  </si>
  <si>
    <t>Sungai Petani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</si>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</sst>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9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unitar.sharepoint.com/sites/SPD/Shared%20Documents/General/2026/Budget%20Target/C2/2026%20C2%20Leads%20Phasing%20&amp;%20Target.xlsx" TargetMode="External"/><Relationship Id="rId1" Type="http://schemas.openxmlformats.org/officeDocument/2006/relationships/externalLinkPath" Target="https://myunitar.sharepoint.com/sites/SPD/Shared%20Documents/General/2026/Budget%20Target/C2/2026%20C2%20Leads%20Phasing%20&amp;%20Tar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 C2 Overall Leads Target"/>
      <sheetName val="2026 C2 Online Leads Target"/>
      <sheetName val="Online Target by Programme"/>
      <sheetName val="Online Leads by Campus"/>
      <sheetName val="Sheet2"/>
      <sheetName val="Sheet8"/>
      <sheetName val="Sheet4"/>
      <sheetName val="Data Points"/>
      <sheetName val="Leads Data Exported on 15072025"/>
    </sheetNames>
    <sheetDataSet>
      <sheetData sheetId="0"/>
      <sheetData sheetId="1"/>
      <sheetData sheetId="2"/>
      <sheetData sheetId="3">
        <row r="3">
          <cell r="A3" t="str">
            <v>Ipoh</v>
          </cell>
        </row>
        <row r="4">
          <cell r="A4" t="str">
            <v>Johor</v>
          </cell>
        </row>
        <row r="5">
          <cell r="A5" t="str">
            <v>Kota Bharu</v>
          </cell>
        </row>
        <row r="6">
          <cell r="A6" t="str">
            <v>Kota Kinabalu</v>
          </cell>
        </row>
        <row r="7">
          <cell r="A7" t="str">
            <v>Terengganu</v>
          </cell>
        </row>
        <row r="8">
          <cell r="A8" t="str">
            <v>Kuantan</v>
          </cell>
        </row>
        <row r="9">
          <cell r="A9" t="str">
            <v>Kuching</v>
          </cell>
        </row>
        <row r="10">
          <cell r="A10" t="str">
            <v>Melaka</v>
          </cell>
        </row>
        <row r="11">
          <cell r="A11" t="str">
            <v>Penang</v>
          </cell>
        </row>
        <row r="12">
          <cell r="A12" t="str">
            <v>Sungai Petani</v>
          </cell>
        </row>
      </sheetData>
      <sheetData sheetId="4">
        <row r="2">
          <cell r="A2" t="str">
            <v>Ipoh</v>
          </cell>
          <cell r="S2">
            <v>0.15602836879432624</v>
          </cell>
        </row>
        <row r="3">
          <cell r="A3" t="str">
            <v>Johor</v>
          </cell>
          <cell r="S3">
            <v>0.54320987654320985</v>
          </cell>
        </row>
        <row r="4">
          <cell r="A4" t="str">
            <v>Kota Bharu</v>
          </cell>
          <cell r="S4">
            <v>0.16417910447761194</v>
          </cell>
        </row>
        <row r="5">
          <cell r="A5" t="str">
            <v>Kota Kinabalu</v>
          </cell>
          <cell r="S5">
            <v>0.46938775510204084</v>
          </cell>
        </row>
        <row r="6">
          <cell r="A6" t="str">
            <v>Terengganu</v>
          </cell>
          <cell r="S6">
            <v>5.2083333333333336E-2</v>
          </cell>
        </row>
        <row r="7">
          <cell r="A7" t="str">
            <v>Kuantan</v>
          </cell>
          <cell r="S7">
            <v>0.17757009345794392</v>
          </cell>
        </row>
        <row r="8">
          <cell r="A8" t="str">
            <v>Kuching</v>
          </cell>
          <cell r="S8">
            <v>0.55172413793103448</v>
          </cell>
        </row>
        <row r="9">
          <cell r="A9" t="str">
            <v>Melaka</v>
          </cell>
          <cell r="S9">
            <v>0.33333333333333331</v>
          </cell>
        </row>
        <row r="10">
          <cell r="A10" t="str">
            <v>Penang</v>
          </cell>
          <cell r="S10">
            <v>0.44615384615384618</v>
          </cell>
        </row>
        <row r="11">
          <cell r="A11" t="str">
            <v>Sungai Petani</v>
          </cell>
          <cell r="S11">
            <v>0.40109890109890112</v>
          </cell>
        </row>
        <row r="46">
          <cell r="A46" t="str">
            <v>Ipoh</v>
          </cell>
          <cell r="J46">
            <v>787</v>
          </cell>
        </row>
        <row r="47">
          <cell r="A47" t="str">
            <v>Johor</v>
          </cell>
          <cell r="J47">
            <v>1474</v>
          </cell>
        </row>
        <row r="48">
          <cell r="A48" t="str">
            <v>Kelana Jaya</v>
          </cell>
          <cell r="J48">
            <v>549</v>
          </cell>
        </row>
        <row r="49">
          <cell r="A49" t="str">
            <v>Kota Bharu</v>
          </cell>
          <cell r="J49">
            <v>1738</v>
          </cell>
        </row>
        <row r="50">
          <cell r="A50" t="str">
            <v>Kota Kinabalu</v>
          </cell>
          <cell r="J50">
            <v>2734</v>
          </cell>
        </row>
        <row r="51">
          <cell r="A51" t="str">
            <v>Terengganu</v>
          </cell>
          <cell r="J51">
            <v>3564</v>
          </cell>
        </row>
        <row r="52">
          <cell r="A52" t="str">
            <v>Kuantan</v>
          </cell>
          <cell r="J52">
            <v>3811</v>
          </cell>
        </row>
        <row r="53">
          <cell r="A53" t="str">
            <v>Kuching</v>
          </cell>
          <cell r="J53">
            <v>1763</v>
          </cell>
        </row>
        <row r="54">
          <cell r="A54" t="str">
            <v>Melaka</v>
          </cell>
          <cell r="J54">
            <v>851</v>
          </cell>
        </row>
        <row r="55">
          <cell r="A55" t="str">
            <v>Penang</v>
          </cell>
          <cell r="J55">
            <v>1601</v>
          </cell>
        </row>
        <row r="56">
          <cell r="A56" t="str">
            <v>Sungai Petani</v>
          </cell>
          <cell r="J56">
            <v>363</v>
          </cell>
        </row>
        <row r="73">
          <cell r="A73" t="str">
            <v>Ipoh</v>
          </cell>
          <cell r="I73">
            <v>155</v>
          </cell>
        </row>
        <row r="74">
          <cell r="A74" t="str">
            <v>Johor</v>
          </cell>
          <cell r="I74">
            <v>108</v>
          </cell>
        </row>
        <row r="75">
          <cell r="A75" t="str">
            <v>Kota Bharu</v>
          </cell>
          <cell r="I75">
            <v>70</v>
          </cell>
        </row>
        <row r="76">
          <cell r="A76" t="str">
            <v>Kota Kinabalu</v>
          </cell>
          <cell r="I76">
            <v>293</v>
          </cell>
        </row>
        <row r="77">
          <cell r="A77" t="str">
            <v>Terengganu</v>
          </cell>
          <cell r="I77">
            <v>44</v>
          </cell>
        </row>
        <row r="78">
          <cell r="A78" t="str">
            <v>Kuantan</v>
          </cell>
          <cell r="I78">
            <v>71</v>
          </cell>
        </row>
        <row r="79">
          <cell r="A79" t="str">
            <v>Kuching</v>
          </cell>
          <cell r="I79">
            <v>96</v>
          </cell>
        </row>
        <row r="80">
          <cell r="A80" t="str">
            <v>Melaka</v>
          </cell>
          <cell r="I80">
            <v>92</v>
          </cell>
        </row>
        <row r="81">
          <cell r="A81" t="str">
            <v>Penang</v>
          </cell>
          <cell r="I81">
            <v>96</v>
          </cell>
        </row>
        <row r="82">
          <cell r="A82" t="str">
            <v>Sungai Petani</v>
          </cell>
          <cell r="I82">
            <v>79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172D-8956-4E8A-9A3C-9B188EF7583F}">
  <dimension ref="A1:M13"/>
  <sheetViews>
    <sheetView tabSelected="1" workbookViewId="0">
      <selection activeCell="K2" sqref="K2"/>
    </sheetView>
  </sheetViews>
  <sheetFormatPr defaultColWidth="8.90625" defaultRowHeight="14.5" x14ac:dyDescent="0.35"/>
  <cols>
    <col min="1" max="1" width="12.08984375" style="1" bestFit="1" customWidth="1"/>
    <col min="2" max="2" width="16.08984375" style="1" bestFit="1" customWidth="1"/>
    <col min="3" max="3" width="16.90625" style="1" bestFit="1" customWidth="1"/>
    <col min="4" max="4" width="32.1796875" style="1" bestFit="1" customWidth="1"/>
    <col min="5" max="5" width="22.90625" style="1" bestFit="1" customWidth="1"/>
    <col min="6" max="6" width="20.36328125" style="1" bestFit="1" customWidth="1"/>
    <col min="7" max="7" width="19.81640625" style="1" hidden="1" customWidth="1"/>
    <col min="8" max="8" width="15.6328125" style="1" hidden="1" customWidth="1"/>
    <col min="9" max="9" width="12.6328125" style="1" hidden="1" customWidth="1"/>
    <col min="10" max="10" width="22.90625" style="1" hidden="1" customWidth="1"/>
    <col min="11" max="11" width="26.36328125" style="1" bestFit="1" customWidth="1"/>
    <col min="12" max="12" width="27.54296875" style="1" bestFit="1" customWidth="1"/>
    <col min="13" max="13" width="19.1796875" style="1" bestFit="1" customWidth="1"/>
    <col min="14" max="16384" width="8.90625" style="1"/>
  </cols>
  <sheetData>
    <row r="1" spans="1:13" x14ac:dyDescent="0.35">
      <c r="H1" s="2" t="s">
        <v>0</v>
      </c>
      <c r="I1" s="2"/>
      <c r="J1" s="2"/>
      <c r="K1" s="3"/>
      <c r="L1" s="3"/>
      <c r="M1" s="3"/>
    </row>
    <row r="2" spans="1:13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3" t="s">
        <v>11</v>
      </c>
      <c r="L2" s="3" t="s">
        <v>12</v>
      </c>
      <c r="M2" s="3" t="s">
        <v>13</v>
      </c>
    </row>
    <row r="3" spans="1:13" x14ac:dyDescent="0.35">
      <c r="A3" s="1" t="s">
        <v>14</v>
      </c>
      <c r="B3" s="1">
        <v>150</v>
      </c>
      <c r="C3" s="1">
        <f>ROUND(B3/0.86,0)</f>
        <v>174</v>
      </c>
      <c r="D3" s="4">
        <f>SUMIF([1]Sheet2!$A$2:$A$11,'[1]Online Leads by Campus'!$A3,[1]Sheet2!S$2:S$11)</f>
        <v>0.15602836879432624</v>
      </c>
      <c r="E3" s="1">
        <f>ROUND(C3*D3,0)</f>
        <v>27</v>
      </c>
      <c r="F3" s="5">
        <v>8.3000000000000004E-2</v>
      </c>
      <c r="G3" s="1">
        <f>ROUND(E3/F3,0)</f>
        <v>325</v>
      </c>
      <c r="H3" s="1">
        <f>SUMIF([1]Sheet2!$A$46:$A$56,'[1]Online Leads by Campus'!$A3,[1]Sheet2!J$46:J$56)</f>
        <v>787</v>
      </c>
      <c r="I3" s="1">
        <v>523</v>
      </c>
      <c r="J3" s="4">
        <f>I3/H3</f>
        <v>0.66454891994917409</v>
      </c>
      <c r="K3" s="6">
        <f>ROUND(G3/J3,0)</f>
        <v>489</v>
      </c>
      <c r="L3" s="6">
        <f>SUMIF([1]Sheet2!$A$73:$A$82,'[1]Online Leads by Campus'!$A3,[1]Sheet2!I$73:I$82)</f>
        <v>155</v>
      </c>
      <c r="M3" s="6">
        <f>K3-L3</f>
        <v>334</v>
      </c>
    </row>
    <row r="4" spans="1:13" x14ac:dyDescent="0.35">
      <c r="A4" s="1" t="s">
        <v>15</v>
      </c>
      <c r="B4" s="1">
        <v>77</v>
      </c>
      <c r="C4" s="1">
        <f t="shared" ref="C4:C12" si="0">ROUND(B4/0.86,0)</f>
        <v>90</v>
      </c>
      <c r="D4" s="4">
        <f>SUMIF([1]Sheet2!$A$2:$A$11,'[1]Online Leads by Campus'!$A4,[1]Sheet2!S$2:S$11)</f>
        <v>0.54320987654320985</v>
      </c>
      <c r="E4" s="1">
        <f t="shared" ref="E4:E12" si="1">ROUND(C4*D4,0)</f>
        <v>49</v>
      </c>
      <c r="F4" s="5">
        <v>8.3000000000000004E-2</v>
      </c>
      <c r="G4" s="1">
        <f t="shared" ref="G4:G12" si="2">ROUND(E4/F4,0)</f>
        <v>590</v>
      </c>
      <c r="H4" s="1">
        <f>SUMIF([1]Sheet2!$A$46:$A$56,'[1]Online Leads by Campus'!$A4,[1]Sheet2!J$46:J$56)</f>
        <v>1474</v>
      </c>
      <c r="I4" s="1">
        <v>1327</v>
      </c>
      <c r="J4" s="4">
        <f t="shared" ref="J4:J13" si="3">I4/H4</f>
        <v>0.90027137042062411</v>
      </c>
      <c r="K4" s="6">
        <f>ROUND(G4/J4,0)</f>
        <v>655</v>
      </c>
      <c r="L4" s="6">
        <f>SUMIF([1]Sheet2!$A$73:$A$82,'[1]Online Leads by Campus'!$A4,[1]Sheet2!I$73:I$82)</f>
        <v>108</v>
      </c>
      <c r="M4" s="6">
        <f t="shared" ref="M4:M12" si="4">K4-L4</f>
        <v>547</v>
      </c>
    </row>
    <row r="5" spans="1:13" x14ac:dyDescent="0.35">
      <c r="A5" s="1" t="s">
        <v>16</v>
      </c>
      <c r="B5" s="1">
        <v>205</v>
      </c>
      <c r="C5" s="1">
        <f t="shared" si="0"/>
        <v>238</v>
      </c>
      <c r="D5" s="4">
        <f>SUMIF([1]Sheet2!$A$2:$A$11,'[1]Online Leads by Campus'!$A5,[1]Sheet2!S$2:S$11)</f>
        <v>0.16417910447761194</v>
      </c>
      <c r="E5" s="1">
        <f t="shared" si="1"/>
        <v>39</v>
      </c>
      <c r="F5" s="5">
        <v>8.3000000000000004E-2</v>
      </c>
      <c r="G5" s="1">
        <f t="shared" si="2"/>
        <v>470</v>
      </c>
      <c r="H5" s="1">
        <f>SUMIF([1]Sheet2!$A$46:$A$56,'[1]Online Leads by Campus'!$A5,[1]Sheet2!J$46:J$56)</f>
        <v>1738</v>
      </c>
      <c r="I5" s="1">
        <v>1430</v>
      </c>
      <c r="J5" s="4">
        <f t="shared" si="3"/>
        <v>0.82278481012658233</v>
      </c>
      <c r="K5" s="6">
        <f>ROUND(G5/J5,0)</f>
        <v>571</v>
      </c>
      <c r="L5" s="6">
        <f>SUMIF([1]Sheet2!$A$73:$A$82,'[1]Online Leads by Campus'!$A5,[1]Sheet2!I$73:I$82)</f>
        <v>70</v>
      </c>
      <c r="M5" s="6">
        <f t="shared" si="4"/>
        <v>501</v>
      </c>
    </row>
    <row r="6" spans="1:13" x14ac:dyDescent="0.35">
      <c r="A6" s="1" t="s">
        <v>17</v>
      </c>
      <c r="B6" s="1">
        <v>90</v>
      </c>
      <c r="C6" s="1">
        <f t="shared" si="0"/>
        <v>105</v>
      </c>
      <c r="D6" s="4">
        <f>SUMIF([1]Sheet2!$A$2:$A$11,'[1]Online Leads by Campus'!$A6,[1]Sheet2!S$2:S$11)</f>
        <v>0.46938775510204084</v>
      </c>
      <c r="E6" s="1">
        <f t="shared" si="1"/>
        <v>49</v>
      </c>
      <c r="F6" s="5">
        <v>8.3000000000000004E-2</v>
      </c>
      <c r="G6" s="1">
        <f t="shared" si="2"/>
        <v>590</v>
      </c>
      <c r="H6" s="1">
        <f>SUMIF([1]Sheet2!$A$46:$A$56,'[1]Online Leads by Campus'!$A6,[1]Sheet2!J$46:J$56)</f>
        <v>2734</v>
      </c>
      <c r="I6" s="1">
        <v>2252</v>
      </c>
      <c r="J6" s="4">
        <f t="shared" si="3"/>
        <v>0.82370153621068032</v>
      </c>
      <c r="K6" s="6">
        <f>ROUND(G6/J6,0)</f>
        <v>716</v>
      </c>
      <c r="L6" s="6">
        <f>SUMIF([1]Sheet2!$A$73:$A$82,'[1]Online Leads by Campus'!$A6,[1]Sheet2!I$73:I$82)</f>
        <v>293</v>
      </c>
      <c r="M6" s="6">
        <f t="shared" si="4"/>
        <v>423</v>
      </c>
    </row>
    <row r="7" spans="1:13" x14ac:dyDescent="0.35">
      <c r="A7" s="1" t="s">
        <v>18</v>
      </c>
      <c r="B7" s="1">
        <v>63</v>
      </c>
      <c r="C7" s="1">
        <f t="shared" si="0"/>
        <v>73</v>
      </c>
      <c r="D7" s="4">
        <f>SUMIF([1]Sheet2!$A$2:$A$11,'[1]Online Leads by Campus'!$A7,[1]Sheet2!S$2:S$11)</f>
        <v>5.2083333333333336E-2</v>
      </c>
      <c r="E7" s="1">
        <f t="shared" si="1"/>
        <v>4</v>
      </c>
      <c r="F7" s="5">
        <v>8.3000000000000004E-2</v>
      </c>
      <c r="G7" s="1">
        <f t="shared" si="2"/>
        <v>48</v>
      </c>
      <c r="H7" s="1">
        <f>SUMIF([1]Sheet2!$A$46:$A$56,'[1]Online Leads by Campus'!$A7,[1]Sheet2!J$46:J$56)</f>
        <v>3564</v>
      </c>
      <c r="I7" s="1">
        <v>3428</v>
      </c>
      <c r="J7" s="4">
        <f t="shared" si="3"/>
        <v>0.96184062850729513</v>
      </c>
      <c r="K7" s="6">
        <f>ROUND(G7/J7,0)</f>
        <v>50</v>
      </c>
      <c r="L7" s="6">
        <f>SUMIF([1]Sheet2!$A$73:$A$82,'[1]Online Leads by Campus'!$A7,[1]Sheet2!I$73:I$82)</f>
        <v>44</v>
      </c>
      <c r="M7" s="6">
        <f t="shared" si="4"/>
        <v>6</v>
      </c>
    </row>
    <row r="8" spans="1:13" x14ac:dyDescent="0.35">
      <c r="A8" s="1" t="s">
        <v>19</v>
      </c>
      <c r="B8" s="1">
        <v>125</v>
      </c>
      <c r="C8" s="1">
        <f t="shared" si="0"/>
        <v>145</v>
      </c>
      <c r="D8" s="4">
        <f>SUMIF([1]Sheet2!$A$2:$A$11,'[1]Online Leads by Campus'!$A8,[1]Sheet2!S$2:S$11)</f>
        <v>0.17757009345794392</v>
      </c>
      <c r="E8" s="1">
        <f t="shared" si="1"/>
        <v>26</v>
      </c>
      <c r="F8" s="5">
        <v>8.3000000000000004E-2</v>
      </c>
      <c r="G8" s="1">
        <f t="shared" si="2"/>
        <v>313</v>
      </c>
      <c r="H8" s="1">
        <f>SUMIF([1]Sheet2!$A$46:$A$56,'[1]Online Leads by Campus'!$A8,[1]Sheet2!J$46:J$56)</f>
        <v>3811</v>
      </c>
      <c r="I8" s="1">
        <v>3691</v>
      </c>
      <c r="J8" s="4">
        <f t="shared" si="3"/>
        <v>0.96851220152191031</v>
      </c>
      <c r="K8" s="6">
        <f>ROUND(G8/J8,0)</f>
        <v>323</v>
      </c>
      <c r="L8" s="6">
        <f>SUMIF([1]Sheet2!$A$73:$A$82,'[1]Online Leads by Campus'!$A8,[1]Sheet2!I$73:I$82)</f>
        <v>71</v>
      </c>
      <c r="M8" s="6">
        <f t="shared" si="4"/>
        <v>252</v>
      </c>
    </row>
    <row r="9" spans="1:13" x14ac:dyDescent="0.35">
      <c r="A9" s="1" t="s">
        <v>20</v>
      </c>
      <c r="B9" s="1">
        <v>40</v>
      </c>
      <c r="C9" s="1">
        <f t="shared" si="0"/>
        <v>47</v>
      </c>
      <c r="D9" s="4">
        <f>SUMIF([1]Sheet2!$A$2:$A$11,'[1]Online Leads by Campus'!$A9,[1]Sheet2!S$2:S$11)</f>
        <v>0.55172413793103448</v>
      </c>
      <c r="E9" s="1">
        <f t="shared" si="1"/>
        <v>26</v>
      </c>
      <c r="F9" s="5">
        <v>8.3000000000000004E-2</v>
      </c>
      <c r="G9" s="1">
        <f t="shared" si="2"/>
        <v>313</v>
      </c>
      <c r="H9" s="1">
        <f>SUMIF([1]Sheet2!$A$46:$A$56,'[1]Online Leads by Campus'!$A9,[1]Sheet2!J$46:J$56)</f>
        <v>1763</v>
      </c>
      <c r="I9" s="1">
        <v>1712</v>
      </c>
      <c r="J9" s="4">
        <f t="shared" si="3"/>
        <v>0.97107203630175831</v>
      </c>
      <c r="K9" s="6">
        <f>ROUND(G9/J9,0)</f>
        <v>322</v>
      </c>
      <c r="L9" s="6">
        <f>SUMIF([1]Sheet2!$A$73:$A$82,'[1]Online Leads by Campus'!$A9,[1]Sheet2!I$73:I$82)</f>
        <v>96</v>
      </c>
      <c r="M9" s="6">
        <f t="shared" si="4"/>
        <v>226</v>
      </c>
    </row>
    <row r="10" spans="1:13" x14ac:dyDescent="0.35">
      <c r="A10" s="1" t="s">
        <v>21</v>
      </c>
      <c r="B10" s="1">
        <v>40</v>
      </c>
      <c r="C10" s="1">
        <f t="shared" si="0"/>
        <v>47</v>
      </c>
      <c r="D10" s="4">
        <f>SUMIF([1]Sheet2!$A$2:$A$11,'[1]Online Leads by Campus'!$A10,[1]Sheet2!S$2:S$11)</f>
        <v>0.33333333333333331</v>
      </c>
      <c r="E10" s="1">
        <f t="shared" si="1"/>
        <v>16</v>
      </c>
      <c r="F10" s="5">
        <v>8.3000000000000004E-2</v>
      </c>
      <c r="G10" s="1">
        <f t="shared" si="2"/>
        <v>193</v>
      </c>
      <c r="H10" s="1">
        <f>SUMIF([1]Sheet2!$A$46:$A$56,'[1]Online Leads by Campus'!$A10,[1]Sheet2!J$46:J$56)</f>
        <v>851</v>
      </c>
      <c r="I10" s="1">
        <v>681</v>
      </c>
      <c r="J10" s="4">
        <f t="shared" si="3"/>
        <v>0.80023501762632199</v>
      </c>
      <c r="K10" s="6">
        <f>ROUND(G10/J10,0)</f>
        <v>241</v>
      </c>
      <c r="L10" s="6">
        <f>SUMIF([1]Sheet2!$A$73:$A$82,'[1]Online Leads by Campus'!$A10,[1]Sheet2!I$73:I$82)</f>
        <v>92</v>
      </c>
      <c r="M10" s="6">
        <f t="shared" si="4"/>
        <v>149</v>
      </c>
    </row>
    <row r="11" spans="1:13" x14ac:dyDescent="0.35">
      <c r="A11" s="1" t="s">
        <v>22</v>
      </c>
      <c r="B11" s="1">
        <v>60</v>
      </c>
      <c r="C11" s="1">
        <f t="shared" si="0"/>
        <v>70</v>
      </c>
      <c r="D11" s="4">
        <f>SUMIF([1]Sheet2!$A$2:$A$11,'[1]Online Leads by Campus'!$A11,[1]Sheet2!S$2:S$11)</f>
        <v>0.44615384615384618</v>
      </c>
      <c r="E11" s="1">
        <f t="shared" si="1"/>
        <v>31</v>
      </c>
      <c r="F11" s="5">
        <v>8.3000000000000004E-2</v>
      </c>
      <c r="G11" s="1">
        <f t="shared" si="2"/>
        <v>373</v>
      </c>
      <c r="H11" s="1">
        <f>SUMIF([1]Sheet2!$A$46:$A$56,'[1]Online Leads by Campus'!$A11,[1]Sheet2!J$46:J$56)</f>
        <v>1601</v>
      </c>
      <c r="I11" s="1">
        <v>1481</v>
      </c>
      <c r="J11" s="4">
        <f t="shared" si="3"/>
        <v>0.92504684572142415</v>
      </c>
      <c r="K11" s="6">
        <f>ROUND(G11/J11,0)</f>
        <v>403</v>
      </c>
      <c r="L11" s="6">
        <f>SUMIF([1]Sheet2!$A$73:$A$82,'[1]Online Leads by Campus'!$A11,[1]Sheet2!I$73:I$82)</f>
        <v>96</v>
      </c>
      <c r="M11" s="6">
        <f t="shared" si="4"/>
        <v>307</v>
      </c>
    </row>
    <row r="12" spans="1:13" x14ac:dyDescent="0.35">
      <c r="A12" s="1" t="s">
        <v>23</v>
      </c>
      <c r="B12" s="1">
        <v>200</v>
      </c>
      <c r="C12" s="1">
        <f t="shared" si="0"/>
        <v>233</v>
      </c>
      <c r="D12" s="4">
        <f>SUMIF([1]Sheet2!$A$2:$A$11,'[1]Online Leads by Campus'!$A12,[1]Sheet2!S$2:S$11)</f>
        <v>0.40109890109890112</v>
      </c>
      <c r="E12" s="1">
        <f t="shared" si="1"/>
        <v>93</v>
      </c>
      <c r="F12" s="5">
        <v>8.3000000000000004E-2</v>
      </c>
      <c r="G12" s="1">
        <f t="shared" si="2"/>
        <v>1120</v>
      </c>
      <c r="H12" s="1">
        <f>SUMIF([1]Sheet2!$A$46:$A$56,'[1]Online Leads by Campus'!$A12,[1]Sheet2!J$46:J$56)</f>
        <v>363</v>
      </c>
      <c r="I12" s="1">
        <v>253</v>
      </c>
      <c r="J12" s="4">
        <f t="shared" si="3"/>
        <v>0.69696969696969702</v>
      </c>
      <c r="K12" s="6">
        <f>ROUND(G12/J12,0)</f>
        <v>1607</v>
      </c>
      <c r="L12" s="6">
        <f>SUMIF([1]Sheet2!$A$73:$A$82,'[1]Online Leads by Campus'!$A12,[1]Sheet2!I$73:I$82)</f>
        <v>79</v>
      </c>
      <c r="M12" s="6">
        <f t="shared" si="4"/>
        <v>1528</v>
      </c>
    </row>
    <row r="13" spans="1:13" x14ac:dyDescent="0.35">
      <c r="A13" s="1" t="s">
        <v>24</v>
      </c>
      <c r="B13" s="1">
        <f>SUM(B3:B12)</f>
        <v>1050</v>
      </c>
      <c r="C13" s="1">
        <f>SUM(C3:C12)</f>
        <v>1222</v>
      </c>
      <c r="E13" s="1">
        <f>SUM(E3:E12)</f>
        <v>360</v>
      </c>
      <c r="F13" s="5">
        <v>8.3000000000000004E-2</v>
      </c>
      <c r="G13" s="1">
        <f>SUM(G3:G12)</f>
        <v>4335</v>
      </c>
      <c r="H13" s="1">
        <f>SUM(H3:H12)</f>
        <v>18686</v>
      </c>
      <c r="I13" s="1">
        <f>SUM(I3:I12)</f>
        <v>16778</v>
      </c>
      <c r="J13" s="4">
        <f t="shared" si="3"/>
        <v>0.89789146954939525</v>
      </c>
      <c r="K13" s="6">
        <f>SUM(K3:K12)</f>
        <v>5377</v>
      </c>
      <c r="L13" s="6">
        <f>SUM(L3:L12)</f>
        <v>1104</v>
      </c>
      <c r="M13" s="6">
        <f>SUM(M3:M12)</f>
        <v>4273</v>
      </c>
    </row>
  </sheetData>
  <mergeCells count="1"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Poh Li Yi</dc:creator>
  <cp:lastModifiedBy>Nikki Poh Li Yi</cp:lastModifiedBy>
  <dcterms:created xsi:type="dcterms:W3CDTF">2026-03-10T10:48:08Z</dcterms:created>
  <dcterms:modified xsi:type="dcterms:W3CDTF">2026-03-10T10:50:14Z</dcterms:modified>
</cp:coreProperties>
</file>